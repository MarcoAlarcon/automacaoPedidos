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filterPrivacy="1" codeName="EstaPasta_de_trabalho" defaultThemeVersion="124226"/>
  <xr:revisionPtr revIDLastSave="0" documentId="13_ncr:1_{821D21C6-7664-48C6-835E-6B3317D645C5}" xr6:coauthVersionLast="47" xr6:coauthVersionMax="47" xr10:uidLastSave="{00000000-0000-0000-0000-000000000000}"/>
  <bookViews>
    <workbookView xWindow="-28920" yWindow="-120" windowWidth="29040" windowHeight="15720" tabRatio="841" activeTab="2" xr2:uid="{00000000-000D-0000-FFFF-FFFF00000000}"/>
  </bookViews>
  <sheets>
    <sheet name="Parâmetros" sheetId="9" r:id="rId1"/>
    <sheet name="Tabela A (2.2)" sheetId="1" r:id="rId2"/>
    <sheet name="Planilha2" sheetId="11" r:id="rId3"/>
    <sheet name="Tabela A3 (2.3)" sheetId="4" r:id="rId4"/>
    <sheet name="Tabela AF (2.4)" sheetId="5" r:id="rId5"/>
    <sheet name="Tabela A5 (2.5)" sheetId="6" r:id="rId6"/>
    <sheet name="Planilha1" sheetId="10" r:id="rId7"/>
    <sheet name="Tabela AE (2.7)" sheetId="8" r:id="rId8"/>
  </sheets>
  <definedNames>
    <definedName name="_192.168.9.200_DB_VIEWS_WANM_LOGISTICA_PRODUTO_EMBALADO_FARM" localSheetId="1" hidden="1">'Tabela A (2.2)'!$B$15:$G$555</definedName>
    <definedName name="_192.168.9.200_DB_VIEWS_WANM_LOGISTICA_PRODUTO_EMBALADO_FARM" localSheetId="3" hidden="1">'Tabela A3 (2.3)'!$B$15:$G$555</definedName>
    <definedName name="_192.168.9.200_DB_VIEWS_WANM_LOGISTICA_PRODUTO_EMBALADO_FARM" localSheetId="5" hidden="1">'Tabela A5 (2.5)'!$B$15:$G$555</definedName>
    <definedName name="_192.168.9.200_DB_VIEWS_WANM_LOGISTICA_PRODUTO_EMBALADO_FARM" localSheetId="7" hidden="1">'Tabela AE (2.7)'!$B$15:$G$340</definedName>
    <definedName name="_192.168.9.200_DB_VIEWS_WANM_LOGISTICA_PRODUTO_EMBALADO_FARM" localSheetId="4" hidden="1">'Tabela AF (2.4)'!$B$15:$G$555</definedName>
    <definedName name="_xlnm._FilterDatabase" localSheetId="6" hidden="1">Planilha1!$A$1:$E$636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11" l="1"/>
  <c r="B2" i="11"/>
  <c r="O20" i="11"/>
  <c r="O19" i="11"/>
  <c r="O18" i="11"/>
  <c r="O16" i="11"/>
  <c r="O16" i="8"/>
  <c r="O17" i="8"/>
  <c r="O18" i="8"/>
  <c r="O19" i="8"/>
  <c r="O20" i="8"/>
  <c r="O21" i="8"/>
  <c r="O22" i="8"/>
  <c r="O23" i="8"/>
  <c r="O24" i="8"/>
  <c r="P24" i="8" s="1"/>
  <c r="O25" i="8"/>
  <c r="O26" i="8"/>
  <c r="P26" i="8" s="1"/>
  <c r="O27" i="8"/>
  <c r="P27" i="8" s="1"/>
  <c r="O28" i="8"/>
  <c r="O29" i="8"/>
  <c r="O30" i="8"/>
  <c r="O31" i="8"/>
  <c r="O32" i="8"/>
  <c r="O33" i="8"/>
  <c r="O34" i="8"/>
  <c r="O35" i="8"/>
  <c r="O36" i="8"/>
  <c r="P36" i="8" s="1"/>
  <c r="O37" i="8"/>
  <c r="O38" i="8"/>
  <c r="P38" i="8" s="1"/>
  <c r="O39" i="8"/>
  <c r="P39" i="8" s="1"/>
  <c r="O40" i="8"/>
  <c r="O41" i="8"/>
  <c r="O42" i="8"/>
  <c r="O43" i="8"/>
  <c r="O44" i="8"/>
  <c r="O45" i="8"/>
  <c r="O46" i="8"/>
  <c r="O47" i="8"/>
  <c r="O48" i="8"/>
  <c r="P48" i="8" s="1"/>
  <c r="O49" i="8"/>
  <c r="O50" i="8"/>
  <c r="P50" i="8" s="1"/>
  <c r="O51" i="8"/>
  <c r="P51" i="8" s="1"/>
  <c r="O52" i="8"/>
  <c r="O53" i="8"/>
  <c r="O54" i="8"/>
  <c r="O55" i="8"/>
  <c r="O56" i="8"/>
  <c r="O57" i="8"/>
  <c r="O58" i="8"/>
  <c r="O59" i="8"/>
  <c r="O60" i="8"/>
  <c r="P60" i="8" s="1"/>
  <c r="O61" i="8"/>
  <c r="O62" i="8"/>
  <c r="P62" i="8" s="1"/>
  <c r="O63" i="8"/>
  <c r="P63" i="8" s="1"/>
  <c r="O64" i="8"/>
  <c r="O65" i="8"/>
  <c r="O66" i="8"/>
  <c r="O67" i="8"/>
  <c r="O68" i="8"/>
  <c r="O69" i="8"/>
  <c r="O70" i="8"/>
  <c r="O71" i="8"/>
  <c r="O72" i="8"/>
  <c r="P72" i="8" s="1"/>
  <c r="O73" i="8"/>
  <c r="O74" i="8"/>
  <c r="P74" i="8" s="1"/>
  <c r="O75" i="8"/>
  <c r="P75" i="8" s="1"/>
  <c r="O76" i="8"/>
  <c r="O77" i="8"/>
  <c r="O78" i="8"/>
  <c r="O79" i="8"/>
  <c r="O80" i="8"/>
  <c r="O81" i="8"/>
  <c r="O82" i="8"/>
  <c r="O83" i="8"/>
  <c r="O84" i="8"/>
  <c r="P84" i="8" s="1"/>
  <c r="O85" i="8"/>
  <c r="O86" i="8"/>
  <c r="P86" i="8" s="1"/>
  <c r="O87" i="8"/>
  <c r="P87" i="8" s="1"/>
  <c r="O88" i="8"/>
  <c r="O89" i="8"/>
  <c r="O90" i="8"/>
  <c r="O91" i="8"/>
  <c r="O92" i="8"/>
  <c r="O93" i="8"/>
  <c r="O94" i="8"/>
  <c r="O95" i="8"/>
  <c r="O96" i="8"/>
  <c r="P96" i="8" s="1"/>
  <c r="O97" i="8"/>
  <c r="O98" i="8"/>
  <c r="P98" i="8" s="1"/>
  <c r="O99" i="8"/>
  <c r="P99" i="8" s="1"/>
  <c r="O100" i="8"/>
  <c r="O101" i="8"/>
  <c r="O102" i="8"/>
  <c r="O103" i="8"/>
  <c r="O104" i="8"/>
  <c r="O105" i="8"/>
  <c r="O106" i="8"/>
  <c r="O107" i="8"/>
  <c r="O108" i="8"/>
  <c r="P108" i="8" s="1"/>
  <c r="O109" i="8"/>
  <c r="O110" i="8"/>
  <c r="P110" i="8" s="1"/>
  <c r="O111" i="8"/>
  <c r="P111" i="8" s="1"/>
  <c r="O112" i="8"/>
  <c r="O113" i="8"/>
  <c r="O114" i="8"/>
  <c r="O115" i="8"/>
  <c r="O116" i="8"/>
  <c r="O117" i="8"/>
  <c r="O118" i="8"/>
  <c r="O119" i="8"/>
  <c r="O120" i="8"/>
  <c r="P120" i="8" s="1"/>
  <c r="O121" i="8"/>
  <c r="O122" i="8"/>
  <c r="P122" i="8" s="1"/>
  <c r="O123" i="8"/>
  <c r="P123" i="8" s="1"/>
  <c r="O124" i="8"/>
  <c r="O125" i="8"/>
  <c r="O126" i="8"/>
  <c r="O127" i="8"/>
  <c r="O128" i="8"/>
  <c r="O129" i="8"/>
  <c r="O130" i="8"/>
  <c r="O131" i="8"/>
  <c r="O132" i="8"/>
  <c r="P132" i="8" s="1"/>
  <c r="O133" i="8"/>
  <c r="O134" i="8"/>
  <c r="P134" i="8" s="1"/>
  <c r="O135" i="8"/>
  <c r="P135" i="8" s="1"/>
  <c r="O136" i="8"/>
  <c r="O137" i="8"/>
  <c r="O138" i="8"/>
  <c r="P138" i="8" s="1"/>
  <c r="O139" i="8"/>
  <c r="O140" i="8"/>
  <c r="O141" i="8"/>
  <c r="O142" i="8"/>
  <c r="O143" i="8"/>
  <c r="O144" i="8"/>
  <c r="P144" i="8" s="1"/>
  <c r="O145" i="8"/>
  <c r="O146" i="8"/>
  <c r="P146" i="8" s="1"/>
  <c r="O147" i="8"/>
  <c r="P147" i="8" s="1"/>
  <c r="O148" i="8"/>
  <c r="O149" i="8"/>
  <c r="O150" i="8"/>
  <c r="O151" i="8"/>
  <c r="O152" i="8"/>
  <c r="O153" i="8"/>
  <c r="O154" i="8"/>
  <c r="O155" i="8"/>
  <c r="O156" i="8"/>
  <c r="P156" i="8" s="1"/>
  <c r="O157" i="8"/>
  <c r="O158" i="8"/>
  <c r="P158" i="8" s="1"/>
  <c r="O159" i="8"/>
  <c r="P159" i="8" s="1"/>
  <c r="O160" i="8"/>
  <c r="O161" i="8"/>
  <c r="O162" i="8"/>
  <c r="O163" i="8"/>
  <c r="O164" i="8"/>
  <c r="O165" i="8"/>
  <c r="O166" i="8"/>
  <c r="O167" i="8"/>
  <c r="O168" i="8"/>
  <c r="P168" i="8" s="1"/>
  <c r="O169" i="8"/>
  <c r="O170" i="8"/>
  <c r="P170" i="8" s="1"/>
  <c r="O171" i="8"/>
  <c r="P171" i="8" s="1"/>
  <c r="O172" i="8"/>
  <c r="O173" i="8"/>
  <c r="O174" i="8"/>
  <c r="O175" i="8"/>
  <c r="O176" i="8"/>
  <c r="O177" i="8"/>
  <c r="O178" i="8"/>
  <c r="O179" i="8"/>
  <c r="O180" i="8"/>
  <c r="P180" i="8" s="1"/>
  <c r="O181" i="8"/>
  <c r="O182" i="8"/>
  <c r="P182" i="8" s="1"/>
  <c r="O183" i="8"/>
  <c r="P183" i="8" s="1"/>
  <c r="O184" i="8"/>
  <c r="O185" i="8"/>
  <c r="O186" i="8"/>
  <c r="O187" i="8"/>
  <c r="O188" i="8"/>
  <c r="O189" i="8"/>
  <c r="O190" i="8"/>
  <c r="O191" i="8"/>
  <c r="O192" i="8"/>
  <c r="P192" i="8" s="1"/>
  <c r="O193" i="8"/>
  <c r="O194" i="8"/>
  <c r="P194" i="8" s="1"/>
  <c r="O195" i="8"/>
  <c r="P195" i="8" s="1"/>
  <c r="O196" i="8"/>
  <c r="O197" i="8"/>
  <c r="O198" i="8"/>
  <c r="O199" i="8"/>
  <c r="O200" i="8"/>
  <c r="O201" i="8"/>
  <c r="O202" i="8"/>
  <c r="O203" i="8"/>
  <c r="O204" i="8"/>
  <c r="P204" i="8" s="1"/>
  <c r="O205" i="8"/>
  <c r="O206" i="8"/>
  <c r="P206" i="8" s="1"/>
  <c r="O207" i="8"/>
  <c r="P207" i="8" s="1"/>
  <c r="O208" i="8"/>
  <c r="O209" i="8"/>
  <c r="O210" i="8"/>
  <c r="O211" i="8"/>
  <c r="O212" i="8"/>
  <c r="O213" i="8"/>
  <c r="O214" i="8"/>
  <c r="O215" i="8"/>
  <c r="O216" i="8"/>
  <c r="P216" i="8" s="1"/>
  <c r="O217" i="8"/>
  <c r="O218" i="8"/>
  <c r="P218" i="8" s="1"/>
  <c r="O219" i="8"/>
  <c r="P219" i="8" s="1"/>
  <c r="O220" i="8"/>
  <c r="O221" i="8"/>
  <c r="O222" i="8"/>
  <c r="O223" i="8"/>
  <c r="O224" i="8"/>
  <c r="O225" i="8"/>
  <c r="O226" i="8"/>
  <c r="O227" i="8"/>
  <c r="O228" i="8"/>
  <c r="P228" i="8" s="1"/>
  <c r="O229" i="8"/>
  <c r="O230" i="8"/>
  <c r="P230" i="8" s="1"/>
  <c r="O231" i="8"/>
  <c r="P231" i="8" s="1"/>
  <c r="O232" i="8"/>
  <c r="O233" i="8"/>
  <c r="O234" i="8"/>
  <c r="O235" i="8"/>
  <c r="O236" i="8"/>
  <c r="O237" i="8"/>
  <c r="O238" i="8"/>
  <c r="O239" i="8"/>
  <c r="O240" i="8"/>
  <c r="P240" i="8" s="1"/>
  <c r="O241" i="8"/>
  <c r="O242" i="8"/>
  <c r="P242" i="8" s="1"/>
  <c r="O243" i="8"/>
  <c r="P243" i="8" s="1"/>
  <c r="O244" i="8"/>
  <c r="O245" i="8"/>
  <c r="O246" i="8"/>
  <c r="O247" i="8"/>
  <c r="O248" i="8"/>
  <c r="O249" i="8"/>
  <c r="O250" i="8"/>
  <c r="O251" i="8"/>
  <c r="O252" i="8"/>
  <c r="P252" i="8" s="1"/>
  <c r="O253" i="8"/>
  <c r="O254" i="8"/>
  <c r="P254" i="8" s="1"/>
  <c r="O255" i="8"/>
  <c r="P255" i="8" s="1"/>
  <c r="O256" i="8"/>
  <c r="O257" i="8"/>
  <c r="O258" i="8"/>
  <c r="O259" i="8"/>
  <c r="O260" i="8"/>
  <c r="O261" i="8"/>
  <c r="O262" i="8"/>
  <c r="O263" i="8"/>
  <c r="O264" i="8"/>
  <c r="P264" i="8" s="1"/>
  <c r="O265" i="8"/>
  <c r="O266" i="8"/>
  <c r="P266" i="8" s="1"/>
  <c r="O267" i="8"/>
  <c r="P267" i="8" s="1"/>
  <c r="O268" i="8"/>
  <c r="O269" i="8"/>
  <c r="O270" i="8"/>
  <c r="O271" i="8"/>
  <c r="O272" i="8"/>
  <c r="O273" i="8"/>
  <c r="O274" i="8"/>
  <c r="O275" i="8"/>
  <c r="O276" i="8"/>
  <c r="P276" i="8" s="1"/>
  <c r="O277" i="8"/>
  <c r="O278" i="8"/>
  <c r="P278" i="8" s="1"/>
  <c r="O279" i="8"/>
  <c r="P279" i="8" s="1"/>
  <c r="O280" i="8"/>
  <c r="O281" i="8"/>
  <c r="O282" i="8"/>
  <c r="O283" i="8"/>
  <c r="O284" i="8"/>
  <c r="O285" i="8"/>
  <c r="O286" i="8"/>
  <c r="O287" i="8"/>
  <c r="O288" i="8"/>
  <c r="P288" i="8" s="1"/>
  <c r="O289" i="8"/>
  <c r="O290" i="8"/>
  <c r="P290" i="8" s="1"/>
  <c r="O291" i="8"/>
  <c r="P291" i="8" s="1"/>
  <c r="O292" i="8"/>
  <c r="O293" i="8"/>
  <c r="O294" i="8"/>
  <c r="O295" i="8"/>
  <c r="O296" i="8"/>
  <c r="O297" i="8"/>
  <c r="O298" i="8"/>
  <c r="O299" i="8"/>
  <c r="O300" i="8"/>
  <c r="P300" i="8" s="1"/>
  <c r="O301" i="8"/>
  <c r="O302" i="8"/>
  <c r="P302" i="8" s="1"/>
  <c r="O303" i="8"/>
  <c r="P303" i="8" s="1"/>
  <c r="O304" i="8"/>
  <c r="O305" i="8"/>
  <c r="O306" i="8"/>
  <c r="O307" i="8"/>
  <c r="O308" i="8"/>
  <c r="O309" i="8"/>
  <c r="O310" i="8"/>
  <c r="O311" i="8"/>
  <c r="O312" i="8"/>
  <c r="P312" i="8" s="1"/>
  <c r="O313" i="8"/>
  <c r="O314" i="8"/>
  <c r="P314" i="8" s="1"/>
  <c r="O315" i="8"/>
  <c r="P315" i="8" s="1"/>
  <c r="O316" i="8"/>
  <c r="O317" i="8"/>
  <c r="O318" i="8"/>
  <c r="O319" i="8"/>
  <c r="O320" i="8"/>
  <c r="O321" i="8"/>
  <c r="O322" i="8"/>
  <c r="O323" i="8"/>
  <c r="O324" i="8"/>
  <c r="P324" i="8" s="1"/>
  <c r="O325" i="8"/>
  <c r="O326" i="8"/>
  <c r="P326" i="8" s="1"/>
  <c r="O327" i="8"/>
  <c r="P327" i="8" s="1"/>
  <c r="O328" i="8"/>
  <c r="O329" i="8"/>
  <c r="O330" i="8"/>
  <c r="O331" i="8"/>
  <c r="O332" i="8"/>
  <c r="O333" i="8"/>
  <c r="O334" i="8"/>
  <c r="O335" i="8"/>
  <c r="O336" i="8"/>
  <c r="P336" i="8" s="1"/>
  <c r="O337" i="8"/>
  <c r="O338" i="8"/>
  <c r="P338" i="8" s="1"/>
  <c r="O339" i="8"/>
  <c r="P339" i="8" s="1"/>
  <c r="O340" i="8"/>
  <c r="P16" i="8"/>
  <c r="P17" i="8"/>
  <c r="P18" i="8"/>
  <c r="P19" i="8"/>
  <c r="P20" i="8"/>
  <c r="P21" i="8"/>
  <c r="P22" i="8"/>
  <c r="P23" i="8"/>
  <c r="P25" i="8"/>
  <c r="P28" i="8"/>
  <c r="P29" i="8"/>
  <c r="P30" i="8"/>
  <c r="P31" i="8"/>
  <c r="P32" i="8"/>
  <c r="P33" i="8"/>
  <c r="P34" i="8"/>
  <c r="P35" i="8"/>
  <c r="P37" i="8"/>
  <c r="P40" i="8"/>
  <c r="P41" i="8"/>
  <c r="P42" i="8"/>
  <c r="P43" i="8"/>
  <c r="P44" i="8"/>
  <c r="P45" i="8"/>
  <c r="P46" i="8"/>
  <c r="P47" i="8"/>
  <c r="P49" i="8"/>
  <c r="P52" i="8"/>
  <c r="P53" i="8"/>
  <c r="P54" i="8"/>
  <c r="P55" i="8"/>
  <c r="P56" i="8"/>
  <c r="P57" i="8"/>
  <c r="P58" i="8"/>
  <c r="P59" i="8"/>
  <c r="P61" i="8"/>
  <c r="P64" i="8"/>
  <c r="P65" i="8"/>
  <c r="P66" i="8"/>
  <c r="P67" i="8"/>
  <c r="P68" i="8"/>
  <c r="P69" i="8"/>
  <c r="P70" i="8"/>
  <c r="P71" i="8"/>
  <c r="P73" i="8"/>
  <c r="P76" i="8"/>
  <c r="P77" i="8"/>
  <c r="P78" i="8"/>
  <c r="P79" i="8"/>
  <c r="P80" i="8"/>
  <c r="P81" i="8"/>
  <c r="P82" i="8"/>
  <c r="P83" i="8"/>
  <c r="P85" i="8"/>
  <c r="P88" i="8"/>
  <c r="P89" i="8"/>
  <c r="P90" i="8"/>
  <c r="P91" i="8"/>
  <c r="P92" i="8"/>
  <c r="P93" i="8"/>
  <c r="P94" i="8"/>
  <c r="P95" i="8"/>
  <c r="P97" i="8"/>
  <c r="P100" i="8"/>
  <c r="P101" i="8"/>
  <c r="P102" i="8"/>
  <c r="P103" i="8"/>
  <c r="P104" i="8"/>
  <c r="P105" i="8"/>
  <c r="P106" i="8"/>
  <c r="P107" i="8"/>
  <c r="P109" i="8"/>
  <c r="P112" i="8"/>
  <c r="P113" i="8"/>
  <c r="P114" i="8"/>
  <c r="P115" i="8"/>
  <c r="P116" i="8"/>
  <c r="P117" i="8"/>
  <c r="P118" i="8"/>
  <c r="P119" i="8"/>
  <c r="P121" i="8"/>
  <c r="P124" i="8"/>
  <c r="P125" i="8"/>
  <c r="P126" i="8"/>
  <c r="P127" i="8"/>
  <c r="P128" i="8"/>
  <c r="P129" i="8"/>
  <c r="P130" i="8"/>
  <c r="P131" i="8"/>
  <c r="P133" i="8"/>
  <c r="P136" i="8"/>
  <c r="P137" i="8"/>
  <c r="P139" i="8"/>
  <c r="P140" i="8"/>
  <c r="P141" i="8"/>
  <c r="P142" i="8"/>
  <c r="P143" i="8"/>
  <c r="P145" i="8"/>
  <c r="P148" i="8"/>
  <c r="P149" i="8"/>
  <c r="P150" i="8"/>
  <c r="P151" i="8"/>
  <c r="P152" i="8"/>
  <c r="P153" i="8"/>
  <c r="P154" i="8"/>
  <c r="P155" i="8"/>
  <c r="P157" i="8"/>
  <c r="P160" i="8"/>
  <c r="P161" i="8"/>
  <c r="P162" i="8"/>
  <c r="P163" i="8"/>
  <c r="P164" i="8"/>
  <c r="P165" i="8"/>
  <c r="P166" i="8"/>
  <c r="P167" i="8"/>
  <c r="P169" i="8"/>
  <c r="P172" i="8"/>
  <c r="P173" i="8"/>
  <c r="P174" i="8"/>
  <c r="P175" i="8"/>
  <c r="P176" i="8"/>
  <c r="P177" i="8"/>
  <c r="P178" i="8"/>
  <c r="P179" i="8"/>
  <c r="P181" i="8"/>
  <c r="P184" i="8"/>
  <c r="P185" i="8"/>
  <c r="P186" i="8"/>
  <c r="P187" i="8"/>
  <c r="P188" i="8"/>
  <c r="P189" i="8"/>
  <c r="P190" i="8"/>
  <c r="P191" i="8"/>
  <c r="P193" i="8"/>
  <c r="P196" i="8"/>
  <c r="P197" i="8"/>
  <c r="P198" i="8"/>
  <c r="P199" i="8"/>
  <c r="P200" i="8"/>
  <c r="P201" i="8"/>
  <c r="P202" i="8"/>
  <c r="P203" i="8"/>
  <c r="P205" i="8"/>
  <c r="P208" i="8"/>
  <c r="P209" i="8"/>
  <c r="P210" i="8"/>
  <c r="P211" i="8"/>
  <c r="P212" i="8"/>
  <c r="P213" i="8"/>
  <c r="P214" i="8"/>
  <c r="P215" i="8"/>
  <c r="P217" i="8"/>
  <c r="P220" i="8"/>
  <c r="P221" i="8"/>
  <c r="P222" i="8"/>
  <c r="P223" i="8"/>
  <c r="P224" i="8"/>
  <c r="P225" i="8"/>
  <c r="P226" i="8"/>
  <c r="P227" i="8"/>
  <c r="P229" i="8"/>
  <c r="P232" i="8"/>
  <c r="P233" i="8"/>
  <c r="P234" i="8"/>
  <c r="P235" i="8"/>
  <c r="P236" i="8"/>
  <c r="P237" i="8"/>
  <c r="P238" i="8"/>
  <c r="P239" i="8"/>
  <c r="P241" i="8"/>
  <c r="P244" i="8"/>
  <c r="P245" i="8"/>
  <c r="P246" i="8"/>
  <c r="P247" i="8"/>
  <c r="P248" i="8"/>
  <c r="P249" i="8"/>
  <c r="P250" i="8"/>
  <c r="P251" i="8"/>
  <c r="P253" i="8"/>
  <c r="P256" i="8"/>
  <c r="P257" i="8"/>
  <c r="P258" i="8"/>
  <c r="P259" i="8"/>
  <c r="P260" i="8"/>
  <c r="P261" i="8"/>
  <c r="P262" i="8"/>
  <c r="P263" i="8"/>
  <c r="P265" i="8"/>
  <c r="P268" i="8"/>
  <c r="P269" i="8"/>
  <c r="P270" i="8"/>
  <c r="P271" i="8"/>
  <c r="P272" i="8"/>
  <c r="P273" i="8"/>
  <c r="P274" i="8"/>
  <c r="P275" i="8"/>
  <c r="P277" i="8"/>
  <c r="P280" i="8"/>
  <c r="P281" i="8"/>
  <c r="P282" i="8"/>
  <c r="P283" i="8"/>
  <c r="P284" i="8"/>
  <c r="P285" i="8"/>
  <c r="P286" i="8"/>
  <c r="P287" i="8"/>
  <c r="P289" i="8"/>
  <c r="P292" i="8"/>
  <c r="P293" i="8"/>
  <c r="P294" i="8"/>
  <c r="P295" i="8"/>
  <c r="P296" i="8"/>
  <c r="P297" i="8"/>
  <c r="P298" i="8"/>
  <c r="P299" i="8"/>
  <c r="P301" i="8"/>
  <c r="P304" i="8"/>
  <c r="P305" i="8"/>
  <c r="P306" i="8"/>
  <c r="P307" i="8"/>
  <c r="P308" i="8"/>
  <c r="P309" i="8"/>
  <c r="P310" i="8"/>
  <c r="P311" i="8"/>
  <c r="P313" i="8"/>
  <c r="P316" i="8"/>
  <c r="P317" i="8"/>
  <c r="P318" i="8"/>
  <c r="P319" i="8"/>
  <c r="P320" i="8"/>
  <c r="P321" i="8"/>
  <c r="P322" i="8"/>
  <c r="P323" i="8"/>
  <c r="P325" i="8"/>
  <c r="P328" i="8"/>
  <c r="P329" i="8"/>
  <c r="P330" i="8"/>
  <c r="P331" i="8"/>
  <c r="P332" i="8"/>
  <c r="P333" i="8"/>
  <c r="P334" i="8"/>
  <c r="P335" i="8"/>
  <c r="P337" i="8"/>
  <c r="P340" i="8"/>
  <c r="O16" i="6"/>
  <c r="P16" i="6" s="1"/>
  <c r="O17" i="6"/>
  <c r="O18" i="6"/>
  <c r="P18" i="6" s="1"/>
  <c r="O19" i="6"/>
  <c r="P19" i="6" s="1"/>
  <c r="O20" i="6"/>
  <c r="P20" i="6" s="1"/>
  <c r="O21" i="6"/>
  <c r="P21" i="6" s="1"/>
  <c r="O22" i="6"/>
  <c r="O23" i="6"/>
  <c r="P23" i="6" s="1"/>
  <c r="O24" i="6"/>
  <c r="O25" i="6"/>
  <c r="P25" i="6" s="1"/>
  <c r="O26" i="6"/>
  <c r="P26" i="6" s="1"/>
  <c r="O27" i="6"/>
  <c r="P27" i="6" s="1"/>
  <c r="O28" i="6"/>
  <c r="P28" i="6" s="1"/>
  <c r="O29" i="6"/>
  <c r="P29" i="6" s="1"/>
  <c r="O30" i="6"/>
  <c r="P30" i="6" s="1"/>
  <c r="O31" i="6"/>
  <c r="P31" i="6" s="1"/>
  <c r="O32" i="6"/>
  <c r="P32" i="6" s="1"/>
  <c r="O33" i="6"/>
  <c r="P33" i="6" s="1"/>
  <c r="O34" i="6"/>
  <c r="O35" i="6"/>
  <c r="P35" i="6" s="1"/>
  <c r="O36" i="6"/>
  <c r="O37" i="6"/>
  <c r="P37" i="6" s="1"/>
  <c r="O38" i="6"/>
  <c r="P38" i="6" s="1"/>
  <c r="O39" i="6"/>
  <c r="P39" i="6" s="1"/>
  <c r="O40" i="6"/>
  <c r="P40" i="6" s="1"/>
  <c r="O41" i="6"/>
  <c r="P41" i="6" s="1"/>
  <c r="O42" i="6"/>
  <c r="P42" i="6" s="1"/>
  <c r="O43" i="6"/>
  <c r="P43" i="6" s="1"/>
  <c r="O44" i="6"/>
  <c r="P44" i="6" s="1"/>
  <c r="O45" i="6"/>
  <c r="P45" i="6" s="1"/>
  <c r="O46" i="6"/>
  <c r="P46" i="6" s="1"/>
  <c r="O47" i="6"/>
  <c r="P47" i="6" s="1"/>
  <c r="O48" i="6"/>
  <c r="O49" i="6"/>
  <c r="P49" i="6" s="1"/>
  <c r="O50" i="6"/>
  <c r="P50" i="6" s="1"/>
  <c r="O51" i="6"/>
  <c r="P51" i="6" s="1"/>
  <c r="O52" i="6"/>
  <c r="P52" i="6" s="1"/>
  <c r="O53" i="6"/>
  <c r="O54" i="6"/>
  <c r="P54" i="6" s="1"/>
  <c r="O55" i="6"/>
  <c r="P55" i="6" s="1"/>
  <c r="O56" i="6"/>
  <c r="P56" i="6" s="1"/>
  <c r="O57" i="6"/>
  <c r="P57" i="6" s="1"/>
  <c r="O58" i="6"/>
  <c r="O59" i="6"/>
  <c r="P59" i="6" s="1"/>
  <c r="O60" i="6"/>
  <c r="O61" i="6"/>
  <c r="P61" i="6" s="1"/>
  <c r="O62" i="6"/>
  <c r="P62" i="6" s="1"/>
  <c r="O63" i="6"/>
  <c r="P63" i="6" s="1"/>
  <c r="O64" i="6"/>
  <c r="O65" i="6"/>
  <c r="O66" i="6"/>
  <c r="P66" i="6" s="1"/>
  <c r="O67" i="6"/>
  <c r="P67" i="6" s="1"/>
  <c r="O68" i="6"/>
  <c r="P68" i="6" s="1"/>
  <c r="O69" i="6"/>
  <c r="P69" i="6" s="1"/>
  <c r="O70" i="6"/>
  <c r="O71" i="6"/>
  <c r="P71" i="6" s="1"/>
  <c r="O72" i="6"/>
  <c r="O73" i="6"/>
  <c r="P73" i="6" s="1"/>
  <c r="O74" i="6"/>
  <c r="P74" i="6" s="1"/>
  <c r="O75" i="6"/>
  <c r="P75" i="6" s="1"/>
  <c r="O76" i="6"/>
  <c r="P76" i="6" s="1"/>
  <c r="O77" i="6"/>
  <c r="O78" i="6"/>
  <c r="O79" i="6"/>
  <c r="P79" i="6" s="1"/>
  <c r="O80" i="6"/>
  <c r="P80" i="6" s="1"/>
  <c r="O81" i="6"/>
  <c r="P81" i="6" s="1"/>
  <c r="O82" i="6"/>
  <c r="O83" i="6"/>
  <c r="P83" i="6" s="1"/>
  <c r="O84" i="6"/>
  <c r="O85" i="6"/>
  <c r="P85" i="6" s="1"/>
  <c r="O86" i="6"/>
  <c r="P86" i="6" s="1"/>
  <c r="O87" i="6"/>
  <c r="P87" i="6" s="1"/>
  <c r="O88" i="6"/>
  <c r="O89" i="6"/>
  <c r="O90" i="6"/>
  <c r="O91" i="6"/>
  <c r="P91" i="6" s="1"/>
  <c r="O92" i="6"/>
  <c r="P92" i="6" s="1"/>
  <c r="O93" i="6"/>
  <c r="P93" i="6" s="1"/>
  <c r="O94" i="6"/>
  <c r="P94" i="6" s="1"/>
  <c r="O95" i="6"/>
  <c r="P95" i="6" s="1"/>
  <c r="O96" i="6"/>
  <c r="O97" i="6"/>
  <c r="P97" i="6" s="1"/>
  <c r="O98" i="6"/>
  <c r="P98" i="6" s="1"/>
  <c r="O99" i="6"/>
  <c r="P99" i="6" s="1"/>
  <c r="O100" i="6"/>
  <c r="P100" i="6" s="1"/>
  <c r="O101" i="6"/>
  <c r="O102" i="6"/>
  <c r="P102" i="6" s="1"/>
  <c r="O103" i="6"/>
  <c r="P103" i="6" s="1"/>
  <c r="O104" i="6"/>
  <c r="P104" i="6" s="1"/>
  <c r="O105" i="6"/>
  <c r="P105" i="6" s="1"/>
  <c r="O106" i="6"/>
  <c r="P106" i="6" s="1"/>
  <c r="O107" i="6"/>
  <c r="P107" i="6" s="1"/>
  <c r="O108" i="6"/>
  <c r="O109" i="6"/>
  <c r="P109" i="6" s="1"/>
  <c r="O110" i="6"/>
  <c r="P110" i="6" s="1"/>
  <c r="O111" i="6"/>
  <c r="P111" i="6" s="1"/>
  <c r="O112" i="6"/>
  <c r="P112" i="6" s="1"/>
  <c r="O113" i="6"/>
  <c r="O114" i="6"/>
  <c r="O115" i="6"/>
  <c r="P115" i="6" s="1"/>
  <c r="O116" i="6"/>
  <c r="P116" i="6" s="1"/>
  <c r="O117" i="6"/>
  <c r="P117" i="6" s="1"/>
  <c r="O118" i="6"/>
  <c r="P118" i="6" s="1"/>
  <c r="O119" i="6"/>
  <c r="P119" i="6" s="1"/>
  <c r="O120" i="6"/>
  <c r="O121" i="6"/>
  <c r="P121" i="6" s="1"/>
  <c r="O122" i="6"/>
  <c r="P122" i="6" s="1"/>
  <c r="O123" i="6"/>
  <c r="P123" i="6" s="1"/>
  <c r="O124" i="6"/>
  <c r="P124" i="6" s="1"/>
  <c r="O125" i="6"/>
  <c r="O126" i="6"/>
  <c r="P126" i="6" s="1"/>
  <c r="O127" i="6"/>
  <c r="P127" i="6" s="1"/>
  <c r="O128" i="6"/>
  <c r="P128" i="6" s="1"/>
  <c r="O129" i="6"/>
  <c r="P129" i="6" s="1"/>
  <c r="O130" i="6"/>
  <c r="O131" i="6"/>
  <c r="P131" i="6" s="1"/>
  <c r="O132" i="6"/>
  <c r="O133" i="6"/>
  <c r="P133" i="6" s="1"/>
  <c r="O134" i="6"/>
  <c r="P134" i="6" s="1"/>
  <c r="O135" i="6"/>
  <c r="P135" i="6" s="1"/>
  <c r="O136" i="6"/>
  <c r="P136" i="6" s="1"/>
  <c r="O137" i="6"/>
  <c r="O138" i="6"/>
  <c r="P138" i="6" s="1"/>
  <c r="O139" i="6"/>
  <c r="P139" i="6" s="1"/>
  <c r="O140" i="6"/>
  <c r="P140" i="6" s="1"/>
  <c r="O141" i="6"/>
  <c r="P141" i="6" s="1"/>
  <c r="O142" i="6"/>
  <c r="O143" i="6"/>
  <c r="P143" i="6" s="1"/>
  <c r="O144" i="6"/>
  <c r="P144" i="6" s="1"/>
  <c r="O145" i="6"/>
  <c r="P145" i="6" s="1"/>
  <c r="O146" i="6"/>
  <c r="P146" i="6" s="1"/>
  <c r="O147" i="6"/>
  <c r="P147" i="6" s="1"/>
  <c r="O148" i="6"/>
  <c r="P148" i="6" s="1"/>
  <c r="O149" i="6"/>
  <c r="O150" i="6"/>
  <c r="O151" i="6"/>
  <c r="P151" i="6" s="1"/>
  <c r="O152" i="6"/>
  <c r="P152" i="6" s="1"/>
  <c r="O153" i="6"/>
  <c r="P153" i="6" s="1"/>
  <c r="O154" i="6"/>
  <c r="P154" i="6" s="1"/>
  <c r="O155" i="6"/>
  <c r="P155" i="6" s="1"/>
  <c r="O156" i="6"/>
  <c r="O157" i="6"/>
  <c r="P157" i="6" s="1"/>
  <c r="O158" i="6"/>
  <c r="P158" i="6" s="1"/>
  <c r="O159" i="6"/>
  <c r="P159" i="6" s="1"/>
  <c r="O160" i="6"/>
  <c r="P160" i="6" s="1"/>
  <c r="O161" i="6"/>
  <c r="O162" i="6"/>
  <c r="P162" i="6" s="1"/>
  <c r="O163" i="6"/>
  <c r="P163" i="6" s="1"/>
  <c r="O164" i="6"/>
  <c r="P164" i="6" s="1"/>
  <c r="O165" i="6"/>
  <c r="P165" i="6" s="1"/>
  <c r="O166" i="6"/>
  <c r="P166" i="6" s="1"/>
  <c r="O167" i="6"/>
  <c r="P167" i="6" s="1"/>
  <c r="O168" i="6"/>
  <c r="O169" i="6"/>
  <c r="P169" i="6" s="1"/>
  <c r="O170" i="6"/>
  <c r="P170" i="6" s="1"/>
  <c r="O171" i="6"/>
  <c r="P171" i="6" s="1"/>
  <c r="O172" i="6"/>
  <c r="P172" i="6" s="1"/>
  <c r="O173" i="6"/>
  <c r="O174" i="6"/>
  <c r="P174" i="6" s="1"/>
  <c r="O175" i="6"/>
  <c r="P175" i="6" s="1"/>
  <c r="O176" i="6"/>
  <c r="P176" i="6" s="1"/>
  <c r="O177" i="6"/>
  <c r="P177" i="6" s="1"/>
  <c r="O178" i="6"/>
  <c r="P178" i="6" s="1"/>
  <c r="O179" i="6"/>
  <c r="P179" i="6" s="1"/>
  <c r="O180" i="6"/>
  <c r="O181" i="6"/>
  <c r="P181" i="6" s="1"/>
  <c r="O182" i="6"/>
  <c r="P182" i="6" s="1"/>
  <c r="O183" i="6"/>
  <c r="P183" i="6" s="1"/>
  <c r="O184" i="6"/>
  <c r="O185" i="6"/>
  <c r="O186" i="6"/>
  <c r="P186" i="6" s="1"/>
  <c r="O187" i="6"/>
  <c r="P187" i="6" s="1"/>
  <c r="O188" i="6"/>
  <c r="P188" i="6" s="1"/>
  <c r="O189" i="6"/>
  <c r="P189" i="6" s="1"/>
  <c r="O190" i="6"/>
  <c r="P190" i="6" s="1"/>
  <c r="O191" i="6"/>
  <c r="P191" i="6" s="1"/>
  <c r="O192" i="6"/>
  <c r="O193" i="6"/>
  <c r="P193" i="6" s="1"/>
  <c r="O194" i="6"/>
  <c r="P194" i="6" s="1"/>
  <c r="O195" i="6"/>
  <c r="O196" i="6"/>
  <c r="O197" i="6"/>
  <c r="O198" i="6"/>
  <c r="O199" i="6"/>
  <c r="P199" i="6" s="1"/>
  <c r="O200" i="6"/>
  <c r="P200" i="6" s="1"/>
  <c r="O201" i="6"/>
  <c r="P201" i="6" s="1"/>
  <c r="O202" i="6"/>
  <c r="P202" i="6" s="1"/>
  <c r="O203" i="6"/>
  <c r="P203" i="6" s="1"/>
  <c r="O204" i="6"/>
  <c r="O205" i="6"/>
  <c r="P205" i="6" s="1"/>
  <c r="O206" i="6"/>
  <c r="P206" i="6" s="1"/>
  <c r="O207" i="6"/>
  <c r="P207" i="6" s="1"/>
  <c r="O208" i="6"/>
  <c r="P208" i="6" s="1"/>
  <c r="O209" i="6"/>
  <c r="O210" i="6"/>
  <c r="O211" i="6"/>
  <c r="P211" i="6" s="1"/>
  <c r="O212" i="6"/>
  <c r="P212" i="6" s="1"/>
  <c r="O213" i="6"/>
  <c r="P213" i="6" s="1"/>
  <c r="O214" i="6"/>
  <c r="P214" i="6" s="1"/>
  <c r="O215" i="6"/>
  <c r="P215" i="6" s="1"/>
  <c r="O216" i="6"/>
  <c r="O217" i="6"/>
  <c r="P217" i="6" s="1"/>
  <c r="O218" i="6"/>
  <c r="P218" i="6" s="1"/>
  <c r="O219" i="6"/>
  <c r="P219" i="6" s="1"/>
  <c r="O220" i="6"/>
  <c r="P220" i="6" s="1"/>
  <c r="O221" i="6"/>
  <c r="O222" i="6"/>
  <c r="O223" i="6"/>
  <c r="P223" i="6" s="1"/>
  <c r="O224" i="6"/>
  <c r="P224" i="6" s="1"/>
  <c r="O225" i="6"/>
  <c r="P225" i="6" s="1"/>
  <c r="O226" i="6"/>
  <c r="P226" i="6" s="1"/>
  <c r="O227" i="6"/>
  <c r="P227" i="6" s="1"/>
  <c r="O228" i="6"/>
  <c r="O229" i="6"/>
  <c r="P229" i="6" s="1"/>
  <c r="O230" i="6"/>
  <c r="P230" i="6" s="1"/>
  <c r="O231" i="6"/>
  <c r="P231" i="6" s="1"/>
  <c r="O232" i="6"/>
  <c r="P232" i="6" s="1"/>
  <c r="O233" i="6"/>
  <c r="O234" i="6"/>
  <c r="P234" i="6" s="1"/>
  <c r="O235" i="6"/>
  <c r="P235" i="6" s="1"/>
  <c r="O236" i="6"/>
  <c r="P236" i="6" s="1"/>
  <c r="O237" i="6"/>
  <c r="P237" i="6" s="1"/>
  <c r="O238" i="6"/>
  <c r="P238" i="6" s="1"/>
  <c r="O239" i="6"/>
  <c r="P239" i="6" s="1"/>
  <c r="O240" i="6"/>
  <c r="O241" i="6"/>
  <c r="P241" i="6" s="1"/>
  <c r="O242" i="6"/>
  <c r="P242" i="6" s="1"/>
  <c r="O243" i="6"/>
  <c r="P243" i="6" s="1"/>
  <c r="O244" i="6"/>
  <c r="P244" i="6" s="1"/>
  <c r="O245" i="6"/>
  <c r="O246" i="6"/>
  <c r="P246" i="6" s="1"/>
  <c r="O247" i="6"/>
  <c r="P247" i="6" s="1"/>
  <c r="O248" i="6"/>
  <c r="P248" i="6" s="1"/>
  <c r="O249" i="6"/>
  <c r="P249" i="6" s="1"/>
  <c r="O250" i="6"/>
  <c r="P250" i="6" s="1"/>
  <c r="O251" i="6"/>
  <c r="P251" i="6" s="1"/>
  <c r="O252" i="6"/>
  <c r="O253" i="6"/>
  <c r="P253" i="6" s="1"/>
  <c r="O254" i="6"/>
  <c r="P254" i="6" s="1"/>
  <c r="O255" i="6"/>
  <c r="P255" i="6" s="1"/>
  <c r="O256" i="6"/>
  <c r="P256" i="6" s="1"/>
  <c r="O257" i="6"/>
  <c r="O258" i="6"/>
  <c r="O259" i="6"/>
  <c r="P259" i="6" s="1"/>
  <c r="O260" i="6"/>
  <c r="P260" i="6" s="1"/>
  <c r="O261" i="6"/>
  <c r="P261" i="6" s="1"/>
  <c r="O262" i="6"/>
  <c r="P262" i="6" s="1"/>
  <c r="O263" i="6"/>
  <c r="P263" i="6" s="1"/>
  <c r="O264" i="6"/>
  <c r="O265" i="6"/>
  <c r="P265" i="6" s="1"/>
  <c r="O266" i="6"/>
  <c r="P266" i="6" s="1"/>
  <c r="O267" i="6"/>
  <c r="P267" i="6" s="1"/>
  <c r="O268" i="6"/>
  <c r="O269" i="6"/>
  <c r="O270" i="6"/>
  <c r="O271" i="6"/>
  <c r="P271" i="6" s="1"/>
  <c r="O272" i="6"/>
  <c r="P272" i="6" s="1"/>
  <c r="O273" i="6"/>
  <c r="P273" i="6" s="1"/>
  <c r="O274" i="6"/>
  <c r="O275" i="6"/>
  <c r="P275" i="6" s="1"/>
  <c r="O276" i="6"/>
  <c r="O277" i="6"/>
  <c r="P277" i="6" s="1"/>
  <c r="O278" i="6"/>
  <c r="P278" i="6" s="1"/>
  <c r="O279" i="6"/>
  <c r="P279" i="6" s="1"/>
  <c r="O280" i="6"/>
  <c r="P280" i="6" s="1"/>
  <c r="O281" i="6"/>
  <c r="O282" i="6"/>
  <c r="O283" i="6"/>
  <c r="P283" i="6" s="1"/>
  <c r="O284" i="6"/>
  <c r="P284" i="6" s="1"/>
  <c r="O285" i="6"/>
  <c r="P285" i="6" s="1"/>
  <c r="O286" i="6"/>
  <c r="O287" i="6"/>
  <c r="P287" i="6" s="1"/>
  <c r="O288" i="6"/>
  <c r="O289" i="6"/>
  <c r="P289" i="6" s="1"/>
  <c r="O290" i="6"/>
  <c r="P290" i="6" s="1"/>
  <c r="O291" i="6"/>
  <c r="P291" i="6" s="1"/>
  <c r="O292" i="6"/>
  <c r="P292" i="6" s="1"/>
  <c r="O293" i="6"/>
  <c r="O294" i="6"/>
  <c r="P294" i="6" s="1"/>
  <c r="O295" i="6"/>
  <c r="P295" i="6" s="1"/>
  <c r="O296" i="6"/>
  <c r="P296" i="6" s="1"/>
  <c r="O297" i="6"/>
  <c r="P297" i="6" s="1"/>
  <c r="O298" i="6"/>
  <c r="P298" i="6" s="1"/>
  <c r="O299" i="6"/>
  <c r="P299" i="6" s="1"/>
  <c r="O300" i="6"/>
  <c r="O301" i="6"/>
  <c r="P301" i="6" s="1"/>
  <c r="O302" i="6"/>
  <c r="P302" i="6" s="1"/>
  <c r="O303" i="6"/>
  <c r="P303" i="6" s="1"/>
  <c r="O304" i="6"/>
  <c r="O305" i="6"/>
  <c r="O306" i="6"/>
  <c r="O307" i="6"/>
  <c r="P307" i="6" s="1"/>
  <c r="O308" i="6"/>
  <c r="P308" i="6" s="1"/>
  <c r="O309" i="6"/>
  <c r="P309" i="6" s="1"/>
  <c r="O310" i="6"/>
  <c r="P310" i="6" s="1"/>
  <c r="O311" i="6"/>
  <c r="P311" i="6" s="1"/>
  <c r="O312" i="6"/>
  <c r="P312" i="6" s="1"/>
  <c r="O313" i="6"/>
  <c r="P313" i="6" s="1"/>
  <c r="O314" i="6"/>
  <c r="P314" i="6" s="1"/>
  <c r="O315" i="6"/>
  <c r="P315" i="6" s="1"/>
  <c r="O316" i="6"/>
  <c r="P316" i="6" s="1"/>
  <c r="O317" i="6"/>
  <c r="O318" i="6"/>
  <c r="O319" i="6"/>
  <c r="P319" i="6" s="1"/>
  <c r="O320" i="6"/>
  <c r="P320" i="6" s="1"/>
  <c r="O321" i="6"/>
  <c r="P321" i="6" s="1"/>
  <c r="O322" i="6"/>
  <c r="P322" i="6" s="1"/>
  <c r="O323" i="6"/>
  <c r="P323" i="6" s="1"/>
  <c r="O324" i="6"/>
  <c r="O325" i="6"/>
  <c r="P325" i="6" s="1"/>
  <c r="O326" i="6"/>
  <c r="P326" i="6" s="1"/>
  <c r="O327" i="6"/>
  <c r="P327" i="6" s="1"/>
  <c r="O328" i="6"/>
  <c r="P328" i="6" s="1"/>
  <c r="O329" i="6"/>
  <c r="O330" i="6"/>
  <c r="O331" i="6"/>
  <c r="P331" i="6" s="1"/>
  <c r="O332" i="6"/>
  <c r="P332" i="6" s="1"/>
  <c r="O333" i="6"/>
  <c r="P333" i="6" s="1"/>
  <c r="O334" i="6"/>
  <c r="P334" i="6" s="1"/>
  <c r="O335" i="6"/>
  <c r="P335" i="6" s="1"/>
  <c r="O336" i="6"/>
  <c r="O337" i="6"/>
  <c r="P337" i="6" s="1"/>
  <c r="O338" i="6"/>
  <c r="P338" i="6" s="1"/>
  <c r="O339" i="6"/>
  <c r="P339" i="6" s="1"/>
  <c r="O340" i="6"/>
  <c r="P340" i="6" s="1"/>
  <c r="O341" i="6"/>
  <c r="O342" i="6"/>
  <c r="P342" i="6" s="1"/>
  <c r="O343" i="6"/>
  <c r="P343" i="6" s="1"/>
  <c r="O344" i="6"/>
  <c r="P344" i="6" s="1"/>
  <c r="O345" i="6"/>
  <c r="P345" i="6" s="1"/>
  <c r="O346" i="6"/>
  <c r="P346" i="6" s="1"/>
  <c r="O347" i="6"/>
  <c r="P347" i="6" s="1"/>
  <c r="O348" i="6"/>
  <c r="O349" i="6"/>
  <c r="P349" i="6" s="1"/>
  <c r="O350" i="6"/>
  <c r="P350" i="6" s="1"/>
  <c r="O351" i="6"/>
  <c r="O352" i="6"/>
  <c r="P352" i="6" s="1"/>
  <c r="O353" i="6"/>
  <c r="O354" i="6"/>
  <c r="O355" i="6"/>
  <c r="P355" i="6" s="1"/>
  <c r="O356" i="6"/>
  <c r="P356" i="6" s="1"/>
  <c r="O357" i="6"/>
  <c r="P357" i="6" s="1"/>
  <c r="O358" i="6"/>
  <c r="P358" i="6" s="1"/>
  <c r="O359" i="6"/>
  <c r="P359" i="6" s="1"/>
  <c r="O360" i="6"/>
  <c r="O361" i="6"/>
  <c r="P361" i="6" s="1"/>
  <c r="O362" i="6"/>
  <c r="P362" i="6" s="1"/>
  <c r="O363" i="6"/>
  <c r="P363" i="6" s="1"/>
  <c r="O364" i="6"/>
  <c r="P364" i="6" s="1"/>
  <c r="O365" i="6"/>
  <c r="O366" i="6"/>
  <c r="O367" i="6"/>
  <c r="P367" i="6" s="1"/>
  <c r="O368" i="6"/>
  <c r="P368" i="6" s="1"/>
  <c r="O369" i="6"/>
  <c r="P369" i="6" s="1"/>
  <c r="O370" i="6"/>
  <c r="P370" i="6" s="1"/>
  <c r="O371" i="6"/>
  <c r="P371" i="6" s="1"/>
  <c r="O372" i="6"/>
  <c r="O373" i="6"/>
  <c r="P373" i="6" s="1"/>
  <c r="O374" i="6"/>
  <c r="P374" i="6" s="1"/>
  <c r="O375" i="6"/>
  <c r="P375" i="6" s="1"/>
  <c r="O376" i="6"/>
  <c r="O377" i="6"/>
  <c r="O378" i="6"/>
  <c r="O379" i="6"/>
  <c r="P379" i="6" s="1"/>
  <c r="O380" i="6"/>
  <c r="P380" i="6" s="1"/>
  <c r="O381" i="6"/>
  <c r="P381" i="6" s="1"/>
  <c r="O382" i="6"/>
  <c r="P382" i="6" s="1"/>
  <c r="O383" i="6"/>
  <c r="P383" i="6" s="1"/>
  <c r="O384" i="6"/>
  <c r="P384" i="6" s="1"/>
  <c r="O385" i="6"/>
  <c r="P385" i="6" s="1"/>
  <c r="O386" i="6"/>
  <c r="P386" i="6" s="1"/>
  <c r="O387" i="6"/>
  <c r="P387" i="6" s="1"/>
  <c r="O388" i="6"/>
  <c r="P388" i="6" s="1"/>
  <c r="O389" i="6"/>
  <c r="O390" i="6"/>
  <c r="O391" i="6"/>
  <c r="P391" i="6" s="1"/>
  <c r="O392" i="6"/>
  <c r="P392" i="6" s="1"/>
  <c r="O393" i="6"/>
  <c r="P393" i="6" s="1"/>
  <c r="O394" i="6"/>
  <c r="P394" i="6" s="1"/>
  <c r="O395" i="6"/>
  <c r="P395" i="6" s="1"/>
  <c r="O396" i="6"/>
  <c r="O397" i="6"/>
  <c r="P397" i="6" s="1"/>
  <c r="O398" i="6"/>
  <c r="P398" i="6" s="1"/>
  <c r="O399" i="6"/>
  <c r="P399" i="6" s="1"/>
  <c r="O400" i="6"/>
  <c r="O401" i="6"/>
  <c r="O402" i="6"/>
  <c r="P402" i="6" s="1"/>
  <c r="O403" i="6"/>
  <c r="P403" i="6" s="1"/>
  <c r="O404" i="6"/>
  <c r="P404" i="6" s="1"/>
  <c r="O405" i="6"/>
  <c r="P405" i="6" s="1"/>
  <c r="O406" i="6"/>
  <c r="P406" i="6" s="1"/>
  <c r="O407" i="6"/>
  <c r="P407" i="6" s="1"/>
  <c r="O408" i="6"/>
  <c r="O409" i="6"/>
  <c r="P409" i="6" s="1"/>
  <c r="O410" i="6"/>
  <c r="P410" i="6" s="1"/>
  <c r="O411" i="6"/>
  <c r="P411" i="6" s="1"/>
  <c r="O412" i="6"/>
  <c r="P412" i="6" s="1"/>
  <c r="O413" i="6"/>
  <c r="O414" i="6"/>
  <c r="P414" i="6" s="1"/>
  <c r="O415" i="6"/>
  <c r="P415" i="6" s="1"/>
  <c r="O416" i="6"/>
  <c r="P416" i="6" s="1"/>
  <c r="O417" i="6"/>
  <c r="P417" i="6" s="1"/>
  <c r="O418" i="6"/>
  <c r="P418" i="6" s="1"/>
  <c r="O419" i="6"/>
  <c r="P419" i="6" s="1"/>
  <c r="O420" i="6"/>
  <c r="P420" i="6" s="1"/>
  <c r="O421" i="6"/>
  <c r="P421" i="6" s="1"/>
  <c r="O422" i="6"/>
  <c r="O423" i="6"/>
  <c r="P423" i="6" s="1"/>
  <c r="O424" i="6"/>
  <c r="P424" i="6" s="1"/>
  <c r="O425" i="6"/>
  <c r="P425" i="6" s="1"/>
  <c r="O426" i="6"/>
  <c r="P426" i="6" s="1"/>
  <c r="O427" i="6"/>
  <c r="P427" i="6" s="1"/>
  <c r="O428" i="6"/>
  <c r="P428" i="6" s="1"/>
  <c r="O429" i="6"/>
  <c r="P429" i="6" s="1"/>
  <c r="O430" i="6"/>
  <c r="P430" i="6" s="1"/>
  <c r="O431" i="6"/>
  <c r="P431" i="6" s="1"/>
  <c r="O432" i="6"/>
  <c r="P432" i="6" s="1"/>
  <c r="O433" i="6"/>
  <c r="P433" i="6" s="1"/>
  <c r="O434" i="6"/>
  <c r="O435" i="6"/>
  <c r="P435" i="6" s="1"/>
  <c r="O436" i="6"/>
  <c r="O437" i="6"/>
  <c r="P437" i="6" s="1"/>
  <c r="O438" i="6"/>
  <c r="P438" i="6" s="1"/>
  <c r="O439" i="6"/>
  <c r="P439" i="6" s="1"/>
  <c r="O440" i="6"/>
  <c r="P440" i="6" s="1"/>
  <c r="O441" i="6"/>
  <c r="P441" i="6" s="1"/>
  <c r="O442" i="6"/>
  <c r="O443" i="6"/>
  <c r="P443" i="6" s="1"/>
  <c r="O444" i="6"/>
  <c r="P444" i="6" s="1"/>
  <c r="O445" i="6"/>
  <c r="P445" i="6" s="1"/>
  <c r="O446" i="6"/>
  <c r="O447" i="6"/>
  <c r="P447" i="6" s="1"/>
  <c r="O448" i="6"/>
  <c r="O449" i="6"/>
  <c r="P449" i="6" s="1"/>
  <c r="O450" i="6"/>
  <c r="P450" i="6" s="1"/>
  <c r="O451" i="6"/>
  <c r="P451" i="6" s="1"/>
  <c r="O452" i="6"/>
  <c r="P452" i="6" s="1"/>
  <c r="O453" i="6"/>
  <c r="P453" i="6" s="1"/>
  <c r="O454" i="6"/>
  <c r="P454" i="6" s="1"/>
  <c r="O455" i="6"/>
  <c r="P455" i="6" s="1"/>
  <c r="O456" i="6"/>
  <c r="P456" i="6" s="1"/>
  <c r="O457" i="6"/>
  <c r="P457" i="6" s="1"/>
  <c r="O458" i="6"/>
  <c r="O459" i="6"/>
  <c r="P459" i="6" s="1"/>
  <c r="O460" i="6"/>
  <c r="O461" i="6"/>
  <c r="P461" i="6" s="1"/>
  <c r="O462" i="6"/>
  <c r="P462" i="6" s="1"/>
  <c r="O463" i="6"/>
  <c r="P463" i="6" s="1"/>
  <c r="O464" i="6"/>
  <c r="P464" i="6" s="1"/>
  <c r="O465" i="6"/>
  <c r="P465" i="6" s="1"/>
  <c r="O466" i="6"/>
  <c r="P466" i="6" s="1"/>
  <c r="O467" i="6"/>
  <c r="P467" i="6" s="1"/>
  <c r="O468" i="6"/>
  <c r="P468" i="6" s="1"/>
  <c r="O469" i="6"/>
  <c r="P469" i="6" s="1"/>
  <c r="O470" i="6"/>
  <c r="O471" i="6"/>
  <c r="O472" i="6"/>
  <c r="O473" i="6"/>
  <c r="O474" i="6"/>
  <c r="P474" i="6" s="1"/>
  <c r="O475" i="6"/>
  <c r="P475" i="6" s="1"/>
  <c r="O476" i="6"/>
  <c r="P476" i="6" s="1"/>
  <c r="O477" i="6"/>
  <c r="P477" i="6" s="1"/>
  <c r="O478" i="6"/>
  <c r="P478" i="6" s="1"/>
  <c r="O479" i="6"/>
  <c r="P479" i="6" s="1"/>
  <c r="O480" i="6"/>
  <c r="P480" i="6" s="1"/>
  <c r="O481" i="6"/>
  <c r="P481" i="6" s="1"/>
  <c r="O482" i="6"/>
  <c r="O483" i="6"/>
  <c r="P483" i="6" s="1"/>
  <c r="O484" i="6"/>
  <c r="O485" i="6"/>
  <c r="P485" i="6" s="1"/>
  <c r="O486" i="6"/>
  <c r="P486" i="6" s="1"/>
  <c r="O487" i="6"/>
  <c r="P487" i="6" s="1"/>
  <c r="O488" i="6"/>
  <c r="P488" i="6" s="1"/>
  <c r="O489" i="6"/>
  <c r="P489" i="6" s="1"/>
  <c r="O490" i="6"/>
  <c r="P490" i="6" s="1"/>
  <c r="O491" i="6"/>
  <c r="P491" i="6" s="1"/>
  <c r="O492" i="6"/>
  <c r="P492" i="6" s="1"/>
  <c r="O493" i="6"/>
  <c r="P493" i="6" s="1"/>
  <c r="O494" i="6"/>
  <c r="O495" i="6"/>
  <c r="P495" i="6" s="1"/>
  <c r="O496" i="6"/>
  <c r="O497" i="6"/>
  <c r="P497" i="6" s="1"/>
  <c r="O498" i="6"/>
  <c r="P498" i="6" s="1"/>
  <c r="O499" i="6"/>
  <c r="P499" i="6" s="1"/>
  <c r="O500" i="6"/>
  <c r="P500" i="6" s="1"/>
  <c r="O501" i="6"/>
  <c r="P501" i="6" s="1"/>
  <c r="O502" i="6"/>
  <c r="P502" i="6" s="1"/>
  <c r="O503" i="6"/>
  <c r="P503" i="6" s="1"/>
  <c r="O504" i="6"/>
  <c r="P504" i="6" s="1"/>
  <c r="O505" i="6"/>
  <c r="P505" i="6" s="1"/>
  <c r="O506" i="6"/>
  <c r="O507" i="6"/>
  <c r="P507" i="6" s="1"/>
  <c r="O508" i="6"/>
  <c r="O509" i="6"/>
  <c r="P509" i="6" s="1"/>
  <c r="O510" i="6"/>
  <c r="P510" i="6" s="1"/>
  <c r="O511" i="6"/>
  <c r="P511" i="6" s="1"/>
  <c r="O512" i="6"/>
  <c r="P512" i="6" s="1"/>
  <c r="O513" i="6"/>
  <c r="P513" i="6" s="1"/>
  <c r="O514" i="6"/>
  <c r="P514" i="6" s="1"/>
  <c r="O515" i="6"/>
  <c r="P515" i="6" s="1"/>
  <c r="O516" i="6"/>
  <c r="P516" i="6" s="1"/>
  <c r="O517" i="6"/>
  <c r="P517" i="6" s="1"/>
  <c r="O518" i="6"/>
  <c r="O519" i="6"/>
  <c r="P519" i="6" s="1"/>
  <c r="O520" i="6"/>
  <c r="O521" i="6"/>
  <c r="P521" i="6" s="1"/>
  <c r="O522" i="6"/>
  <c r="P522" i="6" s="1"/>
  <c r="O523" i="6"/>
  <c r="P523" i="6" s="1"/>
  <c r="O524" i="6"/>
  <c r="P524" i="6" s="1"/>
  <c r="O525" i="6"/>
  <c r="P525" i="6" s="1"/>
  <c r="O526" i="6"/>
  <c r="P526" i="6" s="1"/>
  <c r="O527" i="6"/>
  <c r="P527" i="6" s="1"/>
  <c r="O528" i="6"/>
  <c r="P528" i="6" s="1"/>
  <c r="O529" i="6"/>
  <c r="P529" i="6" s="1"/>
  <c r="O530" i="6"/>
  <c r="O531" i="6"/>
  <c r="P531" i="6" s="1"/>
  <c r="O532" i="6"/>
  <c r="O533" i="6"/>
  <c r="P533" i="6" s="1"/>
  <c r="O534" i="6"/>
  <c r="P534" i="6" s="1"/>
  <c r="O535" i="6"/>
  <c r="P535" i="6" s="1"/>
  <c r="O536" i="6"/>
  <c r="P536" i="6" s="1"/>
  <c r="O537" i="6"/>
  <c r="P537" i="6" s="1"/>
  <c r="O538" i="6"/>
  <c r="P538" i="6" s="1"/>
  <c r="O539" i="6"/>
  <c r="P539" i="6" s="1"/>
  <c r="O540" i="6"/>
  <c r="P540" i="6" s="1"/>
  <c r="O541" i="6"/>
  <c r="P541" i="6" s="1"/>
  <c r="O542" i="6"/>
  <c r="O543" i="6"/>
  <c r="P543" i="6" s="1"/>
  <c r="O544" i="6"/>
  <c r="O545" i="6"/>
  <c r="P545" i="6" s="1"/>
  <c r="O546" i="6"/>
  <c r="O547" i="6"/>
  <c r="P547" i="6" s="1"/>
  <c r="O548" i="6"/>
  <c r="P548" i="6" s="1"/>
  <c r="O549" i="6"/>
  <c r="P549" i="6" s="1"/>
  <c r="O550" i="6"/>
  <c r="P550" i="6" s="1"/>
  <c r="O551" i="6"/>
  <c r="P551" i="6" s="1"/>
  <c r="O552" i="6"/>
  <c r="P552" i="6" s="1"/>
  <c r="O553" i="6"/>
  <c r="P553" i="6" s="1"/>
  <c r="O554" i="6"/>
  <c r="O555" i="6"/>
  <c r="P555" i="6" s="1"/>
  <c r="P17" i="6"/>
  <c r="P22" i="6"/>
  <c r="P24" i="6"/>
  <c r="P34" i="6"/>
  <c r="P36" i="6"/>
  <c r="P48" i="6"/>
  <c r="P53" i="6"/>
  <c r="P58" i="6"/>
  <c r="P60" i="6"/>
  <c r="P64" i="6"/>
  <c r="P65" i="6"/>
  <c r="P70" i="6"/>
  <c r="P72" i="6"/>
  <c r="P77" i="6"/>
  <c r="P78" i="6"/>
  <c r="P82" i="6"/>
  <c r="P84" i="6"/>
  <c r="P88" i="6"/>
  <c r="P89" i="6"/>
  <c r="P90" i="6"/>
  <c r="P96" i="6"/>
  <c r="P101" i="6"/>
  <c r="P108" i="6"/>
  <c r="P113" i="6"/>
  <c r="P114" i="6"/>
  <c r="P120" i="6"/>
  <c r="P125" i="6"/>
  <c r="P130" i="6"/>
  <c r="P132" i="6"/>
  <c r="P137" i="6"/>
  <c r="P142" i="6"/>
  <c r="P149" i="6"/>
  <c r="P150" i="6"/>
  <c r="P156" i="6"/>
  <c r="P161" i="6"/>
  <c r="P168" i="6"/>
  <c r="P173" i="6"/>
  <c r="P180" i="6"/>
  <c r="P184" i="6"/>
  <c r="P185" i="6"/>
  <c r="P192" i="6"/>
  <c r="P195" i="6"/>
  <c r="P196" i="6"/>
  <c r="P197" i="6"/>
  <c r="P198" i="6"/>
  <c r="P204" i="6"/>
  <c r="P209" i="6"/>
  <c r="P210" i="6"/>
  <c r="P216" i="6"/>
  <c r="P221" i="6"/>
  <c r="P222" i="6"/>
  <c r="P228" i="6"/>
  <c r="P233" i="6"/>
  <c r="P240" i="6"/>
  <c r="P245" i="6"/>
  <c r="P252" i="6"/>
  <c r="P257" i="6"/>
  <c r="P258" i="6"/>
  <c r="P264" i="6"/>
  <c r="P268" i="6"/>
  <c r="P269" i="6"/>
  <c r="P270" i="6"/>
  <c r="P274" i="6"/>
  <c r="P276" i="6"/>
  <c r="P281" i="6"/>
  <c r="P282" i="6"/>
  <c r="P286" i="6"/>
  <c r="P288" i="6"/>
  <c r="P293" i="6"/>
  <c r="P300" i="6"/>
  <c r="P304" i="6"/>
  <c r="P305" i="6"/>
  <c r="P306" i="6"/>
  <c r="P317" i="6"/>
  <c r="P318" i="6"/>
  <c r="P324" i="6"/>
  <c r="P329" i="6"/>
  <c r="P330" i="6"/>
  <c r="P336" i="6"/>
  <c r="P341" i="6"/>
  <c r="P348" i="6"/>
  <c r="P351" i="6"/>
  <c r="P353" i="6"/>
  <c r="P354" i="6"/>
  <c r="P360" i="6"/>
  <c r="P365" i="6"/>
  <c r="P366" i="6"/>
  <c r="P372" i="6"/>
  <c r="P376" i="6"/>
  <c r="P377" i="6"/>
  <c r="P378" i="6"/>
  <c r="P389" i="6"/>
  <c r="P390" i="6"/>
  <c r="P396" i="6"/>
  <c r="P400" i="6"/>
  <c r="P401" i="6"/>
  <c r="P408" i="6"/>
  <c r="P413" i="6"/>
  <c r="P422" i="6"/>
  <c r="P434" i="6"/>
  <c r="P436" i="6"/>
  <c r="P442" i="6"/>
  <c r="P446" i="6"/>
  <c r="P448" i="6"/>
  <c r="P458" i="6"/>
  <c r="P460" i="6"/>
  <c r="P470" i="6"/>
  <c r="P471" i="6"/>
  <c r="P472" i="6"/>
  <c r="P473" i="6"/>
  <c r="P482" i="6"/>
  <c r="P484" i="6"/>
  <c r="P494" i="6"/>
  <c r="P496" i="6"/>
  <c r="P506" i="6"/>
  <c r="P508" i="6"/>
  <c r="P518" i="6"/>
  <c r="P520" i="6"/>
  <c r="P530" i="6"/>
  <c r="P532" i="6"/>
  <c r="P542" i="6"/>
  <c r="P544" i="6"/>
  <c r="P546" i="6"/>
  <c r="P554" i="6"/>
  <c r="O16" i="5"/>
  <c r="P16" i="5" s="1"/>
  <c r="O17" i="5"/>
  <c r="P17" i="5" s="1"/>
  <c r="O18" i="5"/>
  <c r="O19" i="5"/>
  <c r="P19" i="5" s="1"/>
  <c r="O20" i="5"/>
  <c r="P20" i="5" s="1"/>
  <c r="O21" i="5"/>
  <c r="O22" i="5"/>
  <c r="P22" i="5" s="1"/>
  <c r="O23" i="5"/>
  <c r="P23" i="5" s="1"/>
  <c r="O24" i="5"/>
  <c r="P24" i="5" s="1"/>
  <c r="O25" i="5"/>
  <c r="P25" i="5" s="1"/>
  <c r="O26" i="5"/>
  <c r="P26" i="5" s="1"/>
  <c r="O27" i="5"/>
  <c r="P27" i="5" s="1"/>
  <c r="O28" i="5"/>
  <c r="P28" i="5" s="1"/>
  <c r="O29" i="5"/>
  <c r="O30" i="5"/>
  <c r="O31" i="5"/>
  <c r="P31" i="5" s="1"/>
  <c r="O32" i="5"/>
  <c r="P32" i="5" s="1"/>
  <c r="O33" i="5"/>
  <c r="O34" i="5"/>
  <c r="P34" i="5" s="1"/>
  <c r="O35" i="5"/>
  <c r="O36" i="5"/>
  <c r="P36" i="5" s="1"/>
  <c r="O37" i="5"/>
  <c r="P37" i="5" s="1"/>
  <c r="O38" i="5"/>
  <c r="P38" i="5" s="1"/>
  <c r="O39" i="5"/>
  <c r="P39" i="5" s="1"/>
  <c r="O40" i="5"/>
  <c r="P40" i="5" s="1"/>
  <c r="O41" i="5"/>
  <c r="O42" i="5"/>
  <c r="O43" i="5"/>
  <c r="P43" i="5" s="1"/>
  <c r="O44" i="5"/>
  <c r="P44" i="5" s="1"/>
  <c r="O45" i="5"/>
  <c r="O46" i="5"/>
  <c r="P46" i="5" s="1"/>
  <c r="O47" i="5"/>
  <c r="P47" i="5" s="1"/>
  <c r="O48" i="5"/>
  <c r="P48" i="5" s="1"/>
  <c r="O49" i="5"/>
  <c r="P49" i="5" s="1"/>
  <c r="O50" i="5"/>
  <c r="P50" i="5" s="1"/>
  <c r="O51" i="5"/>
  <c r="P51" i="5" s="1"/>
  <c r="O52" i="5"/>
  <c r="P52" i="5" s="1"/>
  <c r="O53" i="5"/>
  <c r="P53" i="5" s="1"/>
  <c r="O54" i="5"/>
  <c r="O55" i="5"/>
  <c r="P55" i="5" s="1"/>
  <c r="O56" i="5"/>
  <c r="P56" i="5" s="1"/>
  <c r="O57" i="5"/>
  <c r="O58" i="5"/>
  <c r="P58" i="5" s="1"/>
  <c r="O59" i="5"/>
  <c r="O60" i="5"/>
  <c r="P60" i="5" s="1"/>
  <c r="O61" i="5"/>
  <c r="P61" i="5" s="1"/>
  <c r="O62" i="5"/>
  <c r="P62" i="5" s="1"/>
  <c r="O63" i="5"/>
  <c r="P63" i="5" s="1"/>
  <c r="O64" i="5"/>
  <c r="P64" i="5" s="1"/>
  <c r="O65" i="5"/>
  <c r="P65" i="5" s="1"/>
  <c r="O66" i="5"/>
  <c r="O67" i="5"/>
  <c r="P67" i="5" s="1"/>
  <c r="O68" i="5"/>
  <c r="P68" i="5" s="1"/>
  <c r="O69" i="5"/>
  <c r="O70" i="5"/>
  <c r="P70" i="5" s="1"/>
  <c r="O71" i="5"/>
  <c r="P71" i="5" s="1"/>
  <c r="O72" i="5"/>
  <c r="P72" i="5" s="1"/>
  <c r="O73" i="5"/>
  <c r="P73" i="5" s="1"/>
  <c r="O74" i="5"/>
  <c r="P74" i="5" s="1"/>
  <c r="O75" i="5"/>
  <c r="P75" i="5" s="1"/>
  <c r="O76" i="5"/>
  <c r="P76" i="5" s="1"/>
  <c r="O77" i="5"/>
  <c r="P77" i="5" s="1"/>
  <c r="O78" i="5"/>
  <c r="P78" i="5" s="1"/>
  <c r="O79" i="5"/>
  <c r="P79" i="5" s="1"/>
  <c r="O80" i="5"/>
  <c r="O81" i="5"/>
  <c r="O82" i="5"/>
  <c r="P82" i="5" s="1"/>
  <c r="O83" i="5"/>
  <c r="P83" i="5" s="1"/>
  <c r="O84" i="5"/>
  <c r="P84" i="5" s="1"/>
  <c r="O85" i="5"/>
  <c r="P85" i="5" s="1"/>
  <c r="O86" i="5"/>
  <c r="P86" i="5" s="1"/>
  <c r="O87" i="5"/>
  <c r="P87" i="5" s="1"/>
  <c r="O88" i="5"/>
  <c r="P88" i="5" s="1"/>
  <c r="O89" i="5"/>
  <c r="P89" i="5" s="1"/>
  <c r="O90" i="5"/>
  <c r="O91" i="5"/>
  <c r="P91" i="5" s="1"/>
  <c r="O92" i="5"/>
  <c r="P92" i="5" s="1"/>
  <c r="O93" i="5"/>
  <c r="O94" i="5"/>
  <c r="P94" i="5" s="1"/>
  <c r="O95" i="5"/>
  <c r="O96" i="5"/>
  <c r="P96" i="5" s="1"/>
  <c r="O97" i="5"/>
  <c r="P97" i="5" s="1"/>
  <c r="O98" i="5"/>
  <c r="P98" i="5" s="1"/>
  <c r="O99" i="5"/>
  <c r="P99" i="5" s="1"/>
  <c r="O100" i="5"/>
  <c r="P100" i="5" s="1"/>
  <c r="O101" i="5"/>
  <c r="P101" i="5" s="1"/>
  <c r="O102" i="5"/>
  <c r="O103" i="5"/>
  <c r="P103" i="5" s="1"/>
  <c r="O104" i="5"/>
  <c r="P104" i="5" s="1"/>
  <c r="O105" i="5"/>
  <c r="O106" i="5"/>
  <c r="P106" i="5" s="1"/>
  <c r="O107" i="5"/>
  <c r="P107" i="5" s="1"/>
  <c r="O108" i="5"/>
  <c r="P108" i="5" s="1"/>
  <c r="O109" i="5"/>
  <c r="P109" i="5" s="1"/>
  <c r="O110" i="5"/>
  <c r="P110" i="5" s="1"/>
  <c r="O111" i="5"/>
  <c r="P111" i="5" s="1"/>
  <c r="O112" i="5"/>
  <c r="P112" i="5" s="1"/>
  <c r="O113" i="5"/>
  <c r="P113" i="5" s="1"/>
  <c r="O114" i="5"/>
  <c r="O115" i="5"/>
  <c r="P115" i="5" s="1"/>
  <c r="O116" i="5"/>
  <c r="P116" i="5" s="1"/>
  <c r="O117" i="5"/>
  <c r="O118" i="5"/>
  <c r="P118" i="5" s="1"/>
  <c r="O119" i="5"/>
  <c r="P119" i="5" s="1"/>
  <c r="O120" i="5"/>
  <c r="P120" i="5" s="1"/>
  <c r="O121" i="5"/>
  <c r="P121" i="5" s="1"/>
  <c r="O122" i="5"/>
  <c r="P122" i="5" s="1"/>
  <c r="O123" i="5"/>
  <c r="P123" i="5" s="1"/>
  <c r="O124" i="5"/>
  <c r="P124" i="5" s="1"/>
  <c r="O125" i="5"/>
  <c r="P125" i="5" s="1"/>
  <c r="O126" i="5"/>
  <c r="O127" i="5"/>
  <c r="P127" i="5" s="1"/>
  <c r="O128" i="5"/>
  <c r="P128" i="5" s="1"/>
  <c r="O129" i="5"/>
  <c r="O130" i="5"/>
  <c r="P130" i="5" s="1"/>
  <c r="O131" i="5"/>
  <c r="P131" i="5" s="1"/>
  <c r="O132" i="5"/>
  <c r="P132" i="5" s="1"/>
  <c r="O133" i="5"/>
  <c r="P133" i="5" s="1"/>
  <c r="O134" i="5"/>
  <c r="P134" i="5" s="1"/>
  <c r="O135" i="5"/>
  <c r="P135" i="5" s="1"/>
  <c r="O136" i="5"/>
  <c r="P136" i="5" s="1"/>
  <c r="O137" i="5"/>
  <c r="O138" i="5"/>
  <c r="O139" i="5"/>
  <c r="P139" i="5" s="1"/>
  <c r="O140" i="5"/>
  <c r="P140" i="5" s="1"/>
  <c r="O141" i="5"/>
  <c r="O142" i="5"/>
  <c r="P142" i="5" s="1"/>
  <c r="O143" i="5"/>
  <c r="O144" i="5"/>
  <c r="P144" i="5" s="1"/>
  <c r="O145" i="5"/>
  <c r="P145" i="5" s="1"/>
  <c r="O146" i="5"/>
  <c r="P146" i="5" s="1"/>
  <c r="O147" i="5"/>
  <c r="P147" i="5" s="1"/>
  <c r="O148" i="5"/>
  <c r="P148" i="5" s="1"/>
  <c r="O149" i="5"/>
  <c r="O150" i="5"/>
  <c r="P150" i="5" s="1"/>
  <c r="O151" i="5"/>
  <c r="P151" i="5" s="1"/>
  <c r="O152" i="5"/>
  <c r="O153" i="5"/>
  <c r="O154" i="5"/>
  <c r="P154" i="5" s="1"/>
  <c r="O155" i="5"/>
  <c r="P155" i="5" s="1"/>
  <c r="O156" i="5"/>
  <c r="P156" i="5" s="1"/>
  <c r="O157" i="5"/>
  <c r="P157" i="5" s="1"/>
  <c r="O158" i="5"/>
  <c r="P158" i="5" s="1"/>
  <c r="O159" i="5"/>
  <c r="P159" i="5" s="1"/>
  <c r="O160" i="5"/>
  <c r="P160" i="5" s="1"/>
  <c r="O161" i="5"/>
  <c r="P161" i="5" s="1"/>
  <c r="O162" i="5"/>
  <c r="O163" i="5"/>
  <c r="P163" i="5" s="1"/>
  <c r="O164" i="5"/>
  <c r="P164" i="5" s="1"/>
  <c r="O165" i="5"/>
  <c r="O166" i="5"/>
  <c r="P166" i="5" s="1"/>
  <c r="O167" i="5"/>
  <c r="O168" i="5"/>
  <c r="P168" i="5" s="1"/>
  <c r="O169" i="5"/>
  <c r="P169" i="5" s="1"/>
  <c r="O170" i="5"/>
  <c r="P170" i="5" s="1"/>
  <c r="O171" i="5"/>
  <c r="P171" i="5" s="1"/>
  <c r="O172" i="5"/>
  <c r="P172" i="5" s="1"/>
  <c r="O173" i="5"/>
  <c r="O174" i="5"/>
  <c r="P174" i="5" s="1"/>
  <c r="O175" i="5"/>
  <c r="P175" i="5" s="1"/>
  <c r="O176" i="5"/>
  <c r="O177" i="5"/>
  <c r="O178" i="5"/>
  <c r="P178" i="5" s="1"/>
  <c r="O179" i="5"/>
  <c r="P179" i="5" s="1"/>
  <c r="O180" i="5"/>
  <c r="P180" i="5" s="1"/>
  <c r="O181" i="5"/>
  <c r="P181" i="5" s="1"/>
  <c r="O182" i="5"/>
  <c r="P182" i="5" s="1"/>
  <c r="O183" i="5"/>
  <c r="P183" i="5" s="1"/>
  <c r="O184" i="5"/>
  <c r="P184" i="5" s="1"/>
  <c r="O185" i="5"/>
  <c r="P185" i="5" s="1"/>
  <c r="O186" i="5"/>
  <c r="O187" i="5"/>
  <c r="P187" i="5" s="1"/>
  <c r="O188" i="5"/>
  <c r="P188" i="5" s="1"/>
  <c r="O189" i="5"/>
  <c r="O190" i="5"/>
  <c r="P190" i="5" s="1"/>
  <c r="O191" i="5"/>
  <c r="O192" i="5"/>
  <c r="P192" i="5" s="1"/>
  <c r="O193" i="5"/>
  <c r="P193" i="5" s="1"/>
  <c r="O194" i="5"/>
  <c r="P194" i="5" s="1"/>
  <c r="O195" i="5"/>
  <c r="P195" i="5" s="1"/>
  <c r="O196" i="5"/>
  <c r="P196" i="5" s="1"/>
  <c r="O197" i="5"/>
  <c r="P197" i="5" s="1"/>
  <c r="O198" i="5"/>
  <c r="O199" i="5"/>
  <c r="P199" i="5" s="1"/>
  <c r="O200" i="5"/>
  <c r="P200" i="5" s="1"/>
  <c r="O201" i="5"/>
  <c r="O202" i="5"/>
  <c r="P202" i="5" s="1"/>
  <c r="O203" i="5"/>
  <c r="P203" i="5" s="1"/>
  <c r="O204" i="5"/>
  <c r="P204" i="5" s="1"/>
  <c r="O205" i="5"/>
  <c r="P205" i="5" s="1"/>
  <c r="O206" i="5"/>
  <c r="P206" i="5" s="1"/>
  <c r="O207" i="5"/>
  <c r="P207" i="5" s="1"/>
  <c r="O208" i="5"/>
  <c r="P208" i="5" s="1"/>
  <c r="O209" i="5"/>
  <c r="P209" i="5" s="1"/>
  <c r="O210" i="5"/>
  <c r="O211" i="5"/>
  <c r="P211" i="5" s="1"/>
  <c r="O212" i="5"/>
  <c r="P212" i="5" s="1"/>
  <c r="O213" i="5"/>
  <c r="O214" i="5"/>
  <c r="P214" i="5" s="1"/>
  <c r="O215" i="5"/>
  <c r="P215" i="5" s="1"/>
  <c r="O216" i="5"/>
  <c r="P216" i="5" s="1"/>
  <c r="O217" i="5"/>
  <c r="P217" i="5" s="1"/>
  <c r="O218" i="5"/>
  <c r="P218" i="5" s="1"/>
  <c r="O219" i="5"/>
  <c r="P219" i="5" s="1"/>
  <c r="O220" i="5"/>
  <c r="P220" i="5" s="1"/>
  <c r="O221" i="5"/>
  <c r="P221" i="5" s="1"/>
  <c r="O222" i="5"/>
  <c r="P222" i="5" s="1"/>
  <c r="O223" i="5"/>
  <c r="P223" i="5" s="1"/>
  <c r="O224" i="5"/>
  <c r="P224" i="5" s="1"/>
  <c r="O225" i="5"/>
  <c r="O226" i="5"/>
  <c r="P226" i="5" s="1"/>
  <c r="O227" i="5"/>
  <c r="P227" i="5" s="1"/>
  <c r="O228" i="5"/>
  <c r="P228" i="5" s="1"/>
  <c r="O229" i="5"/>
  <c r="P229" i="5" s="1"/>
  <c r="O230" i="5"/>
  <c r="P230" i="5" s="1"/>
  <c r="O231" i="5"/>
  <c r="P231" i="5" s="1"/>
  <c r="O232" i="5"/>
  <c r="P232" i="5" s="1"/>
  <c r="O233" i="5"/>
  <c r="O234" i="5"/>
  <c r="O235" i="5"/>
  <c r="P235" i="5" s="1"/>
  <c r="O236" i="5"/>
  <c r="P236" i="5" s="1"/>
  <c r="O237" i="5"/>
  <c r="O238" i="5"/>
  <c r="P238" i="5" s="1"/>
  <c r="O239" i="5"/>
  <c r="P239" i="5" s="1"/>
  <c r="O240" i="5"/>
  <c r="P240" i="5" s="1"/>
  <c r="O241" i="5"/>
  <c r="P241" i="5" s="1"/>
  <c r="O242" i="5"/>
  <c r="P242" i="5" s="1"/>
  <c r="O243" i="5"/>
  <c r="P243" i="5" s="1"/>
  <c r="O244" i="5"/>
  <c r="P244" i="5" s="1"/>
  <c r="O245" i="5"/>
  <c r="P245" i="5" s="1"/>
  <c r="O246" i="5"/>
  <c r="P246" i="5" s="1"/>
  <c r="O247" i="5"/>
  <c r="P247" i="5" s="1"/>
  <c r="O248" i="5"/>
  <c r="O249" i="5"/>
  <c r="O250" i="5"/>
  <c r="P250" i="5" s="1"/>
  <c r="O251" i="5"/>
  <c r="P251" i="5" s="1"/>
  <c r="O252" i="5"/>
  <c r="P252" i="5" s="1"/>
  <c r="O253" i="5"/>
  <c r="P253" i="5" s="1"/>
  <c r="O254" i="5"/>
  <c r="P254" i="5" s="1"/>
  <c r="O255" i="5"/>
  <c r="P255" i="5" s="1"/>
  <c r="O256" i="5"/>
  <c r="P256" i="5" s="1"/>
  <c r="O257" i="5"/>
  <c r="O258" i="5"/>
  <c r="O259" i="5"/>
  <c r="P259" i="5" s="1"/>
  <c r="O260" i="5"/>
  <c r="O261" i="5"/>
  <c r="O262" i="5"/>
  <c r="P262" i="5" s="1"/>
  <c r="O263" i="5"/>
  <c r="P263" i="5" s="1"/>
  <c r="O264" i="5"/>
  <c r="P264" i="5" s="1"/>
  <c r="O265" i="5"/>
  <c r="P265" i="5" s="1"/>
  <c r="O266" i="5"/>
  <c r="P266" i="5" s="1"/>
  <c r="O267" i="5"/>
  <c r="P267" i="5" s="1"/>
  <c r="O268" i="5"/>
  <c r="P268" i="5" s="1"/>
  <c r="O269" i="5"/>
  <c r="P269" i="5" s="1"/>
  <c r="O270" i="5"/>
  <c r="P270" i="5" s="1"/>
  <c r="O271" i="5"/>
  <c r="P271" i="5" s="1"/>
  <c r="O272" i="5"/>
  <c r="O273" i="5"/>
  <c r="O274" i="5"/>
  <c r="P274" i="5" s="1"/>
  <c r="O275" i="5"/>
  <c r="P275" i="5" s="1"/>
  <c r="O276" i="5"/>
  <c r="P276" i="5" s="1"/>
  <c r="O277" i="5"/>
  <c r="P277" i="5" s="1"/>
  <c r="O278" i="5"/>
  <c r="P278" i="5" s="1"/>
  <c r="O279" i="5"/>
  <c r="P279" i="5" s="1"/>
  <c r="O280" i="5"/>
  <c r="P280" i="5" s="1"/>
  <c r="O281" i="5"/>
  <c r="P281" i="5" s="1"/>
  <c r="O282" i="5"/>
  <c r="O283" i="5"/>
  <c r="P283" i="5" s="1"/>
  <c r="O284" i="5"/>
  <c r="P284" i="5" s="1"/>
  <c r="O285" i="5"/>
  <c r="O286" i="5"/>
  <c r="P286" i="5" s="1"/>
  <c r="O287" i="5"/>
  <c r="P287" i="5" s="1"/>
  <c r="O288" i="5"/>
  <c r="P288" i="5" s="1"/>
  <c r="O289" i="5"/>
  <c r="P289" i="5" s="1"/>
  <c r="O290" i="5"/>
  <c r="P290" i="5" s="1"/>
  <c r="O291" i="5"/>
  <c r="P291" i="5" s="1"/>
  <c r="O292" i="5"/>
  <c r="P292" i="5" s="1"/>
  <c r="O293" i="5"/>
  <c r="P293" i="5" s="1"/>
  <c r="O294" i="5"/>
  <c r="P294" i="5" s="1"/>
  <c r="O295" i="5"/>
  <c r="P295" i="5" s="1"/>
  <c r="O296" i="5"/>
  <c r="O297" i="5"/>
  <c r="O298" i="5"/>
  <c r="P298" i="5" s="1"/>
  <c r="O299" i="5"/>
  <c r="P299" i="5" s="1"/>
  <c r="O300" i="5"/>
  <c r="P300" i="5" s="1"/>
  <c r="O301" i="5"/>
  <c r="P301" i="5" s="1"/>
  <c r="O302" i="5"/>
  <c r="P302" i="5" s="1"/>
  <c r="O303" i="5"/>
  <c r="P303" i="5" s="1"/>
  <c r="O304" i="5"/>
  <c r="P304" i="5" s="1"/>
  <c r="O305" i="5"/>
  <c r="P305" i="5" s="1"/>
  <c r="O306" i="5"/>
  <c r="P306" i="5" s="1"/>
  <c r="O307" i="5"/>
  <c r="P307" i="5" s="1"/>
  <c r="O308" i="5"/>
  <c r="P308" i="5" s="1"/>
  <c r="O309" i="5"/>
  <c r="O310" i="5"/>
  <c r="P310" i="5" s="1"/>
  <c r="O311" i="5"/>
  <c r="O312" i="5"/>
  <c r="P312" i="5" s="1"/>
  <c r="O313" i="5"/>
  <c r="P313" i="5" s="1"/>
  <c r="O314" i="5"/>
  <c r="P314" i="5" s="1"/>
  <c r="O315" i="5"/>
  <c r="P315" i="5" s="1"/>
  <c r="O316" i="5"/>
  <c r="P316" i="5" s="1"/>
  <c r="O317" i="5"/>
  <c r="O318" i="5"/>
  <c r="P318" i="5" s="1"/>
  <c r="O319" i="5"/>
  <c r="P319" i="5" s="1"/>
  <c r="O320" i="5"/>
  <c r="P320" i="5" s="1"/>
  <c r="O321" i="5"/>
  <c r="O322" i="5"/>
  <c r="P322" i="5" s="1"/>
  <c r="O323" i="5"/>
  <c r="P323" i="5" s="1"/>
  <c r="O324" i="5"/>
  <c r="P324" i="5" s="1"/>
  <c r="O325" i="5"/>
  <c r="P325" i="5" s="1"/>
  <c r="O326" i="5"/>
  <c r="P326" i="5" s="1"/>
  <c r="O327" i="5"/>
  <c r="P327" i="5" s="1"/>
  <c r="O328" i="5"/>
  <c r="P328" i="5" s="1"/>
  <c r="O329" i="5"/>
  <c r="O330" i="5"/>
  <c r="O331" i="5"/>
  <c r="P331" i="5" s="1"/>
  <c r="O332" i="5"/>
  <c r="P332" i="5" s="1"/>
  <c r="O333" i="5"/>
  <c r="O334" i="5"/>
  <c r="P334" i="5" s="1"/>
  <c r="O335" i="5"/>
  <c r="P335" i="5" s="1"/>
  <c r="O336" i="5"/>
  <c r="P336" i="5" s="1"/>
  <c r="O337" i="5"/>
  <c r="P337" i="5" s="1"/>
  <c r="O338" i="5"/>
  <c r="P338" i="5" s="1"/>
  <c r="O339" i="5"/>
  <c r="P339" i="5" s="1"/>
  <c r="O340" i="5"/>
  <c r="P340" i="5" s="1"/>
  <c r="O341" i="5"/>
  <c r="P341" i="5" s="1"/>
  <c r="O342" i="5"/>
  <c r="P342" i="5" s="1"/>
  <c r="O343" i="5"/>
  <c r="P343" i="5" s="1"/>
  <c r="O344" i="5"/>
  <c r="P344" i="5" s="1"/>
  <c r="O345" i="5"/>
  <c r="O346" i="5"/>
  <c r="P346" i="5" s="1"/>
  <c r="O347" i="5"/>
  <c r="P347" i="5" s="1"/>
  <c r="O348" i="5"/>
  <c r="P348" i="5" s="1"/>
  <c r="O349" i="5"/>
  <c r="P349" i="5" s="1"/>
  <c r="O350" i="5"/>
  <c r="P350" i="5" s="1"/>
  <c r="O351" i="5"/>
  <c r="P351" i="5" s="1"/>
  <c r="O352" i="5"/>
  <c r="P352" i="5" s="1"/>
  <c r="O353" i="5"/>
  <c r="P353" i="5" s="1"/>
  <c r="O354" i="5"/>
  <c r="P354" i="5" s="1"/>
  <c r="O355" i="5"/>
  <c r="P355" i="5" s="1"/>
  <c r="O356" i="5"/>
  <c r="P356" i="5" s="1"/>
  <c r="O357" i="5"/>
  <c r="O358" i="5"/>
  <c r="P358" i="5" s="1"/>
  <c r="O359" i="5"/>
  <c r="O360" i="5"/>
  <c r="P360" i="5" s="1"/>
  <c r="O361" i="5"/>
  <c r="P361" i="5" s="1"/>
  <c r="O362" i="5"/>
  <c r="P362" i="5" s="1"/>
  <c r="O363" i="5"/>
  <c r="P363" i="5" s="1"/>
  <c r="O364" i="5"/>
  <c r="P364" i="5" s="1"/>
  <c r="O365" i="5"/>
  <c r="P365" i="5" s="1"/>
  <c r="O366" i="5"/>
  <c r="O367" i="5"/>
  <c r="P367" i="5" s="1"/>
  <c r="O368" i="5"/>
  <c r="P368" i="5" s="1"/>
  <c r="O369" i="5"/>
  <c r="O370" i="5"/>
  <c r="P370" i="5" s="1"/>
  <c r="O371" i="5"/>
  <c r="P371" i="5" s="1"/>
  <c r="O372" i="5"/>
  <c r="P372" i="5" s="1"/>
  <c r="O373" i="5"/>
  <c r="P373" i="5" s="1"/>
  <c r="O374" i="5"/>
  <c r="P374" i="5" s="1"/>
  <c r="O375" i="5"/>
  <c r="P375" i="5" s="1"/>
  <c r="O376" i="5"/>
  <c r="P376" i="5" s="1"/>
  <c r="O377" i="5"/>
  <c r="O378" i="5"/>
  <c r="P378" i="5" s="1"/>
  <c r="O379" i="5"/>
  <c r="P379" i="5" s="1"/>
  <c r="O380" i="5"/>
  <c r="P380" i="5" s="1"/>
  <c r="O381" i="5"/>
  <c r="O382" i="5"/>
  <c r="P382" i="5" s="1"/>
  <c r="O383" i="5"/>
  <c r="O384" i="5"/>
  <c r="O385" i="5"/>
  <c r="P385" i="5" s="1"/>
  <c r="O386" i="5"/>
  <c r="P386" i="5" s="1"/>
  <c r="O387" i="5"/>
  <c r="P387" i="5" s="1"/>
  <c r="O388" i="5"/>
  <c r="P388" i="5" s="1"/>
  <c r="O389" i="5"/>
  <c r="P389" i="5" s="1"/>
  <c r="O390" i="5"/>
  <c r="O391" i="5"/>
  <c r="P391" i="5" s="1"/>
  <c r="O392" i="5"/>
  <c r="P392" i="5" s="1"/>
  <c r="O393" i="5"/>
  <c r="O394" i="5"/>
  <c r="P394" i="5" s="1"/>
  <c r="O395" i="5"/>
  <c r="P395" i="5" s="1"/>
  <c r="O396" i="5"/>
  <c r="P396" i="5" s="1"/>
  <c r="O397" i="5"/>
  <c r="P397" i="5" s="1"/>
  <c r="O398" i="5"/>
  <c r="P398" i="5" s="1"/>
  <c r="O399" i="5"/>
  <c r="P399" i="5" s="1"/>
  <c r="O400" i="5"/>
  <c r="P400" i="5" s="1"/>
  <c r="O401" i="5"/>
  <c r="P401" i="5" s="1"/>
  <c r="O402" i="5"/>
  <c r="P402" i="5" s="1"/>
  <c r="O403" i="5"/>
  <c r="P403" i="5" s="1"/>
  <c r="O404" i="5"/>
  <c r="P404" i="5" s="1"/>
  <c r="O405" i="5"/>
  <c r="O406" i="5"/>
  <c r="P406" i="5" s="1"/>
  <c r="O407" i="5"/>
  <c r="O408" i="5"/>
  <c r="P408" i="5" s="1"/>
  <c r="O409" i="5"/>
  <c r="P409" i="5" s="1"/>
  <c r="O410" i="5"/>
  <c r="P410" i="5" s="1"/>
  <c r="O411" i="5"/>
  <c r="P411" i="5" s="1"/>
  <c r="O412" i="5"/>
  <c r="P412" i="5" s="1"/>
  <c r="O413" i="5"/>
  <c r="P413" i="5" s="1"/>
  <c r="O414" i="5"/>
  <c r="P414" i="5" s="1"/>
  <c r="O415" i="5"/>
  <c r="P415" i="5" s="1"/>
  <c r="O416" i="5"/>
  <c r="P416" i="5" s="1"/>
  <c r="O417" i="5"/>
  <c r="O418" i="5"/>
  <c r="P418" i="5" s="1"/>
  <c r="O419" i="5"/>
  <c r="P419" i="5" s="1"/>
  <c r="O420" i="5"/>
  <c r="P420" i="5" s="1"/>
  <c r="O421" i="5"/>
  <c r="P421" i="5" s="1"/>
  <c r="O422" i="5"/>
  <c r="O423" i="5"/>
  <c r="P423" i="5" s="1"/>
  <c r="O424" i="5"/>
  <c r="P424" i="5" s="1"/>
  <c r="O425" i="5"/>
  <c r="P425" i="5" s="1"/>
  <c r="O426" i="5"/>
  <c r="O427" i="5"/>
  <c r="P427" i="5" s="1"/>
  <c r="O428" i="5"/>
  <c r="P428" i="5" s="1"/>
  <c r="O429" i="5"/>
  <c r="P429" i="5" s="1"/>
  <c r="O430" i="5"/>
  <c r="P430" i="5" s="1"/>
  <c r="O431" i="5"/>
  <c r="P431" i="5" s="1"/>
  <c r="O432" i="5"/>
  <c r="P432" i="5" s="1"/>
  <c r="O433" i="5"/>
  <c r="P433" i="5" s="1"/>
  <c r="O434" i="5"/>
  <c r="P434" i="5" s="1"/>
  <c r="O435" i="5"/>
  <c r="P435" i="5" s="1"/>
  <c r="O436" i="5"/>
  <c r="P436" i="5" s="1"/>
  <c r="O437" i="5"/>
  <c r="P437" i="5" s="1"/>
  <c r="O438" i="5"/>
  <c r="P438" i="5" s="1"/>
  <c r="O439" i="5"/>
  <c r="P439" i="5" s="1"/>
  <c r="O440" i="5"/>
  <c r="O441" i="5"/>
  <c r="P441" i="5" s="1"/>
  <c r="O442" i="5"/>
  <c r="P442" i="5" s="1"/>
  <c r="O443" i="5"/>
  <c r="P443" i="5" s="1"/>
  <c r="O444" i="5"/>
  <c r="P444" i="5" s="1"/>
  <c r="O445" i="5"/>
  <c r="P445" i="5" s="1"/>
  <c r="O446" i="5"/>
  <c r="P446" i="5" s="1"/>
  <c r="O447" i="5"/>
  <c r="P447" i="5" s="1"/>
  <c r="O448" i="5"/>
  <c r="O449" i="5"/>
  <c r="P449" i="5" s="1"/>
  <c r="O450" i="5"/>
  <c r="O451" i="5"/>
  <c r="O452" i="5"/>
  <c r="P452" i="5" s="1"/>
  <c r="O453" i="5"/>
  <c r="P453" i="5" s="1"/>
  <c r="O454" i="5"/>
  <c r="O455" i="5"/>
  <c r="P455" i="5" s="1"/>
  <c r="O456" i="5"/>
  <c r="P456" i="5" s="1"/>
  <c r="O457" i="5"/>
  <c r="P457" i="5" s="1"/>
  <c r="O458" i="5"/>
  <c r="P458" i="5" s="1"/>
  <c r="O459" i="5"/>
  <c r="P459" i="5" s="1"/>
  <c r="O460" i="5"/>
  <c r="P460" i="5" s="1"/>
  <c r="O461" i="5"/>
  <c r="P461" i="5" s="1"/>
  <c r="O462" i="5"/>
  <c r="P462" i="5" s="1"/>
  <c r="O463" i="5"/>
  <c r="O464" i="5"/>
  <c r="O465" i="5"/>
  <c r="O466" i="5"/>
  <c r="P466" i="5" s="1"/>
  <c r="O467" i="5"/>
  <c r="P467" i="5" s="1"/>
  <c r="O468" i="5"/>
  <c r="P468" i="5" s="1"/>
  <c r="O469" i="5"/>
  <c r="P469" i="5" s="1"/>
  <c r="O470" i="5"/>
  <c r="P470" i="5" s="1"/>
  <c r="O471" i="5"/>
  <c r="P471" i="5" s="1"/>
  <c r="O472" i="5"/>
  <c r="P472" i="5" s="1"/>
  <c r="O473" i="5"/>
  <c r="P473" i="5" s="1"/>
  <c r="O474" i="5"/>
  <c r="O475" i="5"/>
  <c r="P475" i="5" s="1"/>
  <c r="O476" i="5"/>
  <c r="P476" i="5" s="1"/>
  <c r="O477" i="5"/>
  <c r="O478" i="5"/>
  <c r="P478" i="5" s="1"/>
  <c r="O479" i="5"/>
  <c r="P479" i="5" s="1"/>
  <c r="O480" i="5"/>
  <c r="P480" i="5" s="1"/>
  <c r="O481" i="5"/>
  <c r="P481" i="5" s="1"/>
  <c r="O482" i="5"/>
  <c r="P482" i="5" s="1"/>
  <c r="O483" i="5"/>
  <c r="P483" i="5" s="1"/>
  <c r="O484" i="5"/>
  <c r="P484" i="5" s="1"/>
  <c r="O485" i="5"/>
  <c r="P485" i="5" s="1"/>
  <c r="O486" i="5"/>
  <c r="P486" i="5" s="1"/>
  <c r="O487" i="5"/>
  <c r="O488" i="5"/>
  <c r="P488" i="5" s="1"/>
  <c r="O489" i="5"/>
  <c r="P489" i="5" s="1"/>
  <c r="O490" i="5"/>
  <c r="P490" i="5" s="1"/>
  <c r="O491" i="5"/>
  <c r="P491" i="5" s="1"/>
  <c r="O492" i="5"/>
  <c r="P492" i="5" s="1"/>
  <c r="O493" i="5"/>
  <c r="P493" i="5" s="1"/>
  <c r="O494" i="5"/>
  <c r="P494" i="5" s="1"/>
  <c r="O495" i="5"/>
  <c r="P495" i="5" s="1"/>
  <c r="O496" i="5"/>
  <c r="P496" i="5" s="1"/>
  <c r="O497" i="5"/>
  <c r="P497" i="5" s="1"/>
  <c r="O498" i="5"/>
  <c r="O499" i="5"/>
  <c r="P499" i="5" s="1"/>
  <c r="O500" i="5"/>
  <c r="P500" i="5" s="1"/>
  <c r="O501" i="5"/>
  <c r="P501" i="5" s="1"/>
  <c r="O502" i="5"/>
  <c r="P502" i="5" s="1"/>
  <c r="O503" i="5"/>
  <c r="O504" i="5"/>
  <c r="P504" i="5" s="1"/>
  <c r="O505" i="5"/>
  <c r="P505" i="5" s="1"/>
  <c r="O506" i="5"/>
  <c r="O507" i="5"/>
  <c r="P507" i="5" s="1"/>
  <c r="O508" i="5"/>
  <c r="P508" i="5" s="1"/>
  <c r="O509" i="5"/>
  <c r="P509" i="5" s="1"/>
  <c r="O510" i="5"/>
  <c r="P510" i="5" s="1"/>
  <c r="O511" i="5"/>
  <c r="P511" i="5" s="1"/>
  <c r="O512" i="5"/>
  <c r="P512" i="5" s="1"/>
  <c r="O513" i="5"/>
  <c r="P513" i="5" s="1"/>
  <c r="O514" i="5"/>
  <c r="P514" i="5" s="1"/>
  <c r="O515" i="5"/>
  <c r="P515" i="5" s="1"/>
  <c r="O516" i="5"/>
  <c r="P516" i="5" s="1"/>
  <c r="O517" i="5"/>
  <c r="P517" i="5" s="1"/>
  <c r="O518" i="5"/>
  <c r="P518" i="5" s="1"/>
  <c r="O519" i="5"/>
  <c r="P519" i="5" s="1"/>
  <c r="O520" i="5"/>
  <c r="P520" i="5" s="1"/>
  <c r="O521" i="5"/>
  <c r="P521" i="5" s="1"/>
  <c r="O522" i="5"/>
  <c r="P522" i="5" s="1"/>
  <c r="O523" i="5"/>
  <c r="P523" i="5" s="1"/>
  <c r="O524" i="5"/>
  <c r="P524" i="5" s="1"/>
  <c r="O525" i="5"/>
  <c r="P525" i="5" s="1"/>
  <c r="O526" i="5"/>
  <c r="P526" i="5" s="1"/>
  <c r="O527" i="5"/>
  <c r="P527" i="5" s="1"/>
  <c r="O528" i="5"/>
  <c r="P528" i="5" s="1"/>
  <c r="O529" i="5"/>
  <c r="P529" i="5" s="1"/>
  <c r="O530" i="5"/>
  <c r="P530" i="5" s="1"/>
  <c r="O531" i="5"/>
  <c r="P531" i="5" s="1"/>
  <c r="O532" i="5"/>
  <c r="P532" i="5" s="1"/>
  <c r="O533" i="5"/>
  <c r="P533" i="5" s="1"/>
  <c r="O534" i="5"/>
  <c r="P534" i="5" s="1"/>
  <c r="O535" i="5"/>
  <c r="P535" i="5" s="1"/>
  <c r="O536" i="5"/>
  <c r="O537" i="5"/>
  <c r="P537" i="5" s="1"/>
  <c r="O538" i="5"/>
  <c r="O539" i="5"/>
  <c r="P539" i="5" s="1"/>
  <c r="O540" i="5"/>
  <c r="P540" i="5" s="1"/>
  <c r="O541" i="5"/>
  <c r="P541" i="5" s="1"/>
  <c r="O542" i="5"/>
  <c r="P542" i="5" s="1"/>
  <c r="O543" i="5"/>
  <c r="P543" i="5" s="1"/>
  <c r="O544" i="5"/>
  <c r="O545" i="5"/>
  <c r="P545" i="5" s="1"/>
  <c r="O546" i="5"/>
  <c r="P546" i="5" s="1"/>
  <c r="O547" i="5"/>
  <c r="P547" i="5" s="1"/>
  <c r="O548" i="5"/>
  <c r="P548" i="5" s="1"/>
  <c r="O549" i="5"/>
  <c r="O550" i="5"/>
  <c r="P550" i="5" s="1"/>
  <c r="O551" i="5"/>
  <c r="P551" i="5" s="1"/>
  <c r="O552" i="5"/>
  <c r="P552" i="5" s="1"/>
  <c r="O553" i="5"/>
  <c r="P553" i="5" s="1"/>
  <c r="O554" i="5"/>
  <c r="P554" i="5" s="1"/>
  <c r="O555" i="5"/>
  <c r="P555" i="5" s="1"/>
  <c r="P18" i="5"/>
  <c r="P21" i="5"/>
  <c r="P29" i="5"/>
  <c r="P30" i="5"/>
  <c r="P33" i="5"/>
  <c r="P35" i="5"/>
  <c r="P41" i="5"/>
  <c r="P42" i="5"/>
  <c r="P45" i="5"/>
  <c r="P54" i="5"/>
  <c r="P57" i="5"/>
  <c r="P59" i="5"/>
  <c r="P66" i="5"/>
  <c r="P69" i="5"/>
  <c r="P80" i="5"/>
  <c r="P81" i="5"/>
  <c r="P90" i="5"/>
  <c r="P93" i="5"/>
  <c r="P95" i="5"/>
  <c r="P102" i="5"/>
  <c r="P105" i="5"/>
  <c r="P114" i="5"/>
  <c r="P117" i="5"/>
  <c r="P126" i="5"/>
  <c r="P129" i="5"/>
  <c r="P137" i="5"/>
  <c r="P138" i="5"/>
  <c r="P141" i="5"/>
  <c r="P143" i="5"/>
  <c r="P149" i="5"/>
  <c r="P152" i="5"/>
  <c r="P153" i="5"/>
  <c r="P162" i="5"/>
  <c r="P165" i="5"/>
  <c r="P167" i="5"/>
  <c r="P173" i="5"/>
  <c r="P176" i="5"/>
  <c r="P177" i="5"/>
  <c r="P186" i="5"/>
  <c r="P189" i="5"/>
  <c r="P191" i="5"/>
  <c r="P198" i="5"/>
  <c r="P201" i="5"/>
  <c r="P210" i="5"/>
  <c r="P213" i="5"/>
  <c r="P225" i="5"/>
  <c r="P233" i="5"/>
  <c r="P234" i="5"/>
  <c r="P237" i="5"/>
  <c r="P248" i="5"/>
  <c r="P249" i="5"/>
  <c r="P257" i="5"/>
  <c r="P258" i="5"/>
  <c r="P260" i="5"/>
  <c r="P261" i="5"/>
  <c r="P272" i="5"/>
  <c r="P273" i="5"/>
  <c r="P282" i="5"/>
  <c r="P285" i="5"/>
  <c r="P296" i="5"/>
  <c r="P297" i="5"/>
  <c r="P309" i="5"/>
  <c r="P311" i="5"/>
  <c r="P317" i="5"/>
  <c r="P321" i="5"/>
  <c r="P329" i="5"/>
  <c r="P330" i="5"/>
  <c r="P333" i="5"/>
  <c r="P345" i="5"/>
  <c r="P357" i="5"/>
  <c r="P359" i="5"/>
  <c r="P366" i="5"/>
  <c r="P369" i="5"/>
  <c r="P377" i="5"/>
  <c r="P381" i="5"/>
  <c r="P383" i="5"/>
  <c r="P384" i="5"/>
  <c r="P390" i="5"/>
  <c r="P393" i="5"/>
  <c r="P405" i="5"/>
  <c r="P407" i="5"/>
  <c r="P417" i="5"/>
  <c r="P422" i="5"/>
  <c r="P426" i="5"/>
  <c r="P440" i="5"/>
  <c r="P448" i="5"/>
  <c r="P450" i="5"/>
  <c r="P451" i="5"/>
  <c r="P454" i="5"/>
  <c r="P463" i="5"/>
  <c r="P464" i="5"/>
  <c r="P465" i="5"/>
  <c r="P474" i="5"/>
  <c r="P477" i="5"/>
  <c r="P487" i="5"/>
  <c r="P498" i="5"/>
  <c r="P503" i="5"/>
  <c r="P506" i="5"/>
  <c r="P536" i="5"/>
  <c r="P538" i="5"/>
  <c r="P544" i="5"/>
  <c r="P549" i="5"/>
  <c r="O16" i="4"/>
  <c r="P16" i="4" s="1"/>
  <c r="O17" i="4"/>
  <c r="O18" i="4"/>
  <c r="P18" i="4" s="1"/>
  <c r="O19" i="4"/>
  <c r="P19" i="4" s="1"/>
  <c r="O20" i="4"/>
  <c r="P20" i="4" s="1"/>
  <c r="O21" i="4"/>
  <c r="P21" i="4" s="1"/>
  <c r="O22" i="4"/>
  <c r="P22" i="4" s="1"/>
  <c r="O23" i="4"/>
  <c r="P23" i="4" s="1"/>
  <c r="O24" i="4"/>
  <c r="P24" i="4" s="1"/>
  <c r="O25" i="4"/>
  <c r="P25" i="4" s="1"/>
  <c r="O26" i="4"/>
  <c r="P26" i="4" s="1"/>
  <c r="O27" i="4"/>
  <c r="P27" i="4" s="1"/>
  <c r="O28" i="4"/>
  <c r="P28" i="4" s="1"/>
  <c r="O29" i="4"/>
  <c r="P29" i="4" s="1"/>
  <c r="O30" i="4"/>
  <c r="P30" i="4" s="1"/>
  <c r="O31" i="4"/>
  <c r="O32" i="4"/>
  <c r="P32" i="4" s="1"/>
  <c r="O33" i="4"/>
  <c r="P33" i="4" s="1"/>
  <c r="O34" i="4"/>
  <c r="P34" i="4" s="1"/>
  <c r="O35" i="4"/>
  <c r="O36" i="4"/>
  <c r="P36" i="4" s="1"/>
  <c r="O37" i="4"/>
  <c r="P37" i="4" s="1"/>
  <c r="O38" i="4"/>
  <c r="P38" i="4" s="1"/>
  <c r="O39" i="4"/>
  <c r="P39" i="4" s="1"/>
  <c r="O40" i="4"/>
  <c r="P40" i="4" s="1"/>
  <c r="O41" i="4"/>
  <c r="P41" i="4" s="1"/>
  <c r="O42" i="4"/>
  <c r="P42" i="4" s="1"/>
  <c r="O43" i="4"/>
  <c r="P43" i="4" s="1"/>
  <c r="O44" i="4"/>
  <c r="O45" i="4"/>
  <c r="P45" i="4" s="1"/>
  <c r="O46" i="4"/>
  <c r="P46" i="4" s="1"/>
  <c r="O47" i="4"/>
  <c r="P47" i="4" s="1"/>
  <c r="O48" i="4"/>
  <c r="O49" i="4"/>
  <c r="P49" i="4" s="1"/>
  <c r="O50" i="4"/>
  <c r="P50" i="4" s="1"/>
  <c r="O51" i="4"/>
  <c r="P51" i="4" s="1"/>
  <c r="O52" i="4"/>
  <c r="P52" i="4" s="1"/>
  <c r="O53" i="4"/>
  <c r="P53" i="4" s="1"/>
  <c r="O54" i="4"/>
  <c r="P54" i="4" s="1"/>
  <c r="O55" i="4"/>
  <c r="O56" i="4"/>
  <c r="P56" i="4" s="1"/>
  <c r="O57" i="4"/>
  <c r="P57" i="4" s="1"/>
  <c r="O58" i="4"/>
  <c r="P58" i="4" s="1"/>
  <c r="O59" i="4"/>
  <c r="P59" i="4" s="1"/>
  <c r="O60" i="4"/>
  <c r="P60" i="4" s="1"/>
  <c r="O61" i="4"/>
  <c r="P61" i="4" s="1"/>
  <c r="O62" i="4"/>
  <c r="P62" i="4" s="1"/>
  <c r="O63" i="4"/>
  <c r="P63" i="4" s="1"/>
  <c r="O64" i="4"/>
  <c r="P64" i="4" s="1"/>
  <c r="O65" i="4"/>
  <c r="P65" i="4" s="1"/>
  <c r="O66" i="4"/>
  <c r="P66" i="4" s="1"/>
  <c r="O67" i="4"/>
  <c r="P67" i="4" s="1"/>
  <c r="O68" i="4"/>
  <c r="O69" i="4"/>
  <c r="P69" i="4" s="1"/>
  <c r="O70" i="4"/>
  <c r="P70" i="4" s="1"/>
  <c r="O71" i="4"/>
  <c r="P71" i="4" s="1"/>
  <c r="O72" i="4"/>
  <c r="P72" i="4" s="1"/>
  <c r="O73" i="4"/>
  <c r="O74" i="4"/>
  <c r="P74" i="4" s="1"/>
  <c r="O75" i="4"/>
  <c r="P75" i="4" s="1"/>
  <c r="O76" i="4"/>
  <c r="P76" i="4" s="1"/>
  <c r="O77" i="4"/>
  <c r="P77" i="4" s="1"/>
  <c r="O78" i="4"/>
  <c r="P78" i="4" s="1"/>
  <c r="O79" i="4"/>
  <c r="P79" i="4" s="1"/>
  <c r="O80" i="4"/>
  <c r="O81" i="4"/>
  <c r="P81" i="4" s="1"/>
  <c r="O82" i="4"/>
  <c r="P82" i="4" s="1"/>
  <c r="O83" i="4"/>
  <c r="P83" i="4" s="1"/>
  <c r="O84" i="4"/>
  <c r="O85" i="4"/>
  <c r="P85" i="4" s="1"/>
  <c r="O86" i="4"/>
  <c r="P86" i="4" s="1"/>
  <c r="O87" i="4"/>
  <c r="P87" i="4" s="1"/>
  <c r="O88" i="4"/>
  <c r="P88" i="4" s="1"/>
  <c r="O89" i="4"/>
  <c r="P89" i="4" s="1"/>
  <c r="O90" i="4"/>
  <c r="P90" i="4" s="1"/>
  <c r="O91" i="4"/>
  <c r="P91" i="4" s="1"/>
  <c r="O92" i="4"/>
  <c r="P92" i="4" s="1"/>
  <c r="O93" i="4"/>
  <c r="P93" i="4" s="1"/>
  <c r="O94" i="4"/>
  <c r="P94" i="4" s="1"/>
  <c r="O95" i="4"/>
  <c r="P95" i="4" s="1"/>
  <c r="O96" i="4"/>
  <c r="P96" i="4" s="1"/>
  <c r="O97" i="4"/>
  <c r="P97" i="4" s="1"/>
  <c r="O98" i="4"/>
  <c r="P98" i="4" s="1"/>
  <c r="O99" i="4"/>
  <c r="P99" i="4" s="1"/>
  <c r="O100" i="4"/>
  <c r="P100" i="4" s="1"/>
  <c r="O101" i="4"/>
  <c r="P101" i="4" s="1"/>
  <c r="O102" i="4"/>
  <c r="P102" i="4" s="1"/>
  <c r="O103" i="4"/>
  <c r="P103" i="4" s="1"/>
  <c r="O104" i="4"/>
  <c r="O105" i="4"/>
  <c r="P105" i="4" s="1"/>
  <c r="O106" i="4"/>
  <c r="P106" i="4" s="1"/>
  <c r="O107" i="4"/>
  <c r="O108" i="4"/>
  <c r="O109" i="4"/>
  <c r="P109" i="4" s="1"/>
  <c r="O110" i="4"/>
  <c r="P110" i="4" s="1"/>
  <c r="O111" i="4"/>
  <c r="P111" i="4" s="1"/>
  <c r="O112" i="4"/>
  <c r="P112" i="4" s="1"/>
  <c r="O113" i="4"/>
  <c r="P113" i="4" s="1"/>
  <c r="O114" i="4"/>
  <c r="P114" i="4" s="1"/>
  <c r="O115" i="4"/>
  <c r="P115" i="4" s="1"/>
  <c r="O116" i="4"/>
  <c r="P116" i="4" s="1"/>
  <c r="O117" i="4"/>
  <c r="P117" i="4" s="1"/>
  <c r="O118" i="4"/>
  <c r="P118" i="4" s="1"/>
  <c r="O119" i="4"/>
  <c r="P119" i="4" s="1"/>
  <c r="O120" i="4"/>
  <c r="P120" i="4" s="1"/>
  <c r="O121" i="4"/>
  <c r="O122" i="4"/>
  <c r="P122" i="4" s="1"/>
  <c r="O123" i="4"/>
  <c r="P123" i="4" s="1"/>
  <c r="O124" i="4"/>
  <c r="P124" i="4" s="1"/>
  <c r="O125" i="4"/>
  <c r="P125" i="4" s="1"/>
  <c r="O126" i="4"/>
  <c r="P126" i="4" s="1"/>
  <c r="O127" i="4"/>
  <c r="O128" i="4"/>
  <c r="P128" i="4" s="1"/>
  <c r="O129" i="4"/>
  <c r="P129" i="4" s="1"/>
  <c r="O130" i="4"/>
  <c r="P130" i="4" s="1"/>
  <c r="O131" i="4"/>
  <c r="P131" i="4" s="1"/>
  <c r="O132" i="4"/>
  <c r="P132" i="4" s="1"/>
  <c r="O133" i="4"/>
  <c r="P133" i="4" s="1"/>
  <c r="O134" i="4"/>
  <c r="P134" i="4" s="1"/>
  <c r="O135" i="4"/>
  <c r="P135" i="4" s="1"/>
  <c r="O136" i="4"/>
  <c r="P136" i="4" s="1"/>
  <c r="O137" i="4"/>
  <c r="P137" i="4" s="1"/>
  <c r="O138" i="4"/>
  <c r="P138" i="4" s="1"/>
  <c r="O139" i="4"/>
  <c r="P139" i="4" s="1"/>
  <c r="O140" i="4"/>
  <c r="O141" i="4"/>
  <c r="P141" i="4" s="1"/>
  <c r="O142" i="4"/>
  <c r="P142" i="4" s="1"/>
  <c r="O143" i="4"/>
  <c r="P143" i="4" s="1"/>
  <c r="O144" i="4"/>
  <c r="O145" i="4"/>
  <c r="P145" i="4" s="1"/>
  <c r="O146" i="4"/>
  <c r="P146" i="4" s="1"/>
  <c r="O147" i="4"/>
  <c r="P147" i="4" s="1"/>
  <c r="O148" i="4"/>
  <c r="P148" i="4" s="1"/>
  <c r="O149" i="4"/>
  <c r="P149" i="4" s="1"/>
  <c r="O150" i="4"/>
  <c r="P150" i="4" s="1"/>
  <c r="O151" i="4"/>
  <c r="P151" i="4" s="1"/>
  <c r="O152" i="4"/>
  <c r="P152" i="4" s="1"/>
  <c r="O153" i="4"/>
  <c r="P153" i="4" s="1"/>
  <c r="O154" i="4"/>
  <c r="P154" i="4" s="1"/>
  <c r="O155" i="4"/>
  <c r="P155" i="4" s="1"/>
  <c r="O156" i="4"/>
  <c r="P156" i="4" s="1"/>
  <c r="O157" i="4"/>
  <c r="P157" i="4" s="1"/>
  <c r="O158" i="4"/>
  <c r="P158" i="4" s="1"/>
  <c r="O159" i="4"/>
  <c r="P159" i="4" s="1"/>
  <c r="O160" i="4"/>
  <c r="P160" i="4" s="1"/>
  <c r="O161" i="4"/>
  <c r="P161" i="4" s="1"/>
  <c r="O162" i="4"/>
  <c r="P162" i="4" s="1"/>
  <c r="O163" i="4"/>
  <c r="P163" i="4" s="1"/>
  <c r="O164" i="4"/>
  <c r="O165" i="4"/>
  <c r="P165" i="4" s="1"/>
  <c r="O166" i="4"/>
  <c r="P166" i="4" s="1"/>
  <c r="O167" i="4"/>
  <c r="P167" i="4" s="1"/>
  <c r="O168" i="4"/>
  <c r="O169" i="4"/>
  <c r="O170" i="4"/>
  <c r="P170" i="4" s="1"/>
  <c r="O171" i="4"/>
  <c r="P171" i="4" s="1"/>
  <c r="O172" i="4"/>
  <c r="P172" i="4" s="1"/>
  <c r="O173" i="4"/>
  <c r="P173" i="4" s="1"/>
  <c r="O174" i="4"/>
  <c r="P174" i="4" s="1"/>
  <c r="O175" i="4"/>
  <c r="O176" i="4"/>
  <c r="O177" i="4"/>
  <c r="P177" i="4" s="1"/>
  <c r="O178" i="4"/>
  <c r="P178" i="4" s="1"/>
  <c r="O179" i="4"/>
  <c r="P179" i="4" s="1"/>
  <c r="O180" i="4"/>
  <c r="P180" i="4" s="1"/>
  <c r="O181" i="4"/>
  <c r="P181" i="4" s="1"/>
  <c r="O182" i="4"/>
  <c r="P182" i="4" s="1"/>
  <c r="O183" i="4"/>
  <c r="P183" i="4" s="1"/>
  <c r="O184" i="4"/>
  <c r="P184" i="4" s="1"/>
  <c r="O185" i="4"/>
  <c r="P185" i="4" s="1"/>
  <c r="O186" i="4"/>
  <c r="P186" i="4" s="1"/>
  <c r="O187" i="4"/>
  <c r="P187" i="4" s="1"/>
  <c r="O188" i="4"/>
  <c r="P188" i="4" s="1"/>
  <c r="O189" i="4"/>
  <c r="P189" i="4" s="1"/>
  <c r="O190" i="4"/>
  <c r="P190" i="4" s="1"/>
  <c r="O191" i="4"/>
  <c r="O192" i="4"/>
  <c r="P192" i="4" s="1"/>
  <c r="O193" i="4"/>
  <c r="P193" i="4" s="1"/>
  <c r="O194" i="4"/>
  <c r="P194" i="4" s="1"/>
  <c r="O195" i="4"/>
  <c r="P195" i="4" s="1"/>
  <c r="O196" i="4"/>
  <c r="P196" i="4" s="1"/>
  <c r="O197" i="4"/>
  <c r="P197" i="4" s="1"/>
  <c r="O198" i="4"/>
  <c r="P198" i="4" s="1"/>
  <c r="O199" i="4"/>
  <c r="P199" i="4" s="1"/>
  <c r="O200" i="4"/>
  <c r="O201" i="4"/>
  <c r="P201" i="4" s="1"/>
  <c r="O202" i="4"/>
  <c r="P202" i="4" s="1"/>
  <c r="O203" i="4"/>
  <c r="P203" i="4" s="1"/>
  <c r="O204" i="4"/>
  <c r="O205" i="4"/>
  <c r="P205" i="4" s="1"/>
  <c r="O206" i="4"/>
  <c r="P206" i="4" s="1"/>
  <c r="O207" i="4"/>
  <c r="P207" i="4" s="1"/>
  <c r="O208" i="4"/>
  <c r="P208" i="4" s="1"/>
  <c r="O209" i="4"/>
  <c r="P209" i="4" s="1"/>
  <c r="O210" i="4"/>
  <c r="P210" i="4" s="1"/>
  <c r="O211" i="4"/>
  <c r="P211" i="4" s="1"/>
  <c r="O212" i="4"/>
  <c r="P212" i="4" s="1"/>
  <c r="O213" i="4"/>
  <c r="P213" i="4" s="1"/>
  <c r="O214" i="4"/>
  <c r="P214" i="4" s="1"/>
  <c r="O215" i="4"/>
  <c r="P215" i="4" s="1"/>
  <c r="O216" i="4"/>
  <c r="P216" i="4" s="1"/>
  <c r="O217" i="4"/>
  <c r="P217" i="4" s="1"/>
  <c r="O218" i="4"/>
  <c r="P218" i="4" s="1"/>
  <c r="O219" i="4"/>
  <c r="P219" i="4" s="1"/>
  <c r="O220" i="4"/>
  <c r="P220" i="4" s="1"/>
  <c r="O221" i="4"/>
  <c r="P221" i="4" s="1"/>
  <c r="O222" i="4"/>
  <c r="P222" i="4" s="1"/>
  <c r="O223" i="4"/>
  <c r="O224" i="4"/>
  <c r="P224" i="4" s="1"/>
  <c r="O225" i="4"/>
  <c r="P225" i="4" s="1"/>
  <c r="O226" i="4"/>
  <c r="P226" i="4" s="1"/>
  <c r="O227" i="4"/>
  <c r="O228" i="4"/>
  <c r="P228" i="4" s="1"/>
  <c r="O229" i="4"/>
  <c r="P229" i="4" s="1"/>
  <c r="O230" i="4"/>
  <c r="P230" i="4" s="1"/>
  <c r="O231" i="4"/>
  <c r="P231" i="4" s="1"/>
  <c r="O232" i="4"/>
  <c r="P232" i="4" s="1"/>
  <c r="O233" i="4"/>
  <c r="P233" i="4" s="1"/>
  <c r="O234" i="4"/>
  <c r="P234" i="4" s="1"/>
  <c r="O235" i="4"/>
  <c r="P235" i="4" s="1"/>
  <c r="O236" i="4"/>
  <c r="O237" i="4"/>
  <c r="P237" i="4" s="1"/>
  <c r="O238" i="4"/>
  <c r="P238" i="4" s="1"/>
  <c r="O239" i="4"/>
  <c r="P239" i="4" s="1"/>
  <c r="O240" i="4"/>
  <c r="P240" i="4" s="1"/>
  <c r="O241" i="4"/>
  <c r="P241" i="4" s="1"/>
  <c r="O242" i="4"/>
  <c r="P242" i="4" s="1"/>
  <c r="O243" i="4"/>
  <c r="P243" i="4" s="1"/>
  <c r="O244" i="4"/>
  <c r="P244" i="4" s="1"/>
  <c r="O245" i="4"/>
  <c r="P245" i="4" s="1"/>
  <c r="O246" i="4"/>
  <c r="P246" i="4" s="1"/>
  <c r="O247" i="4"/>
  <c r="P247" i="4" s="1"/>
  <c r="O248" i="4"/>
  <c r="P248" i="4" s="1"/>
  <c r="O249" i="4"/>
  <c r="P249" i="4" s="1"/>
  <c r="O250" i="4"/>
  <c r="P250" i="4" s="1"/>
  <c r="O251" i="4"/>
  <c r="P251" i="4" s="1"/>
  <c r="O252" i="4"/>
  <c r="P252" i="4" s="1"/>
  <c r="O253" i="4"/>
  <c r="P253" i="4" s="1"/>
  <c r="O254" i="4"/>
  <c r="P254" i="4" s="1"/>
  <c r="O255" i="4"/>
  <c r="P255" i="4" s="1"/>
  <c r="O256" i="4"/>
  <c r="O257" i="4"/>
  <c r="P257" i="4" s="1"/>
  <c r="O258" i="4"/>
  <c r="P258" i="4" s="1"/>
  <c r="O259" i="4"/>
  <c r="P259" i="4" s="1"/>
  <c r="O260" i="4"/>
  <c r="O261" i="4"/>
  <c r="P261" i="4" s="1"/>
  <c r="O262" i="4"/>
  <c r="P262" i="4" s="1"/>
  <c r="O263" i="4"/>
  <c r="O264" i="4"/>
  <c r="O265" i="4"/>
  <c r="P265" i="4" s="1"/>
  <c r="O266" i="4"/>
  <c r="P266" i="4" s="1"/>
  <c r="O267" i="4"/>
  <c r="P267" i="4" s="1"/>
  <c r="O268" i="4"/>
  <c r="P268" i="4" s="1"/>
  <c r="O269" i="4"/>
  <c r="P269" i="4" s="1"/>
  <c r="O270" i="4"/>
  <c r="P270" i="4" s="1"/>
  <c r="O271" i="4"/>
  <c r="P271" i="4" s="1"/>
  <c r="O272" i="4"/>
  <c r="P272" i="4" s="1"/>
  <c r="O273" i="4"/>
  <c r="P273" i="4" s="1"/>
  <c r="O274" i="4"/>
  <c r="P274" i="4" s="1"/>
  <c r="O275" i="4"/>
  <c r="P275" i="4" s="1"/>
  <c r="O276" i="4"/>
  <c r="P276" i="4" s="1"/>
  <c r="O277" i="4"/>
  <c r="P277" i="4" s="1"/>
  <c r="O278" i="4"/>
  <c r="P278" i="4" s="1"/>
  <c r="O279" i="4"/>
  <c r="P279" i="4" s="1"/>
  <c r="O280" i="4"/>
  <c r="P280" i="4" s="1"/>
  <c r="O281" i="4"/>
  <c r="P281" i="4" s="1"/>
  <c r="O282" i="4"/>
  <c r="P282" i="4" s="1"/>
  <c r="O283" i="4"/>
  <c r="P283" i="4" s="1"/>
  <c r="O284" i="4"/>
  <c r="P284" i="4" s="1"/>
  <c r="O285" i="4"/>
  <c r="P285" i="4" s="1"/>
  <c r="O286" i="4"/>
  <c r="P286" i="4" s="1"/>
  <c r="O287" i="4"/>
  <c r="P287" i="4" s="1"/>
  <c r="O288" i="4"/>
  <c r="P288" i="4" s="1"/>
  <c r="O289" i="4"/>
  <c r="P289" i="4" s="1"/>
  <c r="O290" i="4"/>
  <c r="P290" i="4" s="1"/>
  <c r="O291" i="4"/>
  <c r="P291" i="4" s="1"/>
  <c r="O292" i="4"/>
  <c r="P292" i="4" s="1"/>
  <c r="O293" i="4"/>
  <c r="P293" i="4" s="1"/>
  <c r="O294" i="4"/>
  <c r="P294" i="4" s="1"/>
  <c r="O295" i="4"/>
  <c r="O296" i="4"/>
  <c r="O297" i="4"/>
  <c r="P297" i="4" s="1"/>
  <c r="O298" i="4"/>
  <c r="P298" i="4" s="1"/>
  <c r="O299" i="4"/>
  <c r="P299" i="4" s="1"/>
  <c r="O300" i="4"/>
  <c r="P300" i="4" s="1"/>
  <c r="O301" i="4"/>
  <c r="P301" i="4" s="1"/>
  <c r="O302" i="4"/>
  <c r="P302" i="4" s="1"/>
  <c r="O303" i="4"/>
  <c r="P303" i="4" s="1"/>
  <c r="O304" i="4"/>
  <c r="O305" i="4"/>
  <c r="P305" i="4" s="1"/>
  <c r="O306" i="4"/>
  <c r="P306" i="4" s="1"/>
  <c r="O307" i="4"/>
  <c r="O308" i="4"/>
  <c r="P308" i="4" s="1"/>
  <c r="O309" i="4"/>
  <c r="P309" i="4" s="1"/>
  <c r="O310" i="4"/>
  <c r="P310" i="4" s="1"/>
  <c r="O311" i="4"/>
  <c r="P311" i="4" s="1"/>
  <c r="O312" i="4"/>
  <c r="P312" i="4" s="1"/>
  <c r="O313" i="4"/>
  <c r="O314" i="4"/>
  <c r="P314" i="4" s="1"/>
  <c r="O315" i="4"/>
  <c r="P315" i="4" s="1"/>
  <c r="O316" i="4"/>
  <c r="P316" i="4" s="1"/>
  <c r="O317" i="4"/>
  <c r="P317" i="4" s="1"/>
  <c r="O318" i="4"/>
  <c r="P318" i="4" s="1"/>
  <c r="O319" i="4"/>
  <c r="O320" i="4"/>
  <c r="P320" i="4" s="1"/>
  <c r="O321" i="4"/>
  <c r="P321" i="4" s="1"/>
  <c r="O322" i="4"/>
  <c r="P322" i="4" s="1"/>
  <c r="O323" i="4"/>
  <c r="P323" i="4" s="1"/>
  <c r="O324" i="4"/>
  <c r="P324" i="4" s="1"/>
  <c r="O325" i="4"/>
  <c r="P325" i="4" s="1"/>
  <c r="O326" i="4"/>
  <c r="P326" i="4" s="1"/>
  <c r="O327" i="4"/>
  <c r="P327" i="4" s="1"/>
  <c r="O328" i="4"/>
  <c r="P328" i="4" s="1"/>
  <c r="O329" i="4"/>
  <c r="P329" i="4" s="1"/>
  <c r="O330" i="4"/>
  <c r="P330" i="4" s="1"/>
  <c r="O331" i="4"/>
  <c r="P331" i="4" s="1"/>
  <c r="O332" i="4"/>
  <c r="P332" i="4" s="1"/>
  <c r="O333" i="4"/>
  <c r="P333" i="4" s="1"/>
  <c r="O334" i="4"/>
  <c r="P334" i="4" s="1"/>
  <c r="O335" i="4"/>
  <c r="O336" i="4"/>
  <c r="P336" i="4" s="1"/>
  <c r="O337" i="4"/>
  <c r="P337" i="4" s="1"/>
  <c r="O338" i="4"/>
  <c r="P338" i="4" s="1"/>
  <c r="O339" i="4"/>
  <c r="P339" i="4" s="1"/>
  <c r="O340" i="4"/>
  <c r="P340" i="4" s="1"/>
  <c r="O341" i="4"/>
  <c r="P341" i="4" s="1"/>
  <c r="O342" i="4"/>
  <c r="P342" i="4" s="1"/>
  <c r="O343" i="4"/>
  <c r="P343" i="4" s="1"/>
  <c r="O344" i="4"/>
  <c r="P344" i="4" s="1"/>
  <c r="O345" i="4"/>
  <c r="P345" i="4" s="1"/>
  <c r="O346" i="4"/>
  <c r="P346" i="4" s="1"/>
  <c r="O347" i="4"/>
  <c r="P347" i="4" s="1"/>
  <c r="O348" i="4"/>
  <c r="P348" i="4" s="1"/>
  <c r="O349" i="4"/>
  <c r="P349" i="4" s="1"/>
  <c r="O350" i="4"/>
  <c r="P350" i="4" s="1"/>
  <c r="O351" i="4"/>
  <c r="P351" i="4" s="1"/>
  <c r="O352" i="4"/>
  <c r="P352" i="4" s="1"/>
  <c r="O353" i="4"/>
  <c r="P353" i="4" s="1"/>
  <c r="O354" i="4"/>
  <c r="P354" i="4" s="1"/>
  <c r="O355" i="4"/>
  <c r="P355" i="4" s="1"/>
  <c r="O356" i="4"/>
  <c r="O357" i="4"/>
  <c r="P357" i="4" s="1"/>
  <c r="O358" i="4"/>
  <c r="P358" i="4" s="1"/>
  <c r="O359" i="4"/>
  <c r="P359" i="4" s="1"/>
  <c r="O360" i="4"/>
  <c r="P360" i="4" s="1"/>
  <c r="O361" i="4"/>
  <c r="P361" i="4" s="1"/>
  <c r="O362" i="4"/>
  <c r="P362" i="4" s="1"/>
  <c r="O363" i="4"/>
  <c r="P363" i="4" s="1"/>
  <c r="O364" i="4"/>
  <c r="P364" i="4" s="1"/>
  <c r="O365" i="4"/>
  <c r="P365" i="4" s="1"/>
  <c r="O366" i="4"/>
  <c r="P366" i="4" s="1"/>
  <c r="O367" i="4"/>
  <c r="O368" i="4"/>
  <c r="P368" i="4" s="1"/>
  <c r="O369" i="4"/>
  <c r="P369" i="4" s="1"/>
  <c r="O370" i="4"/>
  <c r="P370" i="4" s="1"/>
  <c r="O371" i="4"/>
  <c r="P371" i="4" s="1"/>
  <c r="O372" i="4"/>
  <c r="P372" i="4" s="1"/>
  <c r="O373" i="4"/>
  <c r="P373" i="4" s="1"/>
  <c r="O374" i="4"/>
  <c r="P374" i="4" s="1"/>
  <c r="O375" i="4"/>
  <c r="O376" i="4"/>
  <c r="P376" i="4" s="1"/>
  <c r="O377" i="4"/>
  <c r="P377" i="4" s="1"/>
  <c r="O378" i="4"/>
  <c r="P378" i="4" s="1"/>
  <c r="O379" i="4"/>
  <c r="P379" i="4" s="1"/>
  <c r="O380" i="4"/>
  <c r="O381" i="4"/>
  <c r="P381" i="4" s="1"/>
  <c r="O382" i="4"/>
  <c r="P382" i="4" s="1"/>
  <c r="O383" i="4"/>
  <c r="P383" i="4" s="1"/>
  <c r="O384" i="4"/>
  <c r="O385" i="4"/>
  <c r="P385" i="4" s="1"/>
  <c r="O386" i="4"/>
  <c r="P386" i="4" s="1"/>
  <c r="O387" i="4"/>
  <c r="P387" i="4" s="1"/>
  <c r="O388" i="4"/>
  <c r="P388" i="4" s="1"/>
  <c r="O389" i="4"/>
  <c r="P389" i="4" s="1"/>
  <c r="O390" i="4"/>
  <c r="P390" i="4" s="1"/>
  <c r="O391" i="4"/>
  <c r="O392" i="4"/>
  <c r="O393" i="4"/>
  <c r="P393" i="4" s="1"/>
  <c r="O394" i="4"/>
  <c r="P394" i="4" s="1"/>
  <c r="O395" i="4"/>
  <c r="P395" i="4" s="1"/>
  <c r="O396" i="4"/>
  <c r="P396" i="4" s="1"/>
  <c r="O397" i="4"/>
  <c r="P397" i="4" s="1"/>
  <c r="O398" i="4"/>
  <c r="P398" i="4" s="1"/>
  <c r="O399" i="4"/>
  <c r="P399" i="4" s="1"/>
  <c r="O400" i="4"/>
  <c r="P400" i="4" s="1"/>
  <c r="O401" i="4"/>
  <c r="P401" i="4" s="1"/>
  <c r="O402" i="4"/>
  <c r="P402" i="4" s="1"/>
  <c r="O403" i="4"/>
  <c r="P403" i="4" s="1"/>
  <c r="O404" i="4"/>
  <c r="P404" i="4" s="1"/>
  <c r="O405" i="4"/>
  <c r="P405" i="4" s="1"/>
  <c r="O406" i="4"/>
  <c r="P406" i="4" s="1"/>
  <c r="O407" i="4"/>
  <c r="P407" i="4" s="1"/>
  <c r="O408" i="4"/>
  <c r="P408" i="4" s="1"/>
  <c r="O409" i="4"/>
  <c r="P409" i="4" s="1"/>
  <c r="O410" i="4"/>
  <c r="P410" i="4" s="1"/>
  <c r="O411" i="4"/>
  <c r="P411" i="4" s="1"/>
  <c r="O412" i="4"/>
  <c r="P412" i="4" s="1"/>
  <c r="O413" i="4"/>
  <c r="P413" i="4" s="1"/>
  <c r="O414" i="4"/>
  <c r="P414" i="4" s="1"/>
  <c r="O415" i="4"/>
  <c r="O416" i="4"/>
  <c r="O417" i="4"/>
  <c r="P417" i="4" s="1"/>
  <c r="O418" i="4"/>
  <c r="O419" i="4"/>
  <c r="P419" i="4" s="1"/>
  <c r="O420" i="4"/>
  <c r="P420" i="4" s="1"/>
  <c r="O421" i="4"/>
  <c r="P421" i="4" s="1"/>
  <c r="O422" i="4"/>
  <c r="P422" i="4" s="1"/>
  <c r="O423" i="4"/>
  <c r="P423" i="4" s="1"/>
  <c r="O424" i="4"/>
  <c r="P424" i="4" s="1"/>
  <c r="O425" i="4"/>
  <c r="P425" i="4" s="1"/>
  <c r="O426" i="4"/>
  <c r="P426" i="4" s="1"/>
  <c r="O427" i="4"/>
  <c r="P427" i="4" s="1"/>
  <c r="O428" i="4"/>
  <c r="P428" i="4" s="1"/>
  <c r="O429" i="4"/>
  <c r="P429" i="4" s="1"/>
  <c r="O430" i="4"/>
  <c r="O431" i="4"/>
  <c r="P431" i="4" s="1"/>
  <c r="O432" i="4"/>
  <c r="P432" i="4" s="1"/>
  <c r="O433" i="4"/>
  <c r="O434" i="4"/>
  <c r="P434" i="4" s="1"/>
  <c r="O435" i="4"/>
  <c r="P435" i="4" s="1"/>
  <c r="O436" i="4"/>
  <c r="P436" i="4" s="1"/>
  <c r="O437" i="4"/>
  <c r="P437" i="4" s="1"/>
  <c r="O438" i="4"/>
  <c r="P438" i="4" s="1"/>
  <c r="O439" i="4"/>
  <c r="O440" i="4"/>
  <c r="P440" i="4" s="1"/>
  <c r="O441" i="4"/>
  <c r="O442" i="4"/>
  <c r="O443" i="4"/>
  <c r="P443" i="4" s="1"/>
  <c r="O444" i="4"/>
  <c r="P444" i="4" s="1"/>
  <c r="O445" i="4"/>
  <c r="P445" i="4" s="1"/>
  <c r="O446" i="4"/>
  <c r="P446" i="4" s="1"/>
  <c r="O447" i="4"/>
  <c r="P447" i="4" s="1"/>
  <c r="O448" i="4"/>
  <c r="P448" i="4" s="1"/>
  <c r="O449" i="4"/>
  <c r="P449" i="4" s="1"/>
  <c r="O450" i="4"/>
  <c r="P450" i="4" s="1"/>
  <c r="O451" i="4"/>
  <c r="P451" i="4" s="1"/>
  <c r="O452" i="4"/>
  <c r="P452" i="4" s="1"/>
  <c r="O453" i="4"/>
  <c r="P453" i="4" s="1"/>
  <c r="O454" i="4"/>
  <c r="O455" i="4"/>
  <c r="P455" i="4" s="1"/>
  <c r="O456" i="4"/>
  <c r="P456" i="4" s="1"/>
  <c r="O457" i="4"/>
  <c r="P457" i="4" s="1"/>
  <c r="O458" i="4"/>
  <c r="P458" i="4" s="1"/>
  <c r="O459" i="4"/>
  <c r="P459" i="4" s="1"/>
  <c r="O460" i="4"/>
  <c r="P460" i="4" s="1"/>
  <c r="O461" i="4"/>
  <c r="P461" i="4" s="1"/>
  <c r="O462" i="4"/>
  <c r="P462" i="4" s="1"/>
  <c r="O463" i="4"/>
  <c r="P463" i="4" s="1"/>
  <c r="O464" i="4"/>
  <c r="P464" i="4" s="1"/>
  <c r="O465" i="4"/>
  <c r="O466" i="4"/>
  <c r="P466" i="4" s="1"/>
  <c r="O467" i="4"/>
  <c r="P467" i="4" s="1"/>
  <c r="O468" i="4"/>
  <c r="P468" i="4" s="1"/>
  <c r="O469" i="4"/>
  <c r="P469" i="4" s="1"/>
  <c r="O470" i="4"/>
  <c r="P470" i="4" s="1"/>
  <c r="O471" i="4"/>
  <c r="P471" i="4" s="1"/>
  <c r="O472" i="4"/>
  <c r="P472" i="4" s="1"/>
  <c r="O473" i="4"/>
  <c r="P473" i="4" s="1"/>
  <c r="O474" i="4"/>
  <c r="P474" i="4" s="1"/>
  <c r="O475" i="4"/>
  <c r="P475" i="4" s="1"/>
  <c r="O476" i="4"/>
  <c r="P476" i="4" s="1"/>
  <c r="O477" i="4"/>
  <c r="O478" i="4"/>
  <c r="O479" i="4"/>
  <c r="P479" i="4" s="1"/>
  <c r="O480" i="4"/>
  <c r="P480" i="4" s="1"/>
  <c r="O481" i="4"/>
  <c r="P481" i="4" s="1"/>
  <c r="O482" i="4"/>
  <c r="P482" i="4" s="1"/>
  <c r="O483" i="4"/>
  <c r="P483" i="4" s="1"/>
  <c r="O484" i="4"/>
  <c r="P484" i="4" s="1"/>
  <c r="O485" i="4"/>
  <c r="P485" i="4" s="1"/>
  <c r="O486" i="4"/>
  <c r="P486" i="4" s="1"/>
  <c r="O487" i="4"/>
  <c r="P487" i="4" s="1"/>
  <c r="O488" i="4"/>
  <c r="P488" i="4" s="1"/>
  <c r="O489" i="4"/>
  <c r="O490" i="4"/>
  <c r="O491" i="4"/>
  <c r="P491" i="4" s="1"/>
  <c r="O492" i="4"/>
  <c r="P492" i="4" s="1"/>
  <c r="O493" i="4"/>
  <c r="P493" i="4" s="1"/>
  <c r="O494" i="4"/>
  <c r="P494" i="4" s="1"/>
  <c r="O495" i="4"/>
  <c r="P495" i="4" s="1"/>
  <c r="O496" i="4"/>
  <c r="P496" i="4" s="1"/>
  <c r="O497" i="4"/>
  <c r="P497" i="4" s="1"/>
  <c r="O498" i="4"/>
  <c r="P498" i="4" s="1"/>
  <c r="O499" i="4"/>
  <c r="P499" i="4" s="1"/>
  <c r="O500" i="4"/>
  <c r="P500" i="4" s="1"/>
  <c r="O501" i="4"/>
  <c r="P501" i="4" s="1"/>
  <c r="O502" i="4"/>
  <c r="O503" i="4"/>
  <c r="P503" i="4" s="1"/>
  <c r="O504" i="4"/>
  <c r="P504" i="4" s="1"/>
  <c r="O505" i="4"/>
  <c r="P505" i="4" s="1"/>
  <c r="O506" i="4"/>
  <c r="P506" i="4" s="1"/>
  <c r="O507" i="4"/>
  <c r="P507" i="4" s="1"/>
  <c r="O508" i="4"/>
  <c r="P508" i="4" s="1"/>
  <c r="O509" i="4"/>
  <c r="P509" i="4" s="1"/>
  <c r="O510" i="4"/>
  <c r="P510" i="4" s="1"/>
  <c r="O511" i="4"/>
  <c r="O512" i="4"/>
  <c r="P512" i="4" s="1"/>
  <c r="O513" i="4"/>
  <c r="O514" i="4"/>
  <c r="P514" i="4" s="1"/>
  <c r="O515" i="4"/>
  <c r="P515" i="4" s="1"/>
  <c r="O516" i="4"/>
  <c r="P516" i="4" s="1"/>
  <c r="O517" i="4"/>
  <c r="P517" i="4" s="1"/>
  <c r="O518" i="4"/>
  <c r="P518" i="4" s="1"/>
  <c r="O519" i="4"/>
  <c r="P519" i="4" s="1"/>
  <c r="O520" i="4"/>
  <c r="P520" i="4" s="1"/>
  <c r="O521" i="4"/>
  <c r="P521" i="4" s="1"/>
  <c r="O522" i="4"/>
  <c r="P522" i="4" s="1"/>
  <c r="O523" i="4"/>
  <c r="P523" i="4" s="1"/>
  <c r="O524" i="4"/>
  <c r="P524" i="4" s="1"/>
  <c r="O525" i="4"/>
  <c r="O526" i="4"/>
  <c r="O527" i="4"/>
  <c r="P527" i="4" s="1"/>
  <c r="O528" i="4"/>
  <c r="P528" i="4" s="1"/>
  <c r="O529" i="4"/>
  <c r="P529" i="4" s="1"/>
  <c r="O530" i="4"/>
  <c r="P530" i="4" s="1"/>
  <c r="O531" i="4"/>
  <c r="P531" i="4" s="1"/>
  <c r="O532" i="4"/>
  <c r="P532" i="4" s="1"/>
  <c r="O533" i="4"/>
  <c r="P533" i="4" s="1"/>
  <c r="O534" i="4"/>
  <c r="P534" i="4" s="1"/>
  <c r="O535" i="4"/>
  <c r="P535" i="4" s="1"/>
  <c r="O536" i="4"/>
  <c r="P536" i="4" s="1"/>
  <c r="O537" i="4"/>
  <c r="O538" i="4"/>
  <c r="P538" i="4" s="1"/>
  <c r="O539" i="4"/>
  <c r="P539" i="4" s="1"/>
  <c r="O540" i="4"/>
  <c r="P540" i="4" s="1"/>
  <c r="O541" i="4"/>
  <c r="P541" i="4" s="1"/>
  <c r="O542" i="4"/>
  <c r="P542" i="4" s="1"/>
  <c r="O543" i="4"/>
  <c r="P543" i="4" s="1"/>
  <c r="O544" i="4"/>
  <c r="P544" i="4" s="1"/>
  <c r="O545" i="4"/>
  <c r="P545" i="4" s="1"/>
  <c r="O546" i="4"/>
  <c r="P546" i="4" s="1"/>
  <c r="O547" i="4"/>
  <c r="P547" i="4" s="1"/>
  <c r="O548" i="4"/>
  <c r="P548" i="4" s="1"/>
  <c r="O549" i="4"/>
  <c r="P549" i="4" s="1"/>
  <c r="O550" i="4"/>
  <c r="P550" i="4" s="1"/>
  <c r="O551" i="4"/>
  <c r="P551" i="4" s="1"/>
  <c r="O552" i="4"/>
  <c r="P552" i="4" s="1"/>
  <c r="O553" i="4"/>
  <c r="P553" i="4" s="1"/>
  <c r="O554" i="4"/>
  <c r="P554" i="4" s="1"/>
  <c r="O555" i="4"/>
  <c r="P555" i="4" s="1"/>
  <c r="P17" i="4"/>
  <c r="P31" i="4"/>
  <c r="P35" i="4"/>
  <c r="P44" i="4"/>
  <c r="P48" i="4"/>
  <c r="P55" i="4"/>
  <c r="P68" i="4"/>
  <c r="P73" i="4"/>
  <c r="P80" i="4"/>
  <c r="P84" i="4"/>
  <c r="P104" i="4"/>
  <c r="P107" i="4"/>
  <c r="P108" i="4"/>
  <c r="P121" i="4"/>
  <c r="P127" i="4"/>
  <c r="P140" i="4"/>
  <c r="P144" i="4"/>
  <c r="P164" i="4"/>
  <c r="P168" i="4"/>
  <c r="P169" i="4"/>
  <c r="P175" i="4"/>
  <c r="P176" i="4"/>
  <c r="P191" i="4"/>
  <c r="P200" i="4"/>
  <c r="P204" i="4"/>
  <c r="P223" i="4"/>
  <c r="P227" i="4"/>
  <c r="P236" i="4"/>
  <c r="P256" i="4"/>
  <c r="P260" i="4"/>
  <c r="P263" i="4"/>
  <c r="P264" i="4"/>
  <c r="P295" i="4"/>
  <c r="P296" i="4"/>
  <c r="P304" i="4"/>
  <c r="P307" i="4"/>
  <c r="P313" i="4"/>
  <c r="P319" i="4"/>
  <c r="P335" i="4"/>
  <c r="P356" i="4"/>
  <c r="P367" i="4"/>
  <c r="P375" i="4"/>
  <c r="P380" i="4"/>
  <c r="P384" i="4"/>
  <c r="P391" i="4"/>
  <c r="P392" i="4"/>
  <c r="P415" i="4"/>
  <c r="P416" i="4"/>
  <c r="P418" i="4"/>
  <c r="P430" i="4"/>
  <c r="P433" i="4"/>
  <c r="P439" i="4"/>
  <c r="P441" i="4"/>
  <c r="P442" i="4"/>
  <c r="P454" i="4"/>
  <c r="P465" i="4"/>
  <c r="P477" i="4"/>
  <c r="P478" i="4"/>
  <c r="P489" i="4"/>
  <c r="P490" i="4"/>
  <c r="P502" i="4"/>
  <c r="P511" i="4"/>
  <c r="P513" i="4"/>
  <c r="P525" i="4"/>
  <c r="P526" i="4"/>
  <c r="P537" i="4"/>
  <c r="O16" i="1"/>
  <c r="P16" i="1" s="1"/>
  <c r="O17" i="1"/>
  <c r="P17" i="1" s="1"/>
  <c r="G5" i="1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O30" i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O42" i="1"/>
  <c r="O43" i="1"/>
  <c r="O44" i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O54" i="1"/>
  <c r="O55" i="1"/>
  <c r="P55" i="1" s="1"/>
  <c r="O56" i="1"/>
  <c r="P56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63" i="1"/>
  <c r="P63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71" i="1"/>
  <c r="P71" i="1" s="1"/>
  <c r="O72" i="1"/>
  <c r="P72" i="1" s="1"/>
  <c r="O73" i="1"/>
  <c r="P73" i="1" s="1"/>
  <c r="O74" i="1"/>
  <c r="P74" i="1" s="1"/>
  <c r="O75" i="1"/>
  <c r="O76" i="1"/>
  <c r="P76" i="1" s="1"/>
  <c r="O77" i="1"/>
  <c r="O78" i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P87" i="1" s="1"/>
  <c r="O88" i="1"/>
  <c r="P88" i="1" s="1"/>
  <c r="O89" i="1"/>
  <c r="O90" i="1"/>
  <c r="O91" i="1"/>
  <c r="P91" i="1" s="1"/>
  <c r="O92" i="1"/>
  <c r="P92" i="1" s="1"/>
  <c r="O93" i="1"/>
  <c r="P93" i="1" s="1"/>
  <c r="O94" i="1"/>
  <c r="P94" i="1" s="1"/>
  <c r="O95" i="1"/>
  <c r="P95" i="1" s="1"/>
  <c r="O96" i="1"/>
  <c r="P96" i="1" s="1"/>
  <c r="O97" i="1"/>
  <c r="P97" i="1" s="1"/>
  <c r="O98" i="1"/>
  <c r="P98" i="1" s="1"/>
  <c r="O99" i="1"/>
  <c r="O100" i="1"/>
  <c r="P100" i="1" s="1"/>
  <c r="O101" i="1"/>
  <c r="P101" i="1" s="1"/>
  <c r="O102" i="1"/>
  <c r="O103" i="1"/>
  <c r="P103" i="1" s="1"/>
  <c r="O104" i="1"/>
  <c r="P104" i="1" s="1"/>
  <c r="O105" i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112" i="1"/>
  <c r="P112" i="1" s="1"/>
  <c r="O113" i="1"/>
  <c r="P113" i="1" s="1"/>
  <c r="O114" i="1"/>
  <c r="O115" i="1"/>
  <c r="P115" i="1" s="1"/>
  <c r="O116" i="1"/>
  <c r="P116" i="1" s="1"/>
  <c r="O117" i="1"/>
  <c r="P117" i="1" s="1"/>
  <c r="O118" i="1"/>
  <c r="P118" i="1" s="1"/>
  <c r="O119" i="1"/>
  <c r="P119" i="1" s="1"/>
  <c r="O120" i="1"/>
  <c r="P120" i="1" s="1"/>
  <c r="O121" i="1"/>
  <c r="P121" i="1" s="1"/>
  <c r="O122" i="1"/>
  <c r="P122" i="1" s="1"/>
  <c r="O123" i="1"/>
  <c r="P123" i="1" s="1"/>
  <c r="O124" i="1"/>
  <c r="P124" i="1" s="1"/>
  <c r="O125" i="1"/>
  <c r="P125" i="1" s="1"/>
  <c r="O126" i="1"/>
  <c r="O127" i="1"/>
  <c r="P127" i="1" s="1"/>
  <c r="O128" i="1"/>
  <c r="P128" i="1" s="1"/>
  <c r="O129" i="1"/>
  <c r="O130" i="1"/>
  <c r="P130" i="1" s="1"/>
  <c r="O131" i="1"/>
  <c r="P131" i="1" s="1"/>
  <c r="O132" i="1"/>
  <c r="P132" i="1" s="1"/>
  <c r="O133" i="1"/>
  <c r="P133" i="1" s="1"/>
  <c r="O134" i="1"/>
  <c r="P134" i="1" s="1"/>
  <c r="O135" i="1"/>
  <c r="O136" i="1"/>
  <c r="P136" i="1" s="1"/>
  <c r="O137" i="1"/>
  <c r="P137" i="1" s="1"/>
  <c r="O138" i="1"/>
  <c r="P138" i="1" s="1"/>
  <c r="O139" i="1"/>
  <c r="P139" i="1" s="1"/>
  <c r="O140" i="1"/>
  <c r="O141" i="1"/>
  <c r="P141" i="1" s="1"/>
  <c r="O142" i="1"/>
  <c r="P142" i="1" s="1"/>
  <c r="O143" i="1"/>
  <c r="P143" i="1" s="1"/>
  <c r="O144" i="1"/>
  <c r="P144" i="1" s="1"/>
  <c r="O145" i="1"/>
  <c r="P145" i="1" s="1"/>
  <c r="O146" i="1"/>
  <c r="P146" i="1" s="1"/>
  <c r="O147" i="1"/>
  <c r="P147" i="1" s="1"/>
  <c r="O148" i="1"/>
  <c r="P148" i="1" s="1"/>
  <c r="O149" i="1"/>
  <c r="P149" i="1" s="1"/>
  <c r="O150" i="1"/>
  <c r="O151" i="1"/>
  <c r="P151" i="1" s="1"/>
  <c r="O152" i="1"/>
  <c r="P152" i="1" s="1"/>
  <c r="O153" i="1"/>
  <c r="O154" i="1"/>
  <c r="P154" i="1" s="1"/>
  <c r="O155" i="1"/>
  <c r="P155" i="1" s="1"/>
  <c r="O156" i="1"/>
  <c r="P156" i="1" s="1"/>
  <c r="O157" i="1"/>
  <c r="P157" i="1" s="1"/>
  <c r="O158" i="1"/>
  <c r="P158" i="1" s="1"/>
  <c r="O159" i="1"/>
  <c r="P159" i="1" s="1"/>
  <c r="O160" i="1"/>
  <c r="P160" i="1" s="1"/>
  <c r="O161" i="1"/>
  <c r="P161" i="1" s="1"/>
  <c r="O162" i="1"/>
  <c r="O163" i="1"/>
  <c r="P163" i="1" s="1"/>
  <c r="O164" i="1"/>
  <c r="P164" i="1" s="1"/>
  <c r="O165" i="1"/>
  <c r="P165" i="1" s="1"/>
  <c r="O166" i="1"/>
  <c r="P166" i="1" s="1"/>
  <c r="O167" i="1"/>
  <c r="P167" i="1" s="1"/>
  <c r="O168" i="1"/>
  <c r="P168" i="1" s="1"/>
  <c r="O169" i="1"/>
  <c r="P169" i="1" s="1"/>
  <c r="O170" i="1"/>
  <c r="P170" i="1" s="1"/>
  <c r="O171" i="1"/>
  <c r="P171" i="1" s="1"/>
  <c r="O172" i="1"/>
  <c r="P172" i="1" s="1"/>
  <c r="O173" i="1"/>
  <c r="P173" i="1" s="1"/>
  <c r="O174" i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O186" i="1"/>
  <c r="P186" i="1" s="1"/>
  <c r="O187" i="1"/>
  <c r="P187" i="1" s="1"/>
  <c r="O188" i="1"/>
  <c r="P188" i="1" s="1"/>
  <c r="O189" i="1"/>
  <c r="P189" i="1" s="1"/>
  <c r="O190" i="1"/>
  <c r="P190" i="1" s="1"/>
  <c r="O191" i="1"/>
  <c r="P191" i="1" s="1"/>
  <c r="O192" i="1"/>
  <c r="P192" i="1" s="1"/>
  <c r="O193" i="1"/>
  <c r="P193" i="1" s="1"/>
  <c r="O194" i="1"/>
  <c r="P194" i="1" s="1"/>
  <c r="O195" i="1"/>
  <c r="O196" i="1"/>
  <c r="P196" i="1" s="1"/>
  <c r="O197" i="1"/>
  <c r="O198" i="1"/>
  <c r="O199" i="1"/>
  <c r="O200" i="1"/>
  <c r="P200" i="1" s="1"/>
  <c r="O201" i="1"/>
  <c r="P201" i="1" s="1"/>
  <c r="O202" i="1"/>
  <c r="P202" i="1" s="1"/>
  <c r="O203" i="1"/>
  <c r="P203" i="1" s="1"/>
  <c r="O204" i="1"/>
  <c r="P204" i="1" s="1"/>
  <c r="O205" i="1"/>
  <c r="P205" i="1" s="1"/>
  <c r="O206" i="1"/>
  <c r="P206" i="1" s="1"/>
  <c r="O207" i="1"/>
  <c r="P207" i="1" s="1"/>
  <c r="O208" i="1"/>
  <c r="P208" i="1" s="1"/>
  <c r="O209" i="1"/>
  <c r="O210" i="1"/>
  <c r="P210" i="1" s="1"/>
  <c r="O211" i="1"/>
  <c r="P211" i="1" s="1"/>
  <c r="O212" i="1"/>
  <c r="P212" i="1" s="1"/>
  <c r="O213" i="1"/>
  <c r="P213" i="1" s="1"/>
  <c r="O214" i="1"/>
  <c r="P214" i="1" s="1"/>
  <c r="O215" i="1"/>
  <c r="P215" i="1" s="1"/>
  <c r="O216" i="1"/>
  <c r="P216" i="1" s="1"/>
  <c r="O217" i="1"/>
  <c r="P217" i="1" s="1"/>
  <c r="O218" i="1"/>
  <c r="P218" i="1" s="1"/>
  <c r="O219" i="1"/>
  <c r="O220" i="1"/>
  <c r="P220" i="1" s="1"/>
  <c r="O221" i="1"/>
  <c r="P221" i="1" s="1"/>
  <c r="O222" i="1"/>
  <c r="O223" i="1"/>
  <c r="P223" i="1" s="1"/>
  <c r="O224" i="1"/>
  <c r="P224" i="1" s="1"/>
  <c r="O225" i="1"/>
  <c r="P225" i="1" s="1"/>
  <c r="O226" i="1"/>
  <c r="P226" i="1" s="1"/>
  <c r="O227" i="1"/>
  <c r="P227" i="1" s="1"/>
  <c r="O228" i="1"/>
  <c r="P228" i="1" s="1"/>
  <c r="O229" i="1"/>
  <c r="P229" i="1" s="1"/>
  <c r="O230" i="1"/>
  <c r="P230" i="1" s="1"/>
  <c r="O231" i="1"/>
  <c r="O232" i="1"/>
  <c r="P232" i="1" s="1"/>
  <c r="O233" i="1"/>
  <c r="O234" i="1"/>
  <c r="P234" i="1" s="1"/>
  <c r="O235" i="1"/>
  <c r="P235" i="1" s="1"/>
  <c r="O236" i="1"/>
  <c r="P236" i="1" s="1"/>
  <c r="O237" i="1"/>
  <c r="P237" i="1" s="1"/>
  <c r="O238" i="1"/>
  <c r="P238" i="1" s="1"/>
  <c r="O239" i="1"/>
  <c r="P239" i="1" s="1"/>
  <c r="O240" i="1"/>
  <c r="P240" i="1" s="1"/>
  <c r="O241" i="1"/>
  <c r="P241" i="1" s="1"/>
  <c r="O242" i="1"/>
  <c r="P242" i="1" s="1"/>
  <c r="O243" i="1"/>
  <c r="P243" i="1" s="1"/>
  <c r="O244" i="1"/>
  <c r="P244" i="1" s="1"/>
  <c r="O245" i="1"/>
  <c r="O246" i="1"/>
  <c r="O247" i="1"/>
  <c r="P247" i="1" s="1"/>
  <c r="O248" i="1"/>
  <c r="P248" i="1" s="1"/>
  <c r="O249" i="1"/>
  <c r="P249" i="1" s="1"/>
  <c r="O250" i="1"/>
  <c r="P250" i="1" s="1"/>
  <c r="O251" i="1"/>
  <c r="P251" i="1" s="1"/>
  <c r="O252" i="1"/>
  <c r="P252" i="1" s="1"/>
  <c r="O253" i="1"/>
  <c r="P253" i="1" s="1"/>
  <c r="O254" i="1"/>
  <c r="P254" i="1" s="1"/>
  <c r="O255" i="1"/>
  <c r="P255" i="1" s="1"/>
  <c r="O256" i="1"/>
  <c r="P256" i="1" s="1"/>
  <c r="O257" i="1"/>
  <c r="O258" i="1"/>
  <c r="P258" i="1" s="1"/>
  <c r="O259" i="1"/>
  <c r="O260" i="1"/>
  <c r="P260" i="1" s="1"/>
  <c r="O261" i="1"/>
  <c r="P261" i="1" s="1"/>
  <c r="O262" i="1"/>
  <c r="P262" i="1" s="1"/>
  <c r="O263" i="1"/>
  <c r="P263" i="1" s="1"/>
  <c r="O264" i="1"/>
  <c r="P264" i="1" s="1"/>
  <c r="O265" i="1"/>
  <c r="P265" i="1" s="1"/>
  <c r="O266" i="1"/>
  <c r="P266" i="1" s="1"/>
  <c r="O267" i="1"/>
  <c r="P267" i="1" s="1"/>
  <c r="O268" i="1"/>
  <c r="P268" i="1" s="1"/>
  <c r="O269" i="1"/>
  <c r="P269" i="1" s="1"/>
  <c r="O270" i="1"/>
  <c r="O271" i="1"/>
  <c r="P271" i="1" s="1"/>
  <c r="O272" i="1"/>
  <c r="P272" i="1" s="1"/>
  <c r="O273" i="1"/>
  <c r="P273" i="1" s="1"/>
  <c r="O274" i="1"/>
  <c r="P274" i="1" s="1"/>
  <c r="O275" i="1"/>
  <c r="P275" i="1" s="1"/>
  <c r="O276" i="1"/>
  <c r="P276" i="1" s="1"/>
  <c r="O277" i="1"/>
  <c r="P277" i="1" s="1"/>
  <c r="O278" i="1"/>
  <c r="P278" i="1" s="1"/>
  <c r="O279" i="1"/>
  <c r="P279" i="1" s="1"/>
  <c r="O280" i="1"/>
  <c r="P280" i="1" s="1"/>
  <c r="O281" i="1"/>
  <c r="O282" i="1"/>
  <c r="O283" i="1"/>
  <c r="P283" i="1" s="1"/>
  <c r="O284" i="1"/>
  <c r="P284" i="1" s="1"/>
  <c r="O285" i="1"/>
  <c r="P285" i="1" s="1"/>
  <c r="O286" i="1"/>
  <c r="P286" i="1" s="1"/>
  <c r="O287" i="1"/>
  <c r="P287" i="1" s="1"/>
  <c r="O288" i="1"/>
  <c r="P288" i="1" s="1"/>
  <c r="O289" i="1"/>
  <c r="P289" i="1" s="1"/>
  <c r="O290" i="1"/>
  <c r="P290" i="1" s="1"/>
  <c r="O291" i="1"/>
  <c r="P291" i="1" s="1"/>
  <c r="O292" i="1"/>
  <c r="P292" i="1" s="1"/>
  <c r="O293" i="1"/>
  <c r="P293" i="1" s="1"/>
  <c r="O294" i="1"/>
  <c r="O295" i="1"/>
  <c r="P295" i="1" s="1"/>
  <c r="O296" i="1"/>
  <c r="P296" i="1" s="1"/>
  <c r="O297" i="1"/>
  <c r="P297" i="1" s="1"/>
  <c r="O298" i="1"/>
  <c r="P298" i="1" s="1"/>
  <c r="O299" i="1"/>
  <c r="P299" i="1" s="1"/>
  <c r="O300" i="1"/>
  <c r="P300" i="1" s="1"/>
  <c r="O301" i="1"/>
  <c r="P301" i="1" s="1"/>
  <c r="O302" i="1"/>
  <c r="P302" i="1" s="1"/>
  <c r="O303" i="1"/>
  <c r="P303" i="1" s="1"/>
  <c r="O304" i="1"/>
  <c r="P304" i="1" s="1"/>
  <c r="O305" i="1"/>
  <c r="O306" i="1"/>
  <c r="O307" i="1"/>
  <c r="P307" i="1" s="1"/>
  <c r="O308" i="1"/>
  <c r="P308" i="1" s="1"/>
  <c r="O309" i="1"/>
  <c r="P309" i="1" s="1"/>
  <c r="O310" i="1"/>
  <c r="P310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7" i="1"/>
  <c r="P327" i="1" s="1"/>
  <c r="O328" i="1"/>
  <c r="P328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O337" i="1"/>
  <c r="P337" i="1" s="1"/>
  <c r="O338" i="1"/>
  <c r="P338" i="1" s="1"/>
  <c r="O339" i="1"/>
  <c r="P339" i="1" s="1"/>
  <c r="O340" i="1"/>
  <c r="P340" i="1" s="1"/>
  <c r="O341" i="1"/>
  <c r="P341" i="1" s="1"/>
  <c r="O342" i="1"/>
  <c r="O343" i="1"/>
  <c r="P343" i="1" s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O351" i="1"/>
  <c r="P351" i="1" s="1"/>
  <c r="O352" i="1"/>
  <c r="P352" i="1" s="1"/>
  <c r="O353" i="1"/>
  <c r="P353" i="1" s="1"/>
  <c r="O354" i="1"/>
  <c r="O355" i="1"/>
  <c r="O356" i="1"/>
  <c r="P356" i="1" s="1"/>
  <c r="O357" i="1"/>
  <c r="P357" i="1" s="1"/>
  <c r="O358" i="1"/>
  <c r="P358" i="1" s="1"/>
  <c r="O359" i="1"/>
  <c r="P359" i="1" s="1"/>
  <c r="O360" i="1"/>
  <c r="P360" i="1" s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O367" i="1"/>
  <c r="P367" i="1" s="1"/>
  <c r="O368" i="1"/>
  <c r="P368" i="1" s="1"/>
  <c r="O369" i="1"/>
  <c r="O370" i="1"/>
  <c r="P370" i="1" s="1"/>
  <c r="O371" i="1"/>
  <c r="P371" i="1" s="1"/>
  <c r="O372" i="1"/>
  <c r="P372" i="1" s="1"/>
  <c r="O373" i="1"/>
  <c r="P373" i="1" s="1"/>
  <c r="O374" i="1"/>
  <c r="P374" i="1" s="1"/>
  <c r="O375" i="1"/>
  <c r="P375" i="1" s="1"/>
  <c r="O376" i="1"/>
  <c r="P376" i="1" s="1"/>
  <c r="O377" i="1"/>
  <c r="P377" i="1" s="1"/>
  <c r="O378" i="1"/>
  <c r="P378" i="1" s="1"/>
  <c r="O379" i="1"/>
  <c r="P379" i="1" s="1"/>
  <c r="O380" i="1"/>
  <c r="P380" i="1" s="1"/>
  <c r="O381" i="1"/>
  <c r="P381" i="1" s="1"/>
  <c r="O382" i="1"/>
  <c r="P382" i="1" s="1"/>
  <c r="O383" i="1"/>
  <c r="P383" i="1" s="1"/>
  <c r="O384" i="1"/>
  <c r="P384" i="1" s="1"/>
  <c r="O385" i="1"/>
  <c r="P385" i="1" s="1"/>
  <c r="O386" i="1"/>
  <c r="P386" i="1" s="1"/>
  <c r="O387" i="1"/>
  <c r="O388" i="1"/>
  <c r="P388" i="1" s="1"/>
  <c r="O389" i="1"/>
  <c r="O390" i="1"/>
  <c r="O391" i="1"/>
  <c r="P391" i="1" s="1"/>
  <c r="O392" i="1"/>
  <c r="P392" i="1" s="1"/>
  <c r="O393" i="1"/>
  <c r="O394" i="1"/>
  <c r="P394" i="1" s="1"/>
  <c r="O395" i="1"/>
  <c r="P395" i="1" s="1"/>
  <c r="O396" i="1"/>
  <c r="P396" i="1" s="1"/>
  <c r="O397" i="1"/>
  <c r="P397" i="1" s="1"/>
  <c r="O398" i="1"/>
  <c r="P398" i="1" s="1"/>
  <c r="O399" i="1"/>
  <c r="P399" i="1" s="1"/>
  <c r="O400" i="1"/>
  <c r="P400" i="1" s="1"/>
  <c r="O401" i="1"/>
  <c r="O402" i="1"/>
  <c r="P402" i="1" s="1"/>
  <c r="O403" i="1"/>
  <c r="P403" i="1" s="1"/>
  <c r="O404" i="1"/>
  <c r="P404" i="1" s="1"/>
  <c r="O405" i="1"/>
  <c r="P405" i="1" s="1"/>
  <c r="O406" i="1"/>
  <c r="P406" i="1" s="1"/>
  <c r="O407" i="1"/>
  <c r="P407" i="1" s="1"/>
  <c r="O408" i="1"/>
  <c r="P408" i="1" s="1"/>
  <c r="O409" i="1"/>
  <c r="P409" i="1" s="1"/>
  <c r="O410" i="1"/>
  <c r="P410" i="1" s="1"/>
  <c r="O411" i="1"/>
  <c r="P411" i="1" s="1"/>
  <c r="O412" i="1"/>
  <c r="P412" i="1" s="1"/>
  <c r="O413" i="1"/>
  <c r="O414" i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2" i="1"/>
  <c r="P422" i="1" s="1"/>
  <c r="O423" i="1"/>
  <c r="P423" i="1" s="1"/>
  <c r="O424" i="1"/>
  <c r="P424" i="1" s="1"/>
  <c r="O425" i="1"/>
  <c r="O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O434" i="1"/>
  <c r="P434" i="1" s="1"/>
  <c r="O435" i="1"/>
  <c r="P435" i="1" s="1"/>
  <c r="O436" i="1"/>
  <c r="P436" i="1" s="1"/>
  <c r="O437" i="1"/>
  <c r="O438" i="1"/>
  <c r="O439" i="1"/>
  <c r="P439" i="1" s="1"/>
  <c r="O440" i="1"/>
  <c r="P440" i="1" s="1"/>
  <c r="O441" i="1"/>
  <c r="P441" i="1" s="1"/>
  <c r="O442" i="1"/>
  <c r="P442" i="1" s="1"/>
  <c r="O443" i="1"/>
  <c r="P443" i="1" s="1"/>
  <c r="O444" i="1"/>
  <c r="P444" i="1" s="1"/>
  <c r="O445" i="1"/>
  <c r="P445" i="1" s="1"/>
  <c r="O446" i="1"/>
  <c r="P446" i="1" s="1"/>
  <c r="O447" i="1"/>
  <c r="P447" i="1" s="1"/>
  <c r="O448" i="1"/>
  <c r="P448" i="1" s="1"/>
  <c r="O449" i="1"/>
  <c r="O450" i="1"/>
  <c r="P450" i="1" s="1"/>
  <c r="O451" i="1"/>
  <c r="P451" i="1" s="1"/>
  <c r="O452" i="1"/>
  <c r="P452" i="1" s="1"/>
  <c r="O453" i="1"/>
  <c r="P453" i="1" s="1"/>
  <c r="O454" i="1"/>
  <c r="P454" i="1" s="1"/>
  <c r="O455" i="1"/>
  <c r="P455" i="1" s="1"/>
  <c r="O456" i="1"/>
  <c r="P456" i="1" s="1"/>
  <c r="O457" i="1"/>
  <c r="P457" i="1" s="1"/>
  <c r="O458" i="1"/>
  <c r="P458" i="1" s="1"/>
  <c r="O459" i="1"/>
  <c r="P459" i="1" s="1"/>
  <c r="O460" i="1"/>
  <c r="P460" i="1" s="1"/>
  <c r="O461" i="1"/>
  <c r="O462" i="1"/>
  <c r="O463" i="1"/>
  <c r="P463" i="1" s="1"/>
  <c r="O464" i="1"/>
  <c r="P464" i="1" s="1"/>
  <c r="O465" i="1"/>
  <c r="P465" i="1" s="1"/>
  <c r="O466" i="1"/>
  <c r="P466" i="1" s="1"/>
  <c r="O467" i="1"/>
  <c r="P467" i="1" s="1"/>
  <c r="O468" i="1"/>
  <c r="P468" i="1" s="1"/>
  <c r="O469" i="1"/>
  <c r="P469" i="1" s="1"/>
  <c r="O470" i="1"/>
  <c r="P470" i="1" s="1"/>
  <c r="O471" i="1"/>
  <c r="P471" i="1" s="1"/>
  <c r="O472" i="1"/>
  <c r="P472" i="1" s="1"/>
  <c r="O473" i="1"/>
  <c r="O474" i="1"/>
  <c r="O475" i="1"/>
  <c r="P475" i="1" s="1"/>
  <c r="O476" i="1"/>
  <c r="P476" i="1" s="1"/>
  <c r="O477" i="1"/>
  <c r="P477" i="1" s="1"/>
  <c r="O478" i="1"/>
  <c r="P478" i="1" s="1"/>
  <c r="O479" i="1"/>
  <c r="P479" i="1" s="1"/>
  <c r="O480" i="1"/>
  <c r="P480" i="1" s="1"/>
  <c r="O481" i="1"/>
  <c r="O482" i="1"/>
  <c r="P482" i="1" s="1"/>
  <c r="O483" i="1"/>
  <c r="P483" i="1" s="1"/>
  <c r="O484" i="1"/>
  <c r="P484" i="1" s="1"/>
  <c r="O485" i="1"/>
  <c r="P485" i="1" s="1"/>
  <c r="O486" i="1"/>
  <c r="O487" i="1"/>
  <c r="P487" i="1" s="1"/>
  <c r="O488" i="1"/>
  <c r="P488" i="1" s="1"/>
  <c r="O489" i="1"/>
  <c r="P489" i="1" s="1"/>
  <c r="O490" i="1"/>
  <c r="P490" i="1" s="1"/>
  <c r="O491" i="1"/>
  <c r="P491" i="1" s="1"/>
  <c r="O492" i="1"/>
  <c r="P492" i="1" s="1"/>
  <c r="O493" i="1"/>
  <c r="P493" i="1" s="1"/>
  <c r="O494" i="1"/>
  <c r="P494" i="1" s="1"/>
  <c r="O495" i="1"/>
  <c r="P495" i="1" s="1"/>
  <c r="O496" i="1"/>
  <c r="P496" i="1" s="1"/>
  <c r="O497" i="1"/>
  <c r="O498" i="1"/>
  <c r="P498" i="1" s="1"/>
  <c r="O499" i="1"/>
  <c r="P499" i="1" s="1"/>
  <c r="O500" i="1"/>
  <c r="P500" i="1" s="1"/>
  <c r="O501" i="1"/>
  <c r="P501" i="1" s="1"/>
  <c r="O502" i="1"/>
  <c r="P502" i="1" s="1"/>
  <c r="O503" i="1"/>
  <c r="P503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O510" i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O522" i="1"/>
  <c r="P522" i="1" s="1"/>
  <c r="O523" i="1"/>
  <c r="O524" i="1"/>
  <c r="P524" i="1" s="1"/>
  <c r="O525" i="1"/>
  <c r="P525" i="1" s="1"/>
  <c r="O526" i="1"/>
  <c r="P526" i="1" s="1"/>
  <c r="O527" i="1"/>
  <c r="P527" i="1" s="1"/>
  <c r="O528" i="1"/>
  <c r="P528" i="1" s="1"/>
  <c r="O529" i="1"/>
  <c r="P529" i="1" s="1"/>
  <c r="O530" i="1"/>
  <c r="P530" i="1" s="1"/>
  <c r="O531" i="1"/>
  <c r="P531" i="1" s="1"/>
  <c r="O532" i="1"/>
  <c r="P532" i="1" s="1"/>
  <c r="O533" i="1"/>
  <c r="O534" i="1"/>
  <c r="O535" i="1"/>
  <c r="P535" i="1" s="1"/>
  <c r="O536" i="1"/>
  <c r="P536" i="1" s="1"/>
  <c r="O537" i="1"/>
  <c r="P537" i="1" s="1"/>
  <c r="O538" i="1"/>
  <c r="P538" i="1" s="1"/>
  <c r="O539" i="1"/>
  <c r="P539" i="1" s="1"/>
  <c r="O540" i="1"/>
  <c r="P540" i="1" s="1"/>
  <c r="O541" i="1"/>
  <c r="P541" i="1" s="1"/>
  <c r="O542" i="1"/>
  <c r="P542" i="1" s="1"/>
  <c r="O543" i="1"/>
  <c r="P543" i="1" s="1"/>
  <c r="O544" i="1"/>
  <c r="P544" i="1" s="1"/>
  <c r="O545" i="1"/>
  <c r="O546" i="1"/>
  <c r="O547" i="1"/>
  <c r="P547" i="1" s="1"/>
  <c r="O548" i="1"/>
  <c r="P548" i="1" s="1"/>
  <c r="O549" i="1"/>
  <c r="P549" i="1" s="1"/>
  <c r="O550" i="1"/>
  <c r="P550" i="1" s="1"/>
  <c r="O551" i="1"/>
  <c r="P551" i="1" s="1"/>
  <c r="O552" i="1"/>
  <c r="P552" i="1" s="1"/>
  <c r="O553" i="1"/>
  <c r="P553" i="1" s="1"/>
  <c r="O554" i="1"/>
  <c r="P554" i="1" s="1"/>
  <c r="O555" i="1"/>
  <c r="P555" i="1" s="1"/>
  <c r="P29" i="1"/>
  <c r="P30" i="1"/>
  <c r="P41" i="1"/>
  <c r="P42" i="1"/>
  <c r="P43" i="1"/>
  <c r="P44" i="1"/>
  <c r="P53" i="1"/>
  <c r="P54" i="1"/>
  <c r="P75" i="1"/>
  <c r="P77" i="1"/>
  <c r="P78" i="1"/>
  <c r="P89" i="1"/>
  <c r="P90" i="1"/>
  <c r="P99" i="1"/>
  <c r="P102" i="1"/>
  <c r="P105" i="1"/>
  <c r="P114" i="1"/>
  <c r="P126" i="1"/>
  <c r="P129" i="1"/>
  <c r="P135" i="1"/>
  <c r="P140" i="1"/>
  <c r="P150" i="1"/>
  <c r="P153" i="1"/>
  <c r="P162" i="1"/>
  <c r="P174" i="1"/>
  <c r="P185" i="1"/>
  <c r="P195" i="1"/>
  <c r="P197" i="1"/>
  <c r="P198" i="1"/>
  <c r="P199" i="1"/>
  <c r="P209" i="1"/>
  <c r="P219" i="1"/>
  <c r="P222" i="1"/>
  <c r="P231" i="1"/>
  <c r="P233" i="1"/>
  <c r="P245" i="1"/>
  <c r="P246" i="1"/>
  <c r="P257" i="1"/>
  <c r="P259" i="1"/>
  <c r="P270" i="1"/>
  <c r="P281" i="1"/>
  <c r="P282" i="1"/>
  <c r="P294" i="1"/>
  <c r="P305" i="1"/>
  <c r="P306" i="1"/>
  <c r="P318" i="1"/>
  <c r="P342" i="1"/>
  <c r="P354" i="1"/>
  <c r="P355" i="1"/>
  <c r="P366" i="1"/>
  <c r="P369" i="1"/>
  <c r="P387" i="1"/>
  <c r="P389" i="1"/>
  <c r="P390" i="1"/>
  <c r="P393" i="1"/>
  <c r="P401" i="1"/>
  <c r="P413" i="1"/>
  <c r="P414" i="1"/>
  <c r="P425" i="1"/>
  <c r="P426" i="1"/>
  <c r="P433" i="1"/>
  <c r="P437" i="1"/>
  <c r="P438" i="1"/>
  <c r="P449" i="1"/>
  <c r="P461" i="1"/>
  <c r="P462" i="1"/>
  <c r="P473" i="1"/>
  <c r="P474" i="1"/>
  <c r="P481" i="1"/>
  <c r="P486" i="1"/>
  <c r="P497" i="1"/>
  <c r="P509" i="1"/>
  <c r="P510" i="1"/>
  <c r="P521" i="1"/>
  <c r="P523" i="1"/>
  <c r="P533" i="1"/>
  <c r="P534" i="1"/>
  <c r="P545" i="1"/>
  <c r="P546" i="1"/>
  <c r="P18" i="11" l="1"/>
  <c r="P19" i="11"/>
  <c r="P16" i="11"/>
  <c r="P20" i="11"/>
  <c r="P17" i="11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16" i="8"/>
  <c r="B2" i="8" l="1"/>
  <c r="B2" i="6"/>
  <c r="B2" i="5"/>
  <c r="B2" i="4"/>
  <c r="B2" i="1"/>
  <c r="G5" i="8" l="1"/>
  <c r="G5" i="6" l="1"/>
  <c r="G5" i="4"/>
  <c r="G5" i="5"/>
  <c r="G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abela 22" description="Tabela 22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' _x000d__x000a_WHERE DATA_SALDO=@DATA_SALDO AND REDE_LOJAS = 10 _x000d__x000a_ _x000d__x000a_ORDER BY PRODUTO, COR"/>
  </connection>
  <connection id="2" xr16:uid="{00000000-0015-0000-FFFF-FFFF01000000}" keepAlive="1" name="Tabela 23" description="Tabela 23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3' _x000d__x000a_WHERE DATA_SALDO=@DATA_SALDO AND REDE_LOJAS = 10 _x000d__x000a_ _x000d__x000a_ORDER BY PRODUTO, COR"/>
  </connection>
  <connection id="3" xr16:uid="{00000000-0015-0000-FFFF-FFFF02000000}" keepAlive="1" name="Tabela 24" description="Tabela 24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F' _x000d__x000a_WHERE DATA_SALDO=@DATA_SALDO AND REDE_LOJAS = 10 _x000d__x000a_ _x000d__x000a_ORDER BY PRODUTO, COR"/>
  </connection>
  <connection id="4" xr16:uid="{00000000-0015-0000-FFFF-FFFF03000000}" keepAlive="1" name="Tabela 25" description="Tabela 25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5' _x000d__x000a_WHERE DATA_SALDO=@DATA_SALDO AND REDE_LOJAS = 10 _x000d__x000a_ _x000d__x000a_ORDER BY PRODUTO, COR"/>
  </connection>
  <connection id="5" xr16:uid="{00000000-0015-0000-FFFF-FFFF04000000}" keepAlive="1" name="Tabela 27" description="Tabela 27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627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E' _x000d__x000a_WHERE DATA_SALDO=@DATA_SALDO AND REDE_LOJAS = 10 _x000d__x000a_ _x000d__x000a_ORDER BY PRODUTO, COR"/>
  </connection>
</connections>
</file>

<file path=xl/sharedStrings.xml><?xml version="1.0" encoding="utf-8"?>
<sst xmlns="http://schemas.openxmlformats.org/spreadsheetml/2006/main" count="14209" uniqueCount="1733">
  <si>
    <t>PRODUTO</t>
  </si>
  <si>
    <t>DESCRIÇÃO</t>
  </si>
  <si>
    <t>COR</t>
  </si>
  <si>
    <t>DESCRIÇÃO COR</t>
  </si>
  <si>
    <t>PREÇO</t>
  </si>
  <si>
    <t>GRADE</t>
  </si>
  <si>
    <t>(   )</t>
  </si>
  <si>
    <t>TAMANHOS</t>
  </si>
  <si>
    <t>T1</t>
  </si>
  <si>
    <t>T2</t>
  </si>
  <si>
    <t>T3</t>
  </si>
  <si>
    <t>T4</t>
  </si>
  <si>
    <t>T5</t>
  </si>
  <si>
    <t>T6</t>
  </si>
  <si>
    <t>T7</t>
  </si>
  <si>
    <t>VALOR</t>
  </si>
  <si>
    <t>QTDE</t>
  </si>
  <si>
    <t>U</t>
  </si>
  <si>
    <t>P</t>
  </si>
  <si>
    <t>M</t>
  </si>
  <si>
    <t>G</t>
  </si>
  <si>
    <t>RAZÃO SOCIAL</t>
  </si>
  <si>
    <t>NOME FANTASIA</t>
  </si>
  <si>
    <t>CIDADE</t>
  </si>
  <si>
    <t>CNPJ</t>
  </si>
  <si>
    <t>UF</t>
  </si>
  <si>
    <t>TEL</t>
  </si>
  <si>
    <t>DATA</t>
  </si>
  <si>
    <t>COND PGTO</t>
  </si>
  <si>
    <t>REPRESENTANTE</t>
  </si>
  <si>
    <t>VALOR PEDIDO</t>
  </si>
  <si>
    <t>P-M-G</t>
  </si>
  <si>
    <t>0105</t>
  </si>
  <si>
    <t>JEANS MEDIO</t>
  </si>
  <si>
    <t>0003</t>
  </si>
  <si>
    <t>OFF WHITE</t>
  </si>
  <si>
    <t>0101</t>
  </si>
  <si>
    <t>JEANS CLARO</t>
  </si>
  <si>
    <t>0005</t>
  </si>
  <si>
    <t>PP-P-M-G</t>
  </si>
  <si>
    <t>0002</t>
  </si>
  <si>
    <t>BRANCO</t>
  </si>
  <si>
    <t>JEANS ESCURO</t>
  </si>
  <si>
    <t>1540</t>
  </si>
  <si>
    <t>P M G</t>
  </si>
  <si>
    <t>PRATA</t>
  </si>
  <si>
    <t>0400</t>
  </si>
  <si>
    <t>0062</t>
  </si>
  <si>
    <t>0011</t>
  </si>
  <si>
    <t>0015</t>
  </si>
  <si>
    <t>P-M-G-GG</t>
  </si>
  <si>
    <t>COLORIDO</t>
  </si>
  <si>
    <t>COLEÇÃO</t>
  </si>
  <si>
    <t>DATA SALDO</t>
  </si>
  <si>
    <t>Parâmetro</t>
  </si>
  <si>
    <t>03.01.1253</t>
  </si>
  <si>
    <t>JAQUETA DE NYLON COM TELA</t>
  </si>
  <si>
    <t>VERMELHO MANDARIM</t>
  </si>
  <si>
    <t>03.04.0350</t>
  </si>
  <si>
    <t>BLAZER DE LINHO COM PIPING</t>
  </si>
  <si>
    <t>1858</t>
  </si>
  <si>
    <t>LILAS HUSH</t>
  </si>
  <si>
    <t>2441</t>
  </si>
  <si>
    <t>LARANJA ZINNIA</t>
  </si>
  <si>
    <t>04.04.0136</t>
  </si>
  <si>
    <t>CALCA JEANS WIDE BARRA DESFEITA</t>
  </si>
  <si>
    <t>34 A 46</t>
  </si>
  <si>
    <t>04.04.0137</t>
  </si>
  <si>
    <t>CALCA JEANS PANTACOURT NERVURAS</t>
  </si>
  <si>
    <t>04.04.0138</t>
  </si>
  <si>
    <t>CALCA DE TRICOT LISTRADA COM LUREX</t>
  </si>
  <si>
    <t>LISTRADO</t>
  </si>
  <si>
    <t>04.04.0140</t>
  </si>
  <si>
    <t>CALÇA LISTRADA LUREX PANTACOURT</t>
  </si>
  <si>
    <t>04.05.0787</t>
  </si>
  <si>
    <t>CALCA SARJA RETA ROCK COM LAISE</t>
  </si>
  <si>
    <t>34 A 44</t>
  </si>
  <si>
    <t>04.05.0789</t>
  </si>
  <si>
    <t>CALCA DE LINHO RETA COM BOTÃO</t>
  </si>
  <si>
    <t>0830</t>
  </si>
  <si>
    <t>VERDE PRIM</t>
  </si>
  <si>
    <t>04.05.0790</t>
  </si>
  <si>
    <t>CALCA JEANS RETA ROCK RASGOS</t>
  </si>
  <si>
    <t>04.13.1260</t>
  </si>
  <si>
    <t>CALCA EST ESTRELA SOL</t>
  </si>
  <si>
    <t>27682</t>
  </si>
  <si>
    <t>EST TEXTURA ESTRELA SOL AJ</t>
  </si>
  <si>
    <t>04.13.1282</t>
  </si>
  <si>
    <t>CALCA EST CONCHA PRIM</t>
  </si>
  <si>
    <t>27689</t>
  </si>
  <si>
    <t>EST TEX CONCHA PRIM AJ</t>
  </si>
  <si>
    <t>04.16.0295</t>
  </si>
  <si>
    <t>CALCA SARJA BOYFRIEND RASGOS BARRA A FIO</t>
  </si>
  <si>
    <t>04.16.0296</t>
  </si>
  <si>
    <t>CALCA JEANS BOYFRIEND SUPER WASHED</t>
  </si>
  <si>
    <t>04.19.0501</t>
  </si>
  <si>
    <t>CALCA JEANS ANKLE FLARE BARRA DEGRAU</t>
  </si>
  <si>
    <t>04.42.0006</t>
  </si>
  <si>
    <t>CALCA JEANS LONG RISE BORDADOS CORAIS</t>
  </si>
  <si>
    <t>04.47.0045</t>
  </si>
  <si>
    <t>CALCA SARJA BOOT 70S ROCK CORDAO</t>
  </si>
  <si>
    <t>5217</t>
  </si>
  <si>
    <t>04.47.0047</t>
  </si>
  <si>
    <t>CALCA SARJA BOOT CAPRI COOL STONED</t>
  </si>
  <si>
    <t>AMARELO BLAZE</t>
  </si>
  <si>
    <t>04.47.0048</t>
  </si>
  <si>
    <t>CALCA JEANS BOOT 70S VISTA ASSIMETRICA</t>
  </si>
  <si>
    <t>JEANS MÉDIO</t>
  </si>
  <si>
    <t>04.47.0049</t>
  </si>
  <si>
    <t>CALCA JEANS 70S BORDADO</t>
  </si>
  <si>
    <t>04.47.0050</t>
  </si>
  <si>
    <t>CALCA SARJA ALFAIATARIA COM CINTO</t>
  </si>
  <si>
    <t>3918</t>
  </si>
  <si>
    <t>BEGE KHAKI</t>
  </si>
  <si>
    <t>04.47.0053</t>
  </si>
  <si>
    <t>CALCA JEANS NEW BOOTCUT FOUR POCKERTS</t>
  </si>
  <si>
    <t>04.47.0054</t>
  </si>
  <si>
    <t>CALCA JEANS  BOOT BASIC MIDI</t>
  </si>
  <si>
    <t>04.69.2052</t>
  </si>
  <si>
    <t>CALCA SARJA SKINNY BASIC HIGH STONED</t>
  </si>
  <si>
    <t>04.69.2054</t>
  </si>
  <si>
    <t>CALCA JEANS  SKINNY BASIC MIDI LIGHT</t>
  </si>
  <si>
    <t>04.69.2058</t>
  </si>
  <si>
    <t>CALCA JEANS SKINNY BASIC MIDI</t>
  </si>
  <si>
    <t>04.69.2060</t>
  </si>
  <si>
    <t>CALCA JEANS SKINNY BASIC MIDI BARRA FIO</t>
  </si>
  <si>
    <t>04.81.0270</t>
  </si>
  <si>
    <t>CALCA JEANS NIPPER AVESSO ESTAMPADO</t>
  </si>
  <si>
    <t>JEANS CLARO + ESTAMPA ALGAS</t>
  </si>
  <si>
    <t>04.81.0271</t>
  </si>
  <si>
    <t>CALCA JEANS RECORTE MAXI BOLSO LATERAL</t>
  </si>
  <si>
    <t>04.81.0272</t>
  </si>
  <si>
    <t>CALCA SARJA RECORTE MAXI BOLSO LATERAL</t>
  </si>
  <si>
    <t>04.81.0273</t>
  </si>
  <si>
    <t>CALCA JEANS NIPPER BOLSO FACA</t>
  </si>
  <si>
    <t>04.81.0274</t>
  </si>
  <si>
    <t>CALCA SARJA RECORTES COM LAISE</t>
  </si>
  <si>
    <t>LARANJA ZINIA</t>
  </si>
  <si>
    <t>04.81.0275</t>
  </si>
  <si>
    <t>CALCA SARJA MAXI BOLSOS</t>
  </si>
  <si>
    <t>1617</t>
  </si>
  <si>
    <t>ROSA CLARINHO</t>
  </si>
  <si>
    <t>04.81.0277</t>
  </si>
  <si>
    <t>CALCA JEANS LOW RISE FENDA LATERAL</t>
  </si>
  <si>
    <t>04.81.0278</t>
  </si>
  <si>
    <t>CALCA JEANS SLOUCHY FOIL FURTACOR</t>
  </si>
  <si>
    <t>04.81.0279</t>
  </si>
  <si>
    <t>04.81.0286</t>
  </si>
  <si>
    <t>CALCA JEANS OVERSIZED BARRA DOBRADA</t>
  </si>
  <si>
    <t>07.02.6232</t>
  </si>
  <si>
    <t>VESTIDO CURTO EST ESTRELA SOL</t>
  </si>
  <si>
    <t>07.02.6233</t>
  </si>
  <si>
    <t>VESTIDO CURTO EST LISTRA VERMELHA</t>
  </si>
  <si>
    <t>27630</t>
  </si>
  <si>
    <t>EST TEXTURA LISTRA VERMELHA AJ</t>
  </si>
  <si>
    <t>07.02.6234</t>
  </si>
  <si>
    <t>VESTIDO CURTO EST ONDAS SCUBA</t>
  </si>
  <si>
    <t>27628</t>
  </si>
  <si>
    <t>EST ONDAS SCUBA AJ</t>
  </si>
  <si>
    <t>07.02.6235</t>
  </si>
  <si>
    <t>VESTIDO CURTO EST TEXTURA POIS SCUBA</t>
  </si>
  <si>
    <t>27632</t>
  </si>
  <si>
    <t>EST TEXTURA POIS SCUBA AJ</t>
  </si>
  <si>
    <t>07.02.6236</t>
  </si>
  <si>
    <t>VESTIDO CURTO EST BUZIOS OFF</t>
  </si>
  <si>
    <t>27685</t>
  </si>
  <si>
    <t>EST FIG BUZIOS OFF WHITE AJ</t>
  </si>
  <si>
    <t>07.02.6237</t>
  </si>
  <si>
    <t>27631</t>
  </si>
  <si>
    <t>EST TEXTURA POIS LILAS AJ</t>
  </si>
  <si>
    <t>07.02.6239</t>
  </si>
  <si>
    <t>VESTIDO TULE EST ONDAS LILÁS</t>
  </si>
  <si>
    <t>27637</t>
  </si>
  <si>
    <t>EST ONDAS LILAS AJ</t>
  </si>
  <si>
    <t>07.02.6240</t>
  </si>
  <si>
    <t>VESTIDO MALHA CURTO EST ONDAS SCUBA</t>
  </si>
  <si>
    <t>07.02.6323</t>
  </si>
  <si>
    <t>VESTIDO CURTO EST CONCHA PRIM</t>
  </si>
  <si>
    <t>07.04.1887</t>
  </si>
  <si>
    <t>VESTIDO MIDI EST BUZIOS OFF</t>
  </si>
  <si>
    <t>07.04.1889</t>
  </si>
  <si>
    <t>VESTIDO MIDI EST LISTRA SPRING</t>
  </si>
  <si>
    <t>27629</t>
  </si>
  <si>
    <t>EST TEXTURA LISTRA SPRING AJ</t>
  </si>
  <si>
    <t>07.04.1890</t>
  </si>
  <si>
    <t>VESTIDO MIDI EST LISTRA VERMELHA</t>
  </si>
  <si>
    <t>07.04.1891</t>
  </si>
  <si>
    <t>VESTIDO MIDI EST ESTRELA SOL</t>
  </si>
  <si>
    <t>07.04.1892</t>
  </si>
  <si>
    <t>VESTIDO MALHA EST TEXTURA LISTRA SPRING</t>
  </si>
  <si>
    <t>07.04.1894</t>
  </si>
  <si>
    <t>VESTIDO MALHA MIDI EST ONDAS SCUBA</t>
  </si>
  <si>
    <t>07.04.1990</t>
  </si>
  <si>
    <t>VESTIDO MIDI EST CONCHA PRIM</t>
  </si>
  <si>
    <t>07.09.1162</t>
  </si>
  <si>
    <t>VESTIDO LONGO EST TEXTURA POIS SCUBA</t>
  </si>
  <si>
    <t>07.09.1164</t>
  </si>
  <si>
    <t>VESTIDO LONGO EST ESTRELA SOL</t>
  </si>
  <si>
    <t>07.09.1165</t>
  </si>
  <si>
    <t>VESTIDO LONGO EST BUZIOS OFF</t>
  </si>
  <si>
    <t>07.09.1166</t>
  </si>
  <si>
    <t>VESTIDO LONGO EST LISTRA SPRING</t>
  </si>
  <si>
    <t>07.09.1167</t>
  </si>
  <si>
    <t>VESTIDO TRICOLINE EST LISTRA VERMELHO</t>
  </si>
  <si>
    <t>07.09.1238</t>
  </si>
  <si>
    <t>VESTIDO LONGO EST CONCHA PRIM</t>
  </si>
  <si>
    <t>07.70.0105</t>
  </si>
  <si>
    <t>VESTIDO REGATA COM CONCHAS</t>
  </si>
  <si>
    <t>1565</t>
  </si>
  <si>
    <t>BEGE TRIGO</t>
  </si>
  <si>
    <t>07.70.0107</t>
  </si>
  <si>
    <t>VESTIDO REGATA COM AMARRAÇÃO</t>
  </si>
  <si>
    <t>5230</t>
  </si>
  <si>
    <t>07.70.0108</t>
  </si>
  <si>
    <t>VESTIDO TSHIRT COM ELASTICO CINTURA</t>
  </si>
  <si>
    <t>07.70.0109</t>
  </si>
  <si>
    <t>VESTIDO TRICOT CURTO</t>
  </si>
  <si>
    <t>07.70.0110</t>
  </si>
  <si>
    <t>VESTIDO TRICOT DEGAGE ALCINHA</t>
  </si>
  <si>
    <t>1410</t>
  </si>
  <si>
    <t>VERDE CLASSIC</t>
  </si>
  <si>
    <t>PP P M G</t>
  </si>
  <si>
    <t>07.70.0112</t>
  </si>
  <si>
    <t>VESTIDO REGATA COM ALÇA</t>
  </si>
  <si>
    <t>BEGE TOFU</t>
  </si>
  <si>
    <t>07.70.0113</t>
  </si>
  <si>
    <t>VESTIDO CURTO DE VOIL COM BORDADO</t>
  </si>
  <si>
    <t>07.71.0114</t>
  </si>
  <si>
    <t>VESTIDO TSHIRT POR DO SOL</t>
  </si>
  <si>
    <t>07.71.0117</t>
  </si>
  <si>
    <t>VESTIDO JEANS AMPLO BOTAO NA VISTA</t>
  </si>
  <si>
    <t>07.71.0118</t>
  </si>
  <si>
    <t>VESTIDO DE LAISE CURTO</t>
  </si>
  <si>
    <t>07.71.0121</t>
  </si>
  <si>
    <t>VESTIDO CAMISA DE TRICOT LISTRADA</t>
  </si>
  <si>
    <t>07.72.0093</t>
  </si>
  <si>
    <t>VESTIDO TRICOT CINTURA BAIXA TASSEL</t>
  </si>
  <si>
    <t>07.72.0095</t>
  </si>
  <si>
    <t>VESTIDO BATA TRICOT MANGA LONGA</t>
  </si>
  <si>
    <t>P M G GG</t>
  </si>
  <si>
    <t>07.72.0096</t>
  </si>
  <si>
    <t>VESTIDO VOIL CURTO COM MANGA TIP PENA</t>
  </si>
  <si>
    <t>07.72.0099</t>
  </si>
  <si>
    <t>VESTIDO ELASTÉX COM LAISE TELADA</t>
  </si>
  <si>
    <t>07.74.0109</t>
  </si>
  <si>
    <t>VESTIDO LONGO COM AMARRACOES LATERAIS</t>
  </si>
  <si>
    <t>LILÁS HUSH</t>
  </si>
  <si>
    <t>07.74.0110</t>
  </si>
  <si>
    <t>VESTIDO LONGO DE LUREX SEM MANGA TIP PEN</t>
  </si>
  <si>
    <t>0029</t>
  </si>
  <si>
    <t>07.74.0111</t>
  </si>
  <si>
    <t>VESTIDO DE LINHO UM OMBRO</t>
  </si>
  <si>
    <t>07.74.0112</t>
  </si>
  <si>
    <t>VESTIDO DE LINHO DECOTE BORDADO</t>
  </si>
  <si>
    <t>AZUL SCUBA</t>
  </si>
  <si>
    <t>07.78.0309</t>
  </si>
  <si>
    <t>VESTIDO MIDI COM GORGURÃO</t>
  </si>
  <si>
    <t>07.78.0310</t>
  </si>
  <si>
    <t>VESTIDO MIDI COSTAS CRUZADAS</t>
  </si>
  <si>
    <t>PP P M G GG</t>
  </si>
  <si>
    <t>1537</t>
  </si>
  <si>
    <t>ROSA POTION</t>
  </si>
  <si>
    <t>07.78.0311</t>
  </si>
  <si>
    <t>VESTIDO LONGO TRANSPASSE LATERAL</t>
  </si>
  <si>
    <t>LARANJA SERINGUETI</t>
  </si>
  <si>
    <t>07.78.0312</t>
  </si>
  <si>
    <t>VESTIDO MIDI COM AMARRAÇÕES BUSTO</t>
  </si>
  <si>
    <t>07.78.0313</t>
  </si>
  <si>
    <t>VESTIDO TRICOT MIDI BABADO SEM MANGA</t>
  </si>
  <si>
    <t>07.79.0224</t>
  </si>
  <si>
    <t>VESTIDO TRICOT KIMONO MIDI</t>
  </si>
  <si>
    <t>UNICO</t>
  </si>
  <si>
    <t>08.01.0172</t>
  </si>
  <si>
    <t>MACAQUINHO EST LISTRA SPRING</t>
  </si>
  <si>
    <t>08.01.0175</t>
  </si>
  <si>
    <t>MACAQUINHO DE NYLON</t>
  </si>
  <si>
    <t>08.01.0177</t>
  </si>
  <si>
    <t>MACACAO CURTO SARJA COM TOP</t>
  </si>
  <si>
    <t>08.01.0178</t>
  </si>
  <si>
    <t>MACACAO CURTO JEANS RECORTE MAXI BOLSOS</t>
  </si>
  <si>
    <t>08.01.0179</t>
  </si>
  <si>
    <t>MACACAO CURTO SARJA RECORTE MAXI BOLSOS</t>
  </si>
  <si>
    <t>08.01.0181</t>
  </si>
  <si>
    <t>MACACAO CURTO JEANS RASGOS</t>
  </si>
  <si>
    <t>08.01.0182</t>
  </si>
  <si>
    <t>JARDINEIRA CROPPED JEANS BOTAO FORRADO</t>
  </si>
  <si>
    <t>08.04.0240</t>
  </si>
  <si>
    <t>MACACAO EST ONDAS SCUBA</t>
  </si>
  <si>
    <t>08.04.0242</t>
  </si>
  <si>
    <t>08.04.0244</t>
  </si>
  <si>
    <t>MACACAO EST TEXTURA POIS SCUBA</t>
  </si>
  <si>
    <t>08.04.0245</t>
  </si>
  <si>
    <t>08.04.0246</t>
  </si>
  <si>
    <t>MACACAO LONGO SARJA DECOTE V</t>
  </si>
  <si>
    <t>08.04.0247</t>
  </si>
  <si>
    <t>MACACAO LONGO SARJA TOP CRUZADO</t>
  </si>
  <si>
    <t>08.04.0249</t>
  </si>
  <si>
    <t>MACACAO LONGO JEANS WIDE COS PESPONTADO</t>
  </si>
  <si>
    <t>08.04.0251</t>
  </si>
  <si>
    <t>MACACAO LONGO JEANS DECOTE V COM CINTO</t>
  </si>
  <si>
    <t>08.04.0252</t>
  </si>
  <si>
    <t>MACACAO LONGO SARJA WIDE COS PESPONTADO</t>
  </si>
  <si>
    <t>09.01.2338</t>
  </si>
  <si>
    <t>SANDALIA SALTO TIRA AMARRACAO</t>
  </si>
  <si>
    <t>34 AO 39</t>
  </si>
  <si>
    <t>09.06.0680</t>
  </si>
  <si>
    <t>RASTEIRA TRATORADA TIRA ABALOADA</t>
  </si>
  <si>
    <t>VERMELHO MANDARIN</t>
  </si>
  <si>
    <t>09.06.0681</t>
  </si>
  <si>
    <t>RASTEIRA JEANS SOLA DE MADEIRA</t>
  </si>
  <si>
    <t>09.06.0682</t>
  </si>
  <si>
    <t>RASTEIRA COM DETALHE LISTAS</t>
  </si>
  <si>
    <t>BEGE + LISTRADO</t>
  </si>
  <si>
    <t>10.02.0835</t>
  </si>
  <si>
    <t>BOLSA DE COURO BORDA COLORIDA</t>
  </si>
  <si>
    <t>1575</t>
  </si>
  <si>
    <t>11.16.0042</t>
  </si>
  <si>
    <t>11.16.0043</t>
  </si>
  <si>
    <t>BOLSA DE CAMURCA</t>
  </si>
  <si>
    <t>22.01.0079</t>
  </si>
  <si>
    <t>BIQUINI EST ONDAS LILAS</t>
  </si>
  <si>
    <t>25.02.3285</t>
  </si>
  <si>
    <t>SAIA EST TEXTURA POIS SCUBA</t>
  </si>
  <si>
    <t>25.02.3344</t>
  </si>
  <si>
    <t>SAIA EST CONCHA PRIM</t>
  </si>
  <si>
    <t>25.03.0380</t>
  </si>
  <si>
    <t>BERMUDA DE NYLON</t>
  </si>
  <si>
    <t>BEGE TOFU + VERDE PRIM</t>
  </si>
  <si>
    <t>25.03.0381</t>
  </si>
  <si>
    <t>BERMUDA JEANS WIDE AVESSO ESTAMPADO</t>
  </si>
  <si>
    <t>25.03.0382</t>
  </si>
  <si>
    <t>BERMUDA SARJA TRAPEZIO STONED</t>
  </si>
  <si>
    <t>25.03.0383</t>
  </si>
  <si>
    <t>BERMUDA JEANS WIDE BARRA DESFEITA</t>
  </si>
  <si>
    <t>25.03.0385</t>
  </si>
  <si>
    <t>BERMUDA JEANS WIDE BARRA A FIO</t>
  </si>
  <si>
    <t>25.03.0386</t>
  </si>
  <si>
    <t>BERMUDA SARJA WIDE BARRA FEITA</t>
  </si>
  <si>
    <t>25.03.0391</t>
  </si>
  <si>
    <t>BERMUDA SARJA WIDE BARRA A FIO</t>
  </si>
  <si>
    <t>25.05.3407</t>
  </si>
  <si>
    <t>SHORT TRICOLINE EST LISTRA VERMELHO</t>
  </si>
  <si>
    <t>25.05.3408</t>
  </si>
  <si>
    <t>SHORT EST BUZIOS OFF</t>
  </si>
  <si>
    <t>25.05.3410</t>
  </si>
  <si>
    <t>BERMUDA EST LISTRA SPRING</t>
  </si>
  <si>
    <t>25.05.3418</t>
  </si>
  <si>
    <t>SHORT MOLETOM BOLSOS FRONTAIS</t>
  </si>
  <si>
    <t>25.05.3419</t>
  </si>
  <si>
    <t>SHORTS TRICOT MINI</t>
  </si>
  <si>
    <t>25.05.3420</t>
  </si>
  <si>
    <t>HOT PANT TRICOT</t>
  </si>
  <si>
    <t>25.05.3422</t>
  </si>
  <si>
    <t>SHORTS DE NYLON COM PIPING E CINTO</t>
  </si>
  <si>
    <t>25.05.3426</t>
  </si>
  <si>
    <t>SHORT SARJA BOY COM LASIE</t>
  </si>
  <si>
    <t>25.05.3427</t>
  </si>
  <si>
    <t>SHORT SARJA BOX BARRA DEGRAU</t>
  </si>
  <si>
    <t>LARANJA SEREGETI</t>
  </si>
  <si>
    <t>25.05.3429</t>
  </si>
  <si>
    <t>SHORT SARJA BOY SILK PRAIA</t>
  </si>
  <si>
    <t>25.05.3430</t>
  </si>
  <si>
    <t>SHORT JEANS BOX BORDADOS CORAIS FURTACOR</t>
  </si>
  <si>
    <t>25.05.3431</t>
  </si>
  <si>
    <t>SHORT JEANS BOX ESTRELA</t>
  </si>
  <si>
    <t>25.05.3432</t>
  </si>
  <si>
    <t>SHORT JEANS BOX BARRA DEGRAU</t>
  </si>
  <si>
    <t>25.05.3433</t>
  </si>
  <si>
    <t>SHORT JEANS BOX DETALHE CROCHE</t>
  </si>
  <si>
    <t>25.05.3434</t>
  </si>
  <si>
    <t>BERMUDA JEANS BOX BORDADO COS</t>
  </si>
  <si>
    <t>25.05.3436</t>
  </si>
  <si>
    <t>BERMUDA SARJA BOX BORDADO COS</t>
  </si>
  <si>
    <t>AZUL SKUBA</t>
  </si>
  <si>
    <t>25.05.3437</t>
  </si>
  <si>
    <t>SHORT SARJA BOY BORDADOS</t>
  </si>
  <si>
    <t>25.05.3438</t>
  </si>
  <si>
    <t>SHORT JEANS OVERBOY VISTA ASSIMETRICA</t>
  </si>
  <si>
    <t>25.05.3441</t>
  </si>
  <si>
    <t>SHORT JEANS CINTUIRA ALTA BORDADO</t>
  </si>
  <si>
    <t>25.05.3442</t>
  </si>
  <si>
    <t>SHORT JEANS BOX BOLSOS DUPLOS BARRA FIO</t>
  </si>
  <si>
    <t>25.05.3443</t>
  </si>
  <si>
    <t>SHORT JEANS OVERBOY FOIL FURTACOR</t>
  </si>
  <si>
    <t>25.05.3444</t>
  </si>
  <si>
    <t>SHORT SARJA  BOX ROCK MIX ESTAMPA</t>
  </si>
  <si>
    <t>27621</t>
  </si>
  <si>
    <t>EST ALGAS ROSA AJ</t>
  </si>
  <si>
    <t>25.05.3445</t>
  </si>
  <si>
    <t>SHORT SARJA JOGGER BOTOES NA VISTA</t>
  </si>
  <si>
    <t>LARANJA SERENGETI</t>
  </si>
  <si>
    <t>25.05.3446</t>
  </si>
  <si>
    <t>SHORT SARJA CLOCHARD STONADO</t>
  </si>
  <si>
    <t>25.05.3447</t>
  </si>
  <si>
    <t>SHORT SARJA ALTO BOTOES TIE DIE</t>
  </si>
  <si>
    <t>TIE DIE AZUL SCUBA</t>
  </si>
  <si>
    <t>TIE DIE ROSA CLARINHO</t>
  </si>
  <si>
    <t>25.05.3449</t>
  </si>
  <si>
    <t>SHORT JEANS CLOCHARD</t>
  </si>
  <si>
    <t>25.05.3453</t>
  </si>
  <si>
    <t>SHORT DE LINHO COM PIPING</t>
  </si>
  <si>
    <t>25.05.3454</t>
  </si>
  <si>
    <t>SHORT DE LINHO COM BOTÃO VISTA</t>
  </si>
  <si>
    <t>PALE KHAKI</t>
  </si>
  <si>
    <t>25.05.3471</t>
  </si>
  <si>
    <t>SHORT SARJA PESPONTO AMPLO</t>
  </si>
  <si>
    <t>25.05.3472</t>
  </si>
  <si>
    <t>SHORT BOY BARRA A FIO BLUE SILK</t>
  </si>
  <si>
    <t>25.05.3494</t>
  </si>
  <si>
    <t>SHORT JEANS BANDAGEM BARRA DESFIADA</t>
  </si>
  <si>
    <t>25.05.3496</t>
  </si>
  <si>
    <t>SHORT SARJA BANDAGEM BARRA DESFIADA</t>
  </si>
  <si>
    <t>25.05.3497</t>
  </si>
  <si>
    <t>SHORTS LUREX</t>
  </si>
  <si>
    <t>5297</t>
  </si>
  <si>
    <t>VERDE ALOE</t>
  </si>
  <si>
    <t>25.05.3507</t>
  </si>
  <si>
    <t>SHORT JEANS SARUEL CINTO DE COURO</t>
  </si>
  <si>
    <t>25.05.3510</t>
  </si>
  <si>
    <t>25.30.0110</t>
  </si>
  <si>
    <t>SAIA TRICOT PAREO</t>
  </si>
  <si>
    <t>25.31.0120</t>
  </si>
  <si>
    <t>SAIA TRANSPASSE COM CONCHAS</t>
  </si>
  <si>
    <t>25.31.0122</t>
  </si>
  <si>
    <t>SAIA DE NYLON</t>
  </si>
  <si>
    <t>25.31.0123</t>
  </si>
  <si>
    <t>SAIA CURTA SARJA BOX PRENSA 3D</t>
  </si>
  <si>
    <t>25.31.0124</t>
  </si>
  <si>
    <t>SAIA CURTA JEANS BOX SUPER WASHED</t>
  </si>
  <si>
    <t>25.31.0125</t>
  </si>
  <si>
    <t>SAIA CURTA JEANS ABERTURA LATERAL</t>
  </si>
  <si>
    <t>25.31.0126</t>
  </si>
  <si>
    <t>SAIA CURTA SARJA ABERTURA LATERAL</t>
  </si>
  <si>
    <t>25.31.0128</t>
  </si>
  <si>
    <t>SAIA CURTA LISTRADA COM BABADO</t>
  </si>
  <si>
    <t>LISTRADO LUREX AZUL</t>
  </si>
  <si>
    <t>25.31.0129</t>
  </si>
  <si>
    <t>SAIA CURTA JEANS BOX DETALHE BARRA</t>
  </si>
  <si>
    <t>25.31.0131</t>
  </si>
  <si>
    <t>SAIA CURTA SARJA BOX RECORTE COM LAISE</t>
  </si>
  <si>
    <t>52.07.0067</t>
  </si>
  <si>
    <t>COLETE JEANS BORDADOS CORAIS FURTACOR</t>
  </si>
  <si>
    <t>52.10.4538</t>
  </si>
  <si>
    <t>TOP MALHA EST LISTRA SPRING</t>
  </si>
  <si>
    <t>52.10.4547</t>
  </si>
  <si>
    <t>TOP DE LUREX COM ALCINHAS</t>
  </si>
  <si>
    <t>52.10.4550</t>
  </si>
  <si>
    <t>TOP DE NYLON</t>
  </si>
  <si>
    <t>52.10.4553</t>
  </si>
  <si>
    <t>TOP JEANS AVESSO ESTAMPADO E PAETE</t>
  </si>
  <si>
    <t>52.10.4556</t>
  </si>
  <si>
    <t>CORSET JEANS</t>
  </si>
  <si>
    <t>52.10.4557</t>
  </si>
  <si>
    <t>CORSET SARJA</t>
  </si>
  <si>
    <t>52.10.4558</t>
  </si>
  <si>
    <t>TOP SARJA COM FIVELAS STONADO</t>
  </si>
  <si>
    <t>52.10.4559</t>
  </si>
  <si>
    <t>TOP JEANS  DELAVE</t>
  </si>
  <si>
    <t>52.10.4563</t>
  </si>
  <si>
    <t>TOP DE LINHO COM PIPING</t>
  </si>
  <si>
    <t>52.10.4564</t>
  </si>
  <si>
    <t>TOP DE LINHO COM ALÇA</t>
  </si>
  <si>
    <t>52.10.4586</t>
  </si>
  <si>
    <t>52.10.4619</t>
  </si>
  <si>
    <t>TOP EST CONCHA PRIM</t>
  </si>
  <si>
    <t>52.15.0917</t>
  </si>
  <si>
    <t>REGATA EST BUZIOS OFF</t>
  </si>
  <si>
    <t>52.15.0920</t>
  </si>
  <si>
    <t>BLUSA EST LISTRA VERMELHA</t>
  </si>
  <si>
    <t>52.15.0921</t>
  </si>
  <si>
    <t>BLUSA EST ESTRELA SOL</t>
  </si>
  <si>
    <t>52.15.0922</t>
  </si>
  <si>
    <t>BLUSA EST TEXTURA POIS SCUBA</t>
  </si>
  <si>
    <t>52.15.0923</t>
  </si>
  <si>
    <t>REGATA MALHA EST ONDAS SCUBA</t>
  </si>
  <si>
    <t>52.15.0924</t>
  </si>
  <si>
    <t>REGATA AMARRAÇÃO GORGURÃO</t>
  </si>
  <si>
    <t>52.15.0925</t>
  </si>
  <si>
    <t>REGATA SOBREPOSTA</t>
  </si>
  <si>
    <t>52.15.0927</t>
  </si>
  <si>
    <t>BLUSA LUREX FRENTE UNICA</t>
  </si>
  <si>
    <t>52.15.0929</t>
  </si>
  <si>
    <t>BLUSA CROPPED COM DETALHE OMBRO</t>
  </si>
  <si>
    <t>52.15.0930</t>
  </si>
  <si>
    <t>BLUSA BATA TRICOT ALCA BABADO</t>
  </si>
  <si>
    <t>52.15.0931</t>
  </si>
  <si>
    <t>BLUSA ALCA TRICOT LISTRAS</t>
  </si>
  <si>
    <t>52.15.0935</t>
  </si>
  <si>
    <t>BLUSA ELASTÉX COM LAISE TELADA</t>
  </si>
  <si>
    <t>52.28.0081</t>
  </si>
  <si>
    <t>CAMISA TRICOLINE EST LISTRA VERMELHO</t>
  </si>
  <si>
    <t>52.28.0082</t>
  </si>
  <si>
    <t>52.28.0085</t>
  </si>
  <si>
    <t>CAMISA SARJA RAGLAN CROPPED MIX ESTAMPA</t>
  </si>
  <si>
    <t>52.28.0086</t>
  </si>
  <si>
    <t>CAMISA SARJA RAGLAN CROPPED</t>
  </si>
  <si>
    <t>52.28.0089</t>
  </si>
  <si>
    <t>CAMISA LISTRADA COM BABADO</t>
  </si>
  <si>
    <t>LISTRADO VERMELHO</t>
  </si>
  <si>
    <t>52.28.0090</t>
  </si>
  <si>
    <t>BLUSA CROPPED TULE EST ONDAS LILAS</t>
  </si>
  <si>
    <t>52.28.0091</t>
  </si>
  <si>
    <t>CAMISA COM LAISE MANGA CURTA</t>
  </si>
  <si>
    <t>52.29.0179</t>
  </si>
  <si>
    <t>CAMISA MALHA EST ONDAS LILAS</t>
  </si>
  <si>
    <t>52.29.0181</t>
  </si>
  <si>
    <t>CAMISA LISTRADA  MANGA LONGA</t>
  </si>
  <si>
    <t>52.29.0182</t>
  </si>
  <si>
    <t>VESTIDO CAMISA DE ALGODAO COM TELA</t>
  </si>
  <si>
    <t>LILAS HUSH + PIPING LARANJA ZINEA</t>
  </si>
  <si>
    <t>52.29.0183</t>
  </si>
  <si>
    <t>CAMISA VOIL COM MANGA BUFANTE</t>
  </si>
  <si>
    <t>52.29.0184</t>
  </si>
  <si>
    <t>BATA DE VOIL MANGA LONGA</t>
  </si>
  <si>
    <t>52.29.0186</t>
  </si>
  <si>
    <t>BATA DE VOIL GOLA PADRE</t>
  </si>
  <si>
    <t>52.29.0188</t>
  </si>
  <si>
    <t>CAMISA DE VOIL COM BORDADO</t>
  </si>
  <si>
    <t>52.36.0226</t>
  </si>
  <si>
    <t>CROPPED DE LUREX COM AMARRAÇÃO</t>
  </si>
  <si>
    <t>52.36.0227</t>
  </si>
  <si>
    <t>BLUSA TRICOT ENVELOPE</t>
  </si>
  <si>
    <t>52.36.0228</t>
  </si>
  <si>
    <t>BATA COM LAISE MANGA CURTA</t>
  </si>
  <si>
    <t>59.11.0224</t>
  </si>
  <si>
    <t>REGATA JERI COM DETALHE TELA</t>
  </si>
  <si>
    <t>59.11.0225</t>
  </si>
  <si>
    <t>REGATA ESPUMA DO MAR</t>
  </si>
  <si>
    <t>59.11.0226</t>
  </si>
  <si>
    <t>REGATA MOON BEACH</t>
  </si>
  <si>
    <t>59.11.0227</t>
  </si>
  <si>
    <t>REGATA COCKTAILS</t>
  </si>
  <si>
    <t>59.11.0228</t>
  </si>
  <si>
    <t>REGATA SUN FACES</t>
  </si>
  <si>
    <t>59.11.0229</t>
  </si>
  <si>
    <t>TSHIRT CONCHA AUREA</t>
  </si>
  <si>
    <t>59.11.0230</t>
  </si>
  <si>
    <t>REGATA SONHAR E RIR ALTO</t>
  </si>
  <si>
    <t>59.11.0232</t>
  </si>
  <si>
    <t>REGATA AMARRACAO BORDADOS DO MAR</t>
  </si>
  <si>
    <t>59.11.0233</t>
  </si>
  <si>
    <t>REGATA PAETES</t>
  </si>
  <si>
    <t>59.11.0235</t>
  </si>
  <si>
    <t>TSHIRT ESTAMPA FULL CORAIS</t>
  </si>
  <si>
    <t>59.11.0236</t>
  </si>
  <si>
    <t>TSHIRT CARANGUEJO</t>
  </si>
  <si>
    <t>59.11.0237</t>
  </si>
  <si>
    <t>REGATA CARDUME COM RECORTE LATERAL</t>
  </si>
  <si>
    <t>59.15.1055</t>
  </si>
  <si>
    <t>TSHIRT BABADO OMBROS</t>
  </si>
  <si>
    <t>59.15.1056</t>
  </si>
  <si>
    <t>TSHIRT CASINHAS COM COSTAS DE RENDA</t>
  </si>
  <si>
    <t>59.15.1057</t>
  </si>
  <si>
    <t>TSHIRT PARATY COM MANGA DE LAISE</t>
  </si>
  <si>
    <t>59.15.1058</t>
  </si>
  <si>
    <t>REGATA SOMBRA E AGUA FRESCA DETALHE CAVA</t>
  </si>
  <si>
    <t>59.15.1059</t>
  </si>
  <si>
    <t>TSHIRT SUMMER IN BRASIL</t>
  </si>
  <si>
    <t>59.15.1060</t>
  </si>
  <si>
    <t>TSHIRT RELAX</t>
  </si>
  <si>
    <t>59.15.1061</t>
  </si>
  <si>
    <t>TSHIRT ILHABELA</t>
  </si>
  <si>
    <t>59.15.1062</t>
  </si>
  <si>
    <t>TSHIRT TARDES DE VERÃO</t>
  </si>
  <si>
    <t>59.15.1063</t>
  </si>
  <si>
    <t>TSHIRT AMOR IMPORTA</t>
  </si>
  <si>
    <t>59.15.1064</t>
  </si>
  <si>
    <t>TSHIRT FUNDO DO MAR</t>
  </si>
  <si>
    <t>59.15.1065</t>
  </si>
  <si>
    <t>TSHIRT WISHES</t>
  </si>
  <si>
    <t>59.15.1066</t>
  </si>
  <si>
    <t>TSHIRT GEOMETRIC SHELL</t>
  </si>
  <si>
    <t>59.15.1067</t>
  </si>
  <si>
    <t>TSHIRT MANGA BRIGHT ESTRELAS</t>
  </si>
  <si>
    <t>59.15.1068</t>
  </si>
  <si>
    <t>TSHIRT POR DO SOL</t>
  </si>
  <si>
    <t>59.15.1069</t>
  </si>
  <si>
    <t>TSHIRT UNDER THE SEA</t>
  </si>
  <si>
    <t>59.15.1070</t>
  </si>
  <si>
    <t>TSHIRT CROPPED ESTRELA DO MAR</t>
  </si>
  <si>
    <t>59.15.1071</t>
  </si>
  <si>
    <t>TSHIRT BARQUINHO E COQUEIROS</t>
  </si>
  <si>
    <t>59.15.1074</t>
  </si>
  <si>
    <t>TSHIRT REFLEXO</t>
  </si>
  <si>
    <t>59.15.1075</t>
  </si>
  <si>
    <t>TSHIRT GUARDA SOL</t>
  </si>
  <si>
    <t>59.15.1076</t>
  </si>
  <si>
    <t>TSHIRT CONCHA</t>
  </si>
  <si>
    <t>59.15.1077</t>
  </si>
  <si>
    <t>59.15.1078</t>
  </si>
  <si>
    <t>TSHIRT COQUEIRO</t>
  </si>
  <si>
    <t>59.15.1079</t>
  </si>
  <si>
    <t>TSHIRT SUMMER BREEZE COM LAISE</t>
  </si>
  <si>
    <t>59.15.1080</t>
  </si>
  <si>
    <t>TSHIRT UNDER THE SUN COM HOTFIX</t>
  </si>
  <si>
    <t>59.15.1081</t>
  </si>
  <si>
    <t>TSHIRT CONCHA COM MANGA PAETE</t>
  </si>
  <si>
    <t>69.01.0332</t>
  </si>
  <si>
    <t>REGATA COM DECOTE COSTAS</t>
  </si>
  <si>
    <t>69.01.0333</t>
  </si>
  <si>
    <t>REGATA ALCINHA COM CONCHINHAS</t>
  </si>
  <si>
    <t>69.01.0335</t>
  </si>
  <si>
    <t>REGATA ALCINHA PEDRAS COLORIDAS</t>
  </si>
  <si>
    <t>69.01.0336</t>
  </si>
  <si>
    <t>REGATA COM DETALHE LATERAL CONCHAS</t>
  </si>
  <si>
    <t>69.01.0337</t>
  </si>
  <si>
    <t>REGATA ALCINHA COM APLICAÇÃO CONCHINHA</t>
  </si>
  <si>
    <t>69.06.0318</t>
  </si>
  <si>
    <t>TOP ALCINHA BASIC</t>
  </si>
  <si>
    <t>69.06.0319</t>
  </si>
  <si>
    <t>CROPPED DECOTE ANGULAR</t>
  </si>
  <si>
    <t>LARANJA ZÍNIA</t>
  </si>
  <si>
    <t>69.06.0320</t>
  </si>
  <si>
    <t>TOP RETO COM LATERAL DE ELASTICO</t>
  </si>
  <si>
    <t>69.06.0321</t>
  </si>
  <si>
    <t>CROPPED REGATA SOBREPOSTO</t>
  </si>
  <si>
    <t>69.06.0322</t>
  </si>
  <si>
    <t>CROPPED TRANSPASSADO COM AMARRAÇÃO</t>
  </si>
  <si>
    <t>69.06.0323</t>
  </si>
  <si>
    <t>CROPPED COM AMARRAÇÃO LATERAL</t>
  </si>
  <si>
    <t>69.12.0496</t>
  </si>
  <si>
    <t>BLUSA MANGA CURTA COM MEIA VISTA</t>
  </si>
  <si>
    <t>69.12.0497</t>
  </si>
  <si>
    <t>TSHIRT COM RECORTE OMBRO</t>
  </si>
  <si>
    <t>69.12.0498</t>
  </si>
  <si>
    <t>MAXI TSHIRT COM PREGA ASSIMÉTRICA</t>
  </si>
  <si>
    <t>69.12.0499</t>
  </si>
  <si>
    <t>TSHIRT COM APLICAÇÃO CONCHINHAS</t>
  </si>
  <si>
    <t>70.07.0002</t>
  </si>
  <si>
    <t>BONE BASIC REGULADOR STOPPER</t>
  </si>
  <si>
    <t>70.07.0003</t>
  </si>
  <si>
    <t>BONE COM RECORTES COLOR</t>
  </si>
  <si>
    <t>70.07.0004</t>
  </si>
  <si>
    <t>BONE BASIC JEANS REGULADOR STOPPER</t>
  </si>
  <si>
    <t>70.12.0002</t>
  </si>
  <si>
    <t>BUCKET ATOALHADO COM BANDEIRA</t>
  </si>
  <si>
    <t>78.01.0668</t>
  </si>
  <si>
    <t>BLUSA TRICOT AMARRACAO TASSEL</t>
  </si>
  <si>
    <t>78.06.0197</t>
  </si>
  <si>
    <t>BLUSA TRICOT DEGAGE ALCINHA</t>
  </si>
  <si>
    <t>78.06.0198</t>
  </si>
  <si>
    <t>REGATA DE TRICOT LISTRADA COM LUREX</t>
  </si>
  <si>
    <t>78.06.0199</t>
  </si>
  <si>
    <t>REGATA DE TRICOT COM LUREX</t>
  </si>
  <si>
    <t>78.08.0118</t>
  </si>
  <si>
    <t>TOP TRICOT COSTAS NADADOR</t>
  </si>
  <si>
    <t>78.08.0120</t>
  </si>
  <si>
    <t>TOP TRICOT BOTOES</t>
  </si>
  <si>
    <t>78.08.0121</t>
  </si>
  <si>
    <t>TOP TRICOT DECOTE REDONDO</t>
  </si>
  <si>
    <t>78.08.0125</t>
  </si>
  <si>
    <t>TOP TRICOT DECOTE REDONDO LISTRADO</t>
  </si>
  <si>
    <t>78.13.0135</t>
  </si>
  <si>
    <t>MAIO TRICOT LISTRADO</t>
  </si>
  <si>
    <t>78.13.0136</t>
  </si>
  <si>
    <t>BODY TRICOT AMARRACOES FRONTAIS</t>
  </si>
  <si>
    <t>INVERNO 23</t>
  </si>
  <si>
    <t>03.01.1258</t>
  </si>
  <si>
    <t>CASACO CARNEIRINHO</t>
  </si>
  <si>
    <t>03.01.1259</t>
  </si>
  <si>
    <t>JAQUETA MALHA EST DOBRADURA BRONZE</t>
  </si>
  <si>
    <t>30144</t>
  </si>
  <si>
    <t>EST LISTRA DOBRADURA BRONZE AJ</t>
  </si>
  <si>
    <t>03.01.1260</t>
  </si>
  <si>
    <t>JAQUETA TRICOT COM RECOURO</t>
  </si>
  <si>
    <t>0571</t>
  </si>
  <si>
    <t>VERDE CHÁ</t>
  </si>
  <si>
    <t>03.01.1263</t>
  </si>
  <si>
    <t>JAQUETA DE MOLETOM</t>
  </si>
  <si>
    <t>1631</t>
  </si>
  <si>
    <t>VERMELHO FIERY</t>
  </si>
  <si>
    <t>03.01.1264</t>
  </si>
  <si>
    <t>JAQUETA DE NYLON PADDING DOUBLE FACE</t>
  </si>
  <si>
    <t>AZUL MARESIA</t>
  </si>
  <si>
    <t>03.01.1265</t>
  </si>
  <si>
    <t>JAQUETA DE NYLON COM CAPUZ</t>
  </si>
  <si>
    <t>1656</t>
  </si>
  <si>
    <t>CORAL MELÃO</t>
  </si>
  <si>
    <t>03.01.1266</t>
  </si>
  <si>
    <t>JAQUETA DE NYLON CROPPED</t>
  </si>
  <si>
    <t>VERDE FOLIAGE</t>
  </si>
  <si>
    <t>03.01.1269</t>
  </si>
  <si>
    <t>CASACO DE NYLON RAINCOAT</t>
  </si>
  <si>
    <t>03.01.1271</t>
  </si>
  <si>
    <t>JAQUETA LIKE LEATHER FUR</t>
  </si>
  <si>
    <t>VERMELHO RIO</t>
  </si>
  <si>
    <t>03.01.1274</t>
  </si>
  <si>
    <t>JAQUETA LIKE LEATHER EMBORRACHADA</t>
  </si>
  <si>
    <t>PRETO</t>
  </si>
  <si>
    <t>3618</t>
  </si>
  <si>
    <t>NUDE BRONZE</t>
  </si>
  <si>
    <t>03.01.1275</t>
  </si>
  <si>
    <t>JAQUETA LIKE LEATHER COM RIB</t>
  </si>
  <si>
    <t>03.01.1278</t>
  </si>
  <si>
    <t>JAQUETA DE NYLON MATELASSE ESTAMPADA</t>
  </si>
  <si>
    <t>30150</t>
  </si>
  <si>
    <t>EST ONÇA MARROM AJ</t>
  </si>
  <si>
    <t>03.01.1279</t>
  </si>
  <si>
    <t>JAQUETA COM MARTINGALE</t>
  </si>
  <si>
    <t>4665</t>
  </si>
  <si>
    <t>VERDE JASMINE</t>
  </si>
  <si>
    <t>03.01.1283</t>
  </si>
  <si>
    <t>JAQUETA DE NYLON COM CAPUZ  ESTAMPADA</t>
  </si>
  <si>
    <t>03134</t>
  </si>
  <si>
    <t>EST ABSTRATA MARBLING PB AJ</t>
  </si>
  <si>
    <t>03.01.1301</t>
  </si>
  <si>
    <t>JAQUETA SARJA TRUCKER STONED</t>
  </si>
  <si>
    <t>0172</t>
  </si>
  <si>
    <t>VERDE MUSGO</t>
  </si>
  <si>
    <t>1568</t>
  </si>
  <si>
    <t>MARROM RAIZ</t>
  </si>
  <si>
    <t>03.01.1304</t>
  </si>
  <si>
    <t>JAQUETA SARJA MONOGRAMA BORDADO</t>
  </si>
  <si>
    <t>ROXO BERRY</t>
  </si>
  <si>
    <t>1536</t>
  </si>
  <si>
    <t>03.01.1306</t>
  </si>
  <si>
    <t>JAQUETA JEANS TRUCKER FORRADA COM PELO</t>
  </si>
  <si>
    <t>03.01.1307</t>
  </si>
  <si>
    <t>JAQUETA SARJA COM PELO LUREX</t>
  </si>
  <si>
    <t>03.01.1308</t>
  </si>
  <si>
    <t>JAQUETA JEANS TRUCKER PATCH</t>
  </si>
  <si>
    <t>03.01.1310</t>
  </si>
  <si>
    <t>JAQUETA JEANS ML NYLON REFLETIVO</t>
  </si>
  <si>
    <t>2290</t>
  </si>
  <si>
    <t>JEANS BLACK MEDIO</t>
  </si>
  <si>
    <t>03.01.1311</t>
  </si>
  <si>
    <t>JAQUETA JEANS BASIC BLUE</t>
  </si>
  <si>
    <t>03.01.1312</t>
  </si>
  <si>
    <t>JAQUETA JEANS ACID WASH</t>
  </si>
  <si>
    <t>2287</t>
  </si>
  <si>
    <t>JEANS + NUDE BRONZE</t>
  </si>
  <si>
    <t>03.01.1313</t>
  </si>
  <si>
    <t>JAQUETA SARJA STONED CINZA TAPE</t>
  </si>
  <si>
    <t>03.01.1314</t>
  </si>
  <si>
    <t>PARKA SARJA MANGA LONGA PESPONTOS</t>
  </si>
  <si>
    <t>0311</t>
  </si>
  <si>
    <t>VERDE POLO</t>
  </si>
  <si>
    <t>03.01.1315</t>
  </si>
  <si>
    <t>JAQUETA JEANS MIX NYLON</t>
  </si>
  <si>
    <t>JEANS MEDIO + VERDE OLIVA</t>
  </si>
  <si>
    <t>03.01.1320</t>
  </si>
  <si>
    <t>JAQUETA JEANS EMBOSSING BLACK</t>
  </si>
  <si>
    <t>03.01.1321</t>
  </si>
  <si>
    <t>JAQUETA JEANS BOMBER DETALHE ZIG ZAG</t>
  </si>
  <si>
    <t>03.01.1322</t>
  </si>
  <si>
    <t>JAQUETA JEANS CURTA LIKE LEATHER MARROM</t>
  </si>
  <si>
    <t>JEANS BLACK MARROM</t>
  </si>
  <si>
    <t>03.01.1330</t>
  </si>
  <si>
    <t>JAQUETA SARJA COTELE</t>
  </si>
  <si>
    <t>1626</t>
  </si>
  <si>
    <t>VERDE OLIVA</t>
  </si>
  <si>
    <t>03.01.1331</t>
  </si>
  <si>
    <t>JAQUETA DE NYLON ESTAMPADA CORTA VENTO</t>
  </si>
  <si>
    <t>30148</t>
  </si>
  <si>
    <t>EST MANCHADO MILÁ AJ</t>
  </si>
  <si>
    <t>03.01.1354</t>
  </si>
  <si>
    <t>JAQUETA SARJA ESTAMPA ONCA</t>
  </si>
  <si>
    <t>03.01.1358</t>
  </si>
  <si>
    <t>JAQUETA JEANS OVER MIX TECIDOS</t>
  </si>
  <si>
    <t>03.03.0142</t>
  </si>
  <si>
    <t>PARKA SARJA ML ESTAMPA CAMUFLADA</t>
  </si>
  <si>
    <t>30135</t>
  </si>
  <si>
    <t>EST CAMUFLADO ANIMAL AJ</t>
  </si>
  <si>
    <t>03.03.0144</t>
  </si>
  <si>
    <t>PARKA JEANS CINTO ANIMALE JEANS</t>
  </si>
  <si>
    <t>03.04.0352</t>
  </si>
  <si>
    <t>BLAZER  XADREZ ECO</t>
  </si>
  <si>
    <t>0024</t>
  </si>
  <si>
    <t>XADREZ AZUL/BEGE</t>
  </si>
  <si>
    <t>03.04.0353</t>
  </si>
  <si>
    <t>BLAZER ALFAITARIA COM AJUSTE</t>
  </si>
  <si>
    <t>1650</t>
  </si>
  <si>
    <t>ROSA FLOX</t>
  </si>
  <si>
    <t>03.04.0354</t>
  </si>
  <si>
    <t>BLAZER PERFECTO LIKE LINEN COM BOTAO</t>
  </si>
  <si>
    <t>0300</t>
  </si>
  <si>
    <t>03.06.0224</t>
  </si>
  <si>
    <t>COLETE TRICOT QUADRICULADO</t>
  </si>
  <si>
    <t>1036</t>
  </si>
  <si>
    <t>MESCLA MARINHO + OFF</t>
  </si>
  <si>
    <t>03.06.0225</t>
  </si>
  <si>
    <t>COLETE TRICOT BARRA EM RIB</t>
  </si>
  <si>
    <t>VERDE CHA</t>
  </si>
  <si>
    <t>03.06.0226</t>
  </si>
  <si>
    <t>COLETE DE NYLON COM PADDING</t>
  </si>
  <si>
    <t>03.06.0231</t>
  </si>
  <si>
    <t>COLETE DE JEANS COM PADDING</t>
  </si>
  <si>
    <t>03.07.1186</t>
  </si>
  <si>
    <t>CASACO TRANSPASSADO DE MOLETOM</t>
  </si>
  <si>
    <t>03.07.1187</t>
  </si>
  <si>
    <t>MOLETOM COM ACABAMENTO DE NYLON</t>
  </si>
  <si>
    <t>1443</t>
  </si>
  <si>
    <t>03.07.1188</t>
  </si>
  <si>
    <t>CASACO CAPUZ EST MARBLING OFF</t>
  </si>
  <si>
    <t>30133</t>
  </si>
  <si>
    <t>EST ABSTRATA MARBLING OFF AJ</t>
  </si>
  <si>
    <t>03.07.1189</t>
  </si>
  <si>
    <t>MOLETOM DETALHE FRANZIDO MANGA</t>
  </si>
  <si>
    <t>PP-P-M-G-GG</t>
  </si>
  <si>
    <t>03.07.1190</t>
  </si>
  <si>
    <t>MOLETOM CROPPED EST MARBLING PB</t>
  </si>
  <si>
    <t>30134</t>
  </si>
  <si>
    <t>03.07.1193</t>
  </si>
  <si>
    <t>MOLETOM EST MANCHADO RAIZ</t>
  </si>
  <si>
    <t>30149</t>
  </si>
  <si>
    <t>EST MANCHADO RAIZ AJ</t>
  </si>
  <si>
    <t>03.07.1194</t>
  </si>
  <si>
    <t>MOLETOM CROPPED COM RECORTES</t>
  </si>
  <si>
    <t>VERDE PINE</t>
  </si>
  <si>
    <t>03.07.1195</t>
  </si>
  <si>
    <t>MOLETOM BICOLOR</t>
  </si>
  <si>
    <t>ROXO BERRY + NUDE BRONZE</t>
  </si>
  <si>
    <t>BEGE WHITECAP + VERDE OLIVA</t>
  </si>
  <si>
    <t>03.07.1203</t>
  </si>
  <si>
    <t>MOLETOM LIGHT DOTS</t>
  </si>
  <si>
    <t>03.07.1204</t>
  </si>
  <si>
    <t>MOLETOM LETTERING</t>
  </si>
  <si>
    <t>03.07.1206</t>
  </si>
  <si>
    <t>CASACO DE MOLETOM COM TEXTURA</t>
  </si>
  <si>
    <t>03.07.1207</t>
  </si>
  <si>
    <t>MOLETOM MANGA LONGA COM RIB</t>
  </si>
  <si>
    <t>03.07.1208</t>
  </si>
  <si>
    <t>MOLETOM CAMO</t>
  </si>
  <si>
    <t>03.40.0003</t>
  </si>
  <si>
    <t>BOMBER EST POIS IRREGULAR</t>
  </si>
  <si>
    <t>30151</t>
  </si>
  <si>
    <t>EST POIS IRREGULAR OFF AJ</t>
  </si>
  <si>
    <t>03.56.0002</t>
  </si>
  <si>
    <t>CARDIGAN TRICOT ATOALHADO + TOP</t>
  </si>
  <si>
    <t>0200</t>
  </si>
  <si>
    <t>MARINHO MILÁ + VERDE JASMINE</t>
  </si>
  <si>
    <t>03.56.0003</t>
  </si>
  <si>
    <t>CARDIGAN DE TRICOT</t>
  </si>
  <si>
    <t>03.56.0005</t>
  </si>
  <si>
    <t>CARDIGAN DE TRICOT COM CORRENTE</t>
  </si>
  <si>
    <t>BEGE BAUNILHA</t>
  </si>
  <si>
    <t>03.56.0007</t>
  </si>
  <si>
    <t>CARDIGAN DE TRICOT VISTA ABERTA</t>
  </si>
  <si>
    <t>2501</t>
  </si>
  <si>
    <t>CARAMELO DESERTO</t>
  </si>
  <si>
    <t>03.56.0008</t>
  </si>
  <si>
    <t>PULL DE TRICOT PONTO CROCHET</t>
  </si>
  <si>
    <t>03.56.0011</t>
  </si>
  <si>
    <t>CARDIGAN DE TRICOT MANGA LONGA</t>
  </si>
  <si>
    <t>AZUL BIC</t>
  </si>
  <si>
    <t>03.57.0002</t>
  </si>
  <si>
    <t>PULL TRICOT FECHAMENTO ROLOTE</t>
  </si>
  <si>
    <t>03.57.0003</t>
  </si>
  <si>
    <t>PULL TRICOT GOLA ALTA</t>
  </si>
  <si>
    <t>MESCLA</t>
  </si>
  <si>
    <t>03.57.0004</t>
  </si>
  <si>
    <t>PULL TRICOT LETRAS</t>
  </si>
  <si>
    <t>MESCLA VERDE CHÁ</t>
  </si>
  <si>
    <t>03.57.0007</t>
  </si>
  <si>
    <t>PULL  DE TRICOT GOLA ALTA</t>
  </si>
  <si>
    <t>MULTICOR BERRY/NUDE BRONZE</t>
  </si>
  <si>
    <t>03.57.0008</t>
  </si>
  <si>
    <t>PULL DE TRICOT BARRA LARGA</t>
  </si>
  <si>
    <t>03.57.0009</t>
  </si>
  <si>
    <t>PULL DE TRICOT GOLA ALTA DETALHE MANGA</t>
  </si>
  <si>
    <t>03.57.0011</t>
  </si>
  <si>
    <t>BLUSA DE TRICOT LISTRADA PONTO CROCHET</t>
  </si>
  <si>
    <t>LISTRADO VERDE JASMINE + MARINHO MILA</t>
  </si>
  <si>
    <t>03.57.0012</t>
  </si>
  <si>
    <t>BLUSA DE TRICOT PELINHO LISTRADA</t>
  </si>
  <si>
    <t>LISTRADO MARINHO + OFF WHITECAP</t>
  </si>
  <si>
    <t>LISTRADO CORAL MELAO + ROSA FLOX + ROXO</t>
  </si>
  <si>
    <t>07.16.0013</t>
  </si>
  <si>
    <t>VESTIDO CHEMISE MANGA FRANZIDA</t>
  </si>
  <si>
    <t>0030</t>
  </si>
  <si>
    <t>BEGE SILVER</t>
  </si>
  <si>
    <t>07.16.0014</t>
  </si>
  <si>
    <t>VESTIDO CHEMISE LISTRADO</t>
  </si>
  <si>
    <t>07.16.0021</t>
  </si>
  <si>
    <t>VESTIDO CHEMISE MANGA LONGA</t>
  </si>
  <si>
    <t>07.20.4650</t>
  </si>
  <si>
    <t>VESTIDO LINHO MIDI EST DOBRADURA NEON</t>
  </si>
  <si>
    <t>30145</t>
  </si>
  <si>
    <t>EST LISTRA DOBRADURA NEON AJ</t>
  </si>
  <si>
    <t>07.20.4653</t>
  </si>
  <si>
    <t>VESTIDO LONGO EST POIS IRREGULAR</t>
  </si>
  <si>
    <t>07.20.4654</t>
  </si>
  <si>
    <t>VESTIDO CHEMISE EST POIS IRREGULAR</t>
  </si>
  <si>
    <t>07.20.4655</t>
  </si>
  <si>
    <t>VESTIDO CURTO EST ONCA MARROM</t>
  </si>
  <si>
    <t>EST ONCA MARROM AJ</t>
  </si>
  <si>
    <t>07.20.4656</t>
  </si>
  <si>
    <t>VESTIDO LONGO EST ONCA MARROM</t>
  </si>
  <si>
    <t>07.20.4659</t>
  </si>
  <si>
    <t>VESTIDO LONGO EST CAMUFLADO ANIMAL</t>
  </si>
  <si>
    <t>07.20.4660</t>
  </si>
  <si>
    <t>VESTIDO CURTO EST CAMUFLADO ANIMAL</t>
  </si>
  <si>
    <t>07.20.4661</t>
  </si>
  <si>
    <t>VESTIDO MIDI EST DOBRADURA BRONZE</t>
  </si>
  <si>
    <t>07.20.4662</t>
  </si>
  <si>
    <t>VESTIDO CURTO EST POIS IRREGULAR</t>
  </si>
  <si>
    <t>07.20.4663</t>
  </si>
  <si>
    <t>VESTIDO CURTO EST MANCHADO RAIZ</t>
  </si>
  <si>
    <t>07.20.4664</t>
  </si>
  <si>
    <t>VESTIDO MIDI EST MANCHADO RAIZ</t>
  </si>
  <si>
    <t>07.20.4665</t>
  </si>
  <si>
    <t>VESTIDO MIDI EST MANCHADO MILA</t>
  </si>
  <si>
    <t>EST MANCHADO MILA AJ</t>
  </si>
  <si>
    <t>07.20.4666</t>
  </si>
  <si>
    <t>VESTIDO MIDI EST CAMUFLADO ANIMAL</t>
  </si>
  <si>
    <t>07.20.4670</t>
  </si>
  <si>
    <t>VESTIDO LINHO CURTO EST DOBRADURA NEON</t>
  </si>
  <si>
    <t>07.20.4671</t>
  </si>
  <si>
    <t>VESTIDO LONGO EST MARBLING OFF</t>
  </si>
  <si>
    <t>07.20.4672</t>
  </si>
  <si>
    <t>VESTIDO CURTO LINHO EST MARBLING PB</t>
  </si>
  <si>
    <t>07.20.4673</t>
  </si>
  <si>
    <t>VESTIDO PAREO EST DOBRADURA BRONZE</t>
  </si>
  <si>
    <t>07.20.4674</t>
  </si>
  <si>
    <t>VESTIDO CURTO EST MANCHADO MILA</t>
  </si>
  <si>
    <t>07.20.4676</t>
  </si>
  <si>
    <t>VESTIDO CURTO DE MOLETOM</t>
  </si>
  <si>
    <t>07.20.4677</t>
  </si>
  <si>
    <t>VESTIDO LONGO COM RECORTE COSTAS</t>
  </si>
  <si>
    <t>07.20.4678</t>
  </si>
  <si>
    <t>VESTIDO MIDI COM FENDA</t>
  </si>
  <si>
    <t>07.20.4681</t>
  </si>
  <si>
    <t>VESTIDO MOLETOM EST MARBLING OFF</t>
  </si>
  <si>
    <t>07.20.4682</t>
  </si>
  <si>
    <t>VESTIDO MALHA EST MANCHADO RAIZ</t>
  </si>
  <si>
    <t>07.20.4685</t>
  </si>
  <si>
    <t>VESTIDO MALHA EST DOBRADURA NEON</t>
  </si>
  <si>
    <t>07.20.4686</t>
  </si>
  <si>
    <t>VESTIDO MALHA EST DOBRADURA BRONZE</t>
  </si>
  <si>
    <t>07.20.4689</t>
  </si>
  <si>
    <t>VESTIDO TSHIRT COM OMBREIRA</t>
  </si>
  <si>
    <t>07.20.4690</t>
  </si>
  <si>
    <t>VESTIDO MIDI RECORTE CINTURA</t>
  </si>
  <si>
    <t>07.20.4697</t>
  </si>
  <si>
    <t>VESTIDO TRICOT QUADRICULADO</t>
  </si>
  <si>
    <t>OFF WHITE + ROSA FLOX</t>
  </si>
  <si>
    <t>07.20.4725</t>
  </si>
  <si>
    <t>VESTIDO DE VOIL PALA FRANZIDA</t>
  </si>
  <si>
    <t>07.20.4788</t>
  </si>
  <si>
    <t>VESTIDO DE TRICOT MIDI SEM MANGA</t>
  </si>
  <si>
    <t>07.20.4792</t>
  </si>
  <si>
    <t>VESTIDO DE TRICOT GOLA ALTA COM LUREX</t>
  </si>
  <si>
    <t>07.20.4793</t>
  </si>
  <si>
    <t>VESTIDO CURTO JEANS ML COM TOP</t>
  </si>
  <si>
    <t>07.20.4804</t>
  </si>
  <si>
    <t>VESTIDO DE TRICOT CURTA SEM MANGA</t>
  </si>
  <si>
    <t>07.20.4942</t>
  </si>
  <si>
    <t>VESTIDO DE TRICOT LISTRADA</t>
  </si>
  <si>
    <t>LISTRADO MARROM RAIZ + AZUL MARESIA</t>
  </si>
  <si>
    <t>07.20.5063</t>
  </si>
  <si>
    <t>VESTIDO SARJA ESTAMPA ONCA</t>
  </si>
  <si>
    <t>07.78.0308</t>
  </si>
  <si>
    <t>VESTIDO MIDI ASSIMETRICO LISTRAS</t>
  </si>
  <si>
    <t>LISTRADO PRETO E BRANCO</t>
  </si>
  <si>
    <t>08.42.0001</t>
  </si>
  <si>
    <t>MACACÃO LINHO EST MARBLING PB</t>
  </si>
  <si>
    <t>08.42.0002</t>
  </si>
  <si>
    <t>MACACAO LINHO EST DOBRADURA NEON</t>
  </si>
  <si>
    <t>08.42.0003</t>
  </si>
  <si>
    <t>MACACAO RECORTES BUSTO</t>
  </si>
  <si>
    <t>08.42.0004</t>
  </si>
  <si>
    <t>MACAQUINHO EST MARBLING OFF</t>
  </si>
  <si>
    <t>08.42.0005</t>
  </si>
  <si>
    <t>MACACAO EST CAMUFLADO ANIMAL</t>
  </si>
  <si>
    <t>08.42.0007</t>
  </si>
  <si>
    <t>MACACAO EST MANCHADO MILA</t>
  </si>
  <si>
    <t>08.42.0009</t>
  </si>
  <si>
    <t>MACACAO MOLETOM EST ONCA MARROM</t>
  </si>
  <si>
    <t>08.42.0022</t>
  </si>
  <si>
    <t>MACACAO LIKE LINEN VISTA ZIPER</t>
  </si>
  <si>
    <t>08.42.0036</t>
  </si>
  <si>
    <t>MACACAO LONGO JEANS  RECYCLE</t>
  </si>
  <si>
    <t>08.42.0037</t>
  </si>
  <si>
    <t>MACACAO CURTO SARJA MATELASSE</t>
  </si>
  <si>
    <t>08.42.0040</t>
  </si>
  <si>
    <t>MACACAO LONGO SARJA WORKER</t>
  </si>
  <si>
    <t>08.50.0005</t>
  </si>
  <si>
    <t>MACACAO LONGO VINTAGE JEANS STONED</t>
  </si>
  <si>
    <t>09.01.2387</t>
  </si>
  <si>
    <t>BIRKIN PLATAFORMA COM PELO</t>
  </si>
  <si>
    <t>09.01.2388</t>
  </si>
  <si>
    <t>TAMANCO DE MADEIRA COM PELO</t>
  </si>
  <si>
    <t>XADREZ AZUL</t>
  </si>
  <si>
    <t>09.01.2400</t>
  </si>
  <si>
    <t>SANDÁLIA FLAT ABALOADA</t>
  </si>
  <si>
    <t>CORAL MELAO</t>
  </si>
  <si>
    <t>09.01.2401</t>
  </si>
  <si>
    <t>SAPATO DE COURO PLATAFORMA</t>
  </si>
  <si>
    <t>09.01.2405</t>
  </si>
  <si>
    <t>SANDALIA DE VERNIZ BLOCO</t>
  </si>
  <si>
    <t>09.01.2407</t>
  </si>
  <si>
    <t>SANDALIA SALTO FINO BICOLOR</t>
  </si>
  <si>
    <t>VERDE OLIVA + VERDE FOLIAGE</t>
  </si>
  <si>
    <t>09.02.0638</t>
  </si>
  <si>
    <t>BOTA DE CAMURÇA CANO MÉDIO TRATORADA</t>
  </si>
  <si>
    <t>09.02.0642</t>
  </si>
  <si>
    <t>BOTA DE COURO SALTO MÉDIO COM TEXTURA</t>
  </si>
  <si>
    <t>4822</t>
  </si>
  <si>
    <t>METALIZADO</t>
  </si>
  <si>
    <t>09.04.0249</t>
  </si>
  <si>
    <t>TENIS BASIC DE CAMURÇA</t>
  </si>
  <si>
    <t>10.20.0006</t>
  </si>
  <si>
    <t>BOLSA DE LONA XADREZ</t>
  </si>
  <si>
    <t>10.28.0009</t>
  </si>
  <si>
    <t>BOLSA ESTRUTURADA ALÇA COM SILK</t>
  </si>
  <si>
    <t>10.28.0011</t>
  </si>
  <si>
    <t>11.05.0287</t>
  </si>
  <si>
    <t>CINTO DE COURO COLOR DUPLO</t>
  </si>
  <si>
    <t>11.05.0290</t>
  </si>
  <si>
    <t>CINTO COLOR MEIA ARGOLA</t>
  </si>
  <si>
    <t>11.05.0291</t>
  </si>
  <si>
    <t>CINTO COLOR FINO</t>
  </si>
  <si>
    <t>25.01.3159</t>
  </si>
  <si>
    <t>CALÇA DE NYLON</t>
  </si>
  <si>
    <t>25.01.3160</t>
  </si>
  <si>
    <t>CALÇA DE NYLON JOGGER ESTAMPADA</t>
  </si>
  <si>
    <t>25.01.3161</t>
  </si>
  <si>
    <t>CALÇA LIKE LINEN COS ELASTICO</t>
  </si>
  <si>
    <t>25.01.3162</t>
  </si>
  <si>
    <t>CALÇA ALFAIATARIA COM BOLSO</t>
  </si>
  <si>
    <t>25.01.3170</t>
  </si>
  <si>
    <t>CALCA JEANS BOOT 70S ROCK BLACK</t>
  </si>
  <si>
    <t>25.01.3171</t>
  </si>
  <si>
    <t>CALCA JEANS FLASHBACK BLACK</t>
  </si>
  <si>
    <t>2289</t>
  </si>
  <si>
    <t>JEANS BLACK CLARO</t>
  </si>
  <si>
    <t>25.01.3172</t>
  </si>
  <si>
    <t>CALCA JEANS SKINNY BASIC HIGH BOTAO</t>
  </si>
  <si>
    <t>25.01.3180</t>
  </si>
  <si>
    <t>CALCA JEANS BOOT COOL CAPRI STONED</t>
  </si>
  <si>
    <t>25.01.3181</t>
  </si>
  <si>
    <t>CALCA SARJA BOOT BASIC HIGH STONED</t>
  </si>
  <si>
    <t>MARINHO MILA</t>
  </si>
  <si>
    <t>25.05.3518</t>
  </si>
  <si>
    <t>BERMUDA LINHO EST ABSTRATA MARBLING PB</t>
  </si>
  <si>
    <t>25.05.3520</t>
  </si>
  <si>
    <t>SHORT MOLETOM EST ONCA MARROM</t>
  </si>
  <si>
    <t>25.05.3521</t>
  </si>
  <si>
    <t>SHORT MOLETOM EST MANCHADO MILA</t>
  </si>
  <si>
    <t>25.05.3531</t>
  </si>
  <si>
    <t>SHORT DE NYLON COM PIPING</t>
  </si>
  <si>
    <t>25.05.3536</t>
  </si>
  <si>
    <t>SHORT JEANS OVERBOY VINTAGE BARRA DOBRAD</t>
  </si>
  <si>
    <t>25.05.3549</t>
  </si>
  <si>
    <t>BERMUDA TRAPEZIO JEANS MONOGRAMA BLACK</t>
  </si>
  <si>
    <t>25.05.3550</t>
  </si>
  <si>
    <t>SHORT SARJA BOX STONED BARRA A FIO</t>
  </si>
  <si>
    <t>25.05.3551</t>
  </si>
  <si>
    <t>BERMUDA BOX MIX TECIDOS</t>
  </si>
  <si>
    <t>25.05.3552</t>
  </si>
  <si>
    <t>25.05.3554</t>
  </si>
  <si>
    <t>SHORT JEANS BOY BORDADO NO BOLSO</t>
  </si>
  <si>
    <t>25.05.3555</t>
  </si>
  <si>
    <t>SHORT JEANS BOX ROCK DESTROYED</t>
  </si>
  <si>
    <t>25.05.3556</t>
  </si>
  <si>
    <t>SHORT JEANS BOX BARRA A FIO</t>
  </si>
  <si>
    <t>25.05.3557</t>
  </si>
  <si>
    <t>SHORT JEANS OVERBOY RASGOS</t>
  </si>
  <si>
    <t>25.05.3558</t>
  </si>
  <si>
    <t>SHORT DE TRICOT</t>
  </si>
  <si>
    <t>25.05.3560</t>
  </si>
  <si>
    <t>SHORT JEANS PALA DOBRADA FAIXA PESPONTAD</t>
  </si>
  <si>
    <t>25.05.3563</t>
  </si>
  <si>
    <t>SHORT JEANS  BOX BARRA DESFEITA</t>
  </si>
  <si>
    <t>0109</t>
  </si>
  <si>
    <t>25.05.3564</t>
  </si>
  <si>
    <t>SHORT SARJA DETALHES MATELASSE</t>
  </si>
  <si>
    <t>25.05.3565</t>
  </si>
  <si>
    <t>SHORT JEANS BOX FRALDA HIGH ACID PINK</t>
  </si>
  <si>
    <t>JEANS + ROSA CLARINHO</t>
  </si>
  <si>
    <t>25.05.3567</t>
  </si>
  <si>
    <t>SHORT SARJA CLOCHARD CADARCO</t>
  </si>
  <si>
    <t>25.05.3568</t>
  </si>
  <si>
    <t>SHORT SARJA COTELE CINTO</t>
  </si>
  <si>
    <t>25.05.3569</t>
  </si>
  <si>
    <t>SHORT JEANS BOY SILK</t>
  </si>
  <si>
    <t>25.05.3570</t>
  </si>
  <si>
    <t>BERMUDA JEANS BOX BARRA DESFEITA BLACK</t>
  </si>
  <si>
    <t>25.05.3571</t>
  </si>
  <si>
    <t>BERMUDA JEANS BOX BARRA COM RASGO</t>
  </si>
  <si>
    <t>25.05.3572</t>
  </si>
  <si>
    <t>SHORT SARJA BOX LIKE LEATHER</t>
  </si>
  <si>
    <t>25.05.3586</t>
  </si>
  <si>
    <t>SHORT JEANS BOX BARRA A FIO DARK BLUE</t>
  </si>
  <si>
    <t>25.05.3591</t>
  </si>
  <si>
    <t>SHORT JEANS BOY RECORTES DIAGONAIS ZIPER</t>
  </si>
  <si>
    <t>25.11.0615</t>
  </si>
  <si>
    <t>SAIA TRICOT CURTA BOTOES</t>
  </si>
  <si>
    <t>25.11.0617</t>
  </si>
  <si>
    <t>SAIA DE MOLETOM COM TEXTURA</t>
  </si>
  <si>
    <t>25.11.0644</t>
  </si>
  <si>
    <t>SAIA LIKE LINEN CURTA COM BOLSO</t>
  </si>
  <si>
    <t>25.11.0667</t>
  </si>
  <si>
    <t>SAIA CURTA SARJA COS DUPLO CAMUFLADO</t>
  </si>
  <si>
    <t>25.11.0673</t>
  </si>
  <si>
    <t>SAIA CURTA SARJA BOX 3D</t>
  </si>
  <si>
    <t>25.11.0676</t>
  </si>
  <si>
    <t>SAIA MINI JEANS MIX RECORTES</t>
  </si>
  <si>
    <t>25.11.0677</t>
  </si>
  <si>
    <t>SAIA MINI SARJA MIX RECORTES</t>
  </si>
  <si>
    <t>25.11.0678</t>
  </si>
  <si>
    <t>SAIA CURTA JEANS BOX FENDA LATERAL</t>
  </si>
  <si>
    <t>25.11.0681</t>
  </si>
  <si>
    <t>SAIA MINI SARJA BOTOES NA VISTA</t>
  </si>
  <si>
    <t>25.11.0686</t>
  </si>
  <si>
    <t>SAIA CURTA JEANS BOX LIKE LEATHER MARROM</t>
  </si>
  <si>
    <t>25.11.0755</t>
  </si>
  <si>
    <t>SAIA CURTA JEANS BASIC  BLACK SPIKES</t>
  </si>
  <si>
    <t>25.34.0058</t>
  </si>
  <si>
    <t>CALCA EST POIS IRREGULAR</t>
  </si>
  <si>
    <t>25.34.0059</t>
  </si>
  <si>
    <t>CALCA EST ONCA MARROM</t>
  </si>
  <si>
    <t>25.34.0062</t>
  </si>
  <si>
    <t>CALCA EST DOBRADURA BRONZE</t>
  </si>
  <si>
    <t>25.34.0063</t>
  </si>
  <si>
    <t>CALCA EST MANCHADO MILA</t>
  </si>
  <si>
    <t>25.34.0064</t>
  </si>
  <si>
    <t>CALCA EST MANCHADO RAIZ</t>
  </si>
  <si>
    <t>25.34.0066</t>
  </si>
  <si>
    <t>CALÇA DE MOLETOM COM BOLSOS DE NYLON</t>
  </si>
  <si>
    <t>25.34.0067</t>
  </si>
  <si>
    <t>CALCA XADREZ ECO</t>
  </si>
  <si>
    <t>25.34.0069</t>
  </si>
  <si>
    <t>CALÇA DE MOLETOM COM DETALHE NYLON</t>
  </si>
  <si>
    <t>25.34.0070</t>
  </si>
  <si>
    <t>CALCA MALHA EST DOBRADURA NEON</t>
  </si>
  <si>
    <t>25.34.0073</t>
  </si>
  <si>
    <t>CALCA MALHA EST CAMUFLADO ANIMAL</t>
  </si>
  <si>
    <t>25.34.0075</t>
  </si>
  <si>
    <t>CALCA MOLETOM EST MARBLING OFF</t>
  </si>
  <si>
    <t>25.34.0080</t>
  </si>
  <si>
    <t>CALCA PANTALONA MALHA</t>
  </si>
  <si>
    <t>25.34.0081</t>
  </si>
  <si>
    <t>CALÇA DE MALHA COM LUREX</t>
  </si>
  <si>
    <t>25.34.0082</t>
  </si>
  <si>
    <t>CALCA TRICOT JACQUARD POIS IRREGULAR</t>
  </si>
  <si>
    <t>25.34.0088</t>
  </si>
  <si>
    <t>CALÇA LEGGING COM PÉ</t>
  </si>
  <si>
    <t>25.34.0089</t>
  </si>
  <si>
    <t>CALÇA DE MOLETOM BARRA RETA</t>
  </si>
  <si>
    <t>25.34.0090</t>
  </si>
  <si>
    <t>CALÇA DE MALHA COM RIB</t>
  </si>
  <si>
    <t>25.34.0104</t>
  </si>
  <si>
    <t>CALCA DE SUEDE PANTACOURT</t>
  </si>
  <si>
    <t>25.34.0105</t>
  </si>
  <si>
    <t>CALCA DE SUEDE SKINNY COM ZIPER</t>
  </si>
  <si>
    <t>25.34.0106</t>
  </si>
  <si>
    <t>CALCA LIKE LEATHER SKINNY COM ZIPER</t>
  </si>
  <si>
    <t>25.34.0107</t>
  </si>
  <si>
    <t>CALCA LIKE LEATHER EMBORRACHADA</t>
  </si>
  <si>
    <t>25.34.0108</t>
  </si>
  <si>
    <t>CALCA LIKE LEATHER JOGGER</t>
  </si>
  <si>
    <t>25.34.0168</t>
  </si>
  <si>
    <t>CALCA JEANS FLASHBACK RECORTES FRONTAIS</t>
  </si>
  <si>
    <t>25.34.0170</t>
  </si>
  <si>
    <t>CALCA SARJA FLASHBACK STONED</t>
  </si>
  <si>
    <t>25.34.0177</t>
  </si>
  <si>
    <t>CALCA JEANS BOYFRIEND BLACK SPIKES</t>
  </si>
  <si>
    <t>25.34.0184</t>
  </si>
  <si>
    <t>CALCA SARJA LOW RISE STONED</t>
  </si>
  <si>
    <t>BEGE AMENDOADO</t>
  </si>
  <si>
    <t>25.34.0205</t>
  </si>
  <si>
    <t>CALCA JEANS BOOT BASIC HIGH FENDA NA BAR</t>
  </si>
  <si>
    <t>25.34.0208</t>
  </si>
  <si>
    <t>CALCA SARJA NIPPER STONED</t>
  </si>
  <si>
    <t>25.34.0209</t>
  </si>
  <si>
    <t>CALCA SARJA BOOT CARGO</t>
  </si>
  <si>
    <t>25.34.0223</t>
  </si>
  <si>
    <t>CALCA JEANS ANKLE FLARE BARRA DESTROYED</t>
  </si>
  <si>
    <t>25.34.0224</t>
  </si>
  <si>
    <t>CALCA SARJA ANKLE FLARE ESTAMPA ONCA</t>
  </si>
  <si>
    <t>25.34.0237</t>
  </si>
  <si>
    <t>CALCA JEANS SKINNY BASIC HIGH</t>
  </si>
  <si>
    <t>25.34.0238</t>
  </si>
  <si>
    <t>CALCA JEANS FLASHBACK DETALHE COURO</t>
  </si>
  <si>
    <t>25.34.0239</t>
  </si>
  <si>
    <t>CALCA JEANS NIPPER MONOGRAMA BLACK</t>
  </si>
  <si>
    <t>25.34.0242</t>
  </si>
  <si>
    <t>CALCA JEANS SKINNY BASIC MIDI BARRA</t>
  </si>
  <si>
    <t>25.34.0243</t>
  </si>
  <si>
    <t>CALCA JEANS SKINNY BASIC HIGH STONED</t>
  </si>
  <si>
    <t>25.34.0244</t>
  </si>
  <si>
    <t>CALCA SARJA LOW RISE VISTA ASSIMETRICA</t>
  </si>
  <si>
    <t>VERDE</t>
  </si>
  <si>
    <t>25.34.0245</t>
  </si>
  <si>
    <t>CALCA BASIC SKINNY HIGH BOTAO NA VISTA</t>
  </si>
  <si>
    <t>25.34.0247</t>
  </si>
  <si>
    <t>CALCA SARJA BOOT 70S MONOGRAMA BORDADO</t>
  </si>
  <si>
    <t>25.34.0250</t>
  </si>
  <si>
    <t>CALCA SARJA BOOT 70S STONED BARRA A FIO</t>
  </si>
  <si>
    <t>25.34.0252</t>
  </si>
  <si>
    <t>CALCA SARJA LONG RISE BOLSOS COM FOLE</t>
  </si>
  <si>
    <t>BEGE WHITECAP</t>
  </si>
  <si>
    <t>25.34.0253</t>
  </si>
  <si>
    <t>CALCA SARJA BOOT 70S MIX COTELE</t>
  </si>
  <si>
    <t>25.34.0255</t>
  </si>
  <si>
    <t>CALCA JEANS PANTALONA ROCK LATERAL</t>
  </si>
  <si>
    <t>25.34.0257</t>
  </si>
  <si>
    <t>CALCA JEANS MARTINGALE BARRA</t>
  </si>
  <si>
    <t>25.34.0259</t>
  </si>
  <si>
    <t>CALCA JEANS LONG RISE REBOLOS</t>
  </si>
  <si>
    <t>25.34.0260</t>
  </si>
  <si>
    <t>CALCA JEANS RETA ROCK BOLSO CARGO</t>
  </si>
  <si>
    <t>25.34.0261</t>
  </si>
  <si>
    <t>CALCA JEANS NIPPER MIX TECIDOS</t>
  </si>
  <si>
    <t>25.34.0262</t>
  </si>
  <si>
    <t>CALCA JEANS RETA COM ELASTICO CINTURA</t>
  </si>
  <si>
    <t>25.34.0263</t>
  </si>
  <si>
    <t>CALCA JEANS FLASHBACK DETALHE ZIG ZAG</t>
  </si>
  <si>
    <t>25.34.0264</t>
  </si>
  <si>
    <t>CALCA JEANS PANTACOURT MARTINGALE</t>
  </si>
  <si>
    <t>25.34.0265</t>
  </si>
  <si>
    <t>CALCA JEANS PANTACOURT ABERTURA LATERAL</t>
  </si>
  <si>
    <t>25.34.0266</t>
  </si>
  <si>
    <t>CALCA JEANS RETA ROCK AVESSO SILK</t>
  </si>
  <si>
    <t>25.34.0267</t>
  </si>
  <si>
    <t>CALCA SARJA WIDE CARGO COM FIVELA</t>
  </si>
  <si>
    <t>25.34.0268</t>
  </si>
  <si>
    <t>CALCA JEANS BAGGY BOY PATCH</t>
  </si>
  <si>
    <t>25.34.0270</t>
  </si>
  <si>
    <t>CALCA JEANS SLOUCHY RASGOS</t>
  </si>
  <si>
    <t>25.34.0272</t>
  </si>
  <si>
    <t>CALCA JEANS SKINNY BASIC LOW ZIG</t>
  </si>
  <si>
    <t>25.34.0273</t>
  </si>
  <si>
    <t>CALCA JEANS SKINNY BASIC HIGH LONG BLACK</t>
  </si>
  <si>
    <t>2291</t>
  </si>
  <si>
    <t>JEANS BLACK ESCURO</t>
  </si>
  <si>
    <t>25.34.0274</t>
  </si>
  <si>
    <t>CALCA JEANS SKINNY BASIC LONG MIDI AMACI</t>
  </si>
  <si>
    <t>25.34.0275</t>
  </si>
  <si>
    <t>CALCA JEANS BOOT BASIC HIGH AMACIADA</t>
  </si>
  <si>
    <t>25.34.0276</t>
  </si>
  <si>
    <t>CALCA JEANS SKINNY BASIC HIGH DARK BLUE</t>
  </si>
  <si>
    <t>25.34.0277</t>
  </si>
  <si>
    <t>CALCA JEANS SKINNY BASIC MIDI VINTAGE</t>
  </si>
  <si>
    <t>25.34.0278</t>
  </si>
  <si>
    <t>25.34.0280</t>
  </si>
  <si>
    <t>CALCA JEANS SKINNY BASIC HIGH RASGOS</t>
  </si>
  <si>
    <t>25.34.0281</t>
  </si>
  <si>
    <t>CALCA JEANS JOGGER BLUE</t>
  </si>
  <si>
    <t>25.34.0283</t>
  </si>
  <si>
    <t>CALCA SARJA SKINNY BAISC MIDI STONED</t>
  </si>
  <si>
    <t>ROSA SELVAGEM</t>
  </si>
  <si>
    <t>25.34.0284</t>
  </si>
  <si>
    <t>CALCA SARJA SKINNY BASIC LONG HIGH</t>
  </si>
  <si>
    <t>0886</t>
  </si>
  <si>
    <t>CINZA NIMBUS</t>
  </si>
  <si>
    <t>25.34.0285</t>
  </si>
  <si>
    <t>CALCA JEANS RETA PALA DOBRADA FAIXA</t>
  </si>
  <si>
    <t>25.34.0287</t>
  </si>
  <si>
    <t>CALCA JEANS FLASHBACK DARK</t>
  </si>
  <si>
    <t>25.34.0288</t>
  </si>
  <si>
    <t>25.34.0290</t>
  </si>
  <si>
    <t>CALCA JEANS LOW RISE ACID WASH</t>
  </si>
  <si>
    <t>25.34.0292</t>
  </si>
  <si>
    <t>CALCA JEANS PANTACOURT BARRA A FIO</t>
  </si>
  <si>
    <t>25.34.0293</t>
  </si>
  <si>
    <t>CALCA JEANS WIDE CARGO RECORTES</t>
  </si>
  <si>
    <t>25.34.0301</t>
  </si>
  <si>
    <t>CALCA JEANS ANKLE FLARE  BARRA A FIO</t>
  </si>
  <si>
    <t>25.34.0305</t>
  </si>
  <si>
    <t>CALCA SARJA BOOT BASIC HIGH COLOR</t>
  </si>
  <si>
    <t>25.34.0306</t>
  </si>
  <si>
    <t>CALCA SARJA FENDA FRONTAL</t>
  </si>
  <si>
    <t>25.34.0307</t>
  </si>
  <si>
    <t>CALCA SARJA BOOT 70S CARGO</t>
  </si>
  <si>
    <t>25.34.0309</t>
  </si>
  <si>
    <t>CALCA SARJA NIPPER STONED TAPE</t>
  </si>
  <si>
    <t>25.34.0312</t>
  </si>
  <si>
    <t>CALCA JEANS RETA ROCK COM NYLON</t>
  </si>
  <si>
    <t>25.34.0313</t>
  </si>
  <si>
    <t>CALCA JEANS FLASHBACK ACID PINK</t>
  </si>
  <si>
    <t>25.34.0314</t>
  </si>
  <si>
    <t>CALCA JEANS WIDE LEG HIGH BOTOES NA VIST</t>
  </si>
  <si>
    <t>25.34.0315</t>
  </si>
  <si>
    <t>CALCA SARJA SKINNY BASIC HIGH PREMIUM</t>
  </si>
  <si>
    <t>25.34.0320</t>
  </si>
  <si>
    <t>25.34.0324</t>
  </si>
  <si>
    <t>CALCA JEANS ANKLE FLARE BOTAO NA VISTA</t>
  </si>
  <si>
    <t>25.34.0326</t>
  </si>
  <si>
    <t>CALCA JEANS BOOT 70S ROCK BLUE</t>
  </si>
  <si>
    <t>25.34.0331</t>
  </si>
  <si>
    <t>25.34.0334</t>
  </si>
  <si>
    <t>CALCA JEANS FLASHBACK MATELASSE</t>
  </si>
  <si>
    <t>25.34.0336</t>
  </si>
  <si>
    <t>CALCA JEANS ANKLE FLARE</t>
  </si>
  <si>
    <t>25.34.0337</t>
  </si>
  <si>
    <t>CALCA JEANS FLASHBACK LASER</t>
  </si>
  <si>
    <t>25.34.0339</t>
  </si>
  <si>
    <t>CALCA JEANS FLASHBACK LIKE LEATHER</t>
  </si>
  <si>
    <t>25.34.0340</t>
  </si>
  <si>
    <t>CALCA JEANS SLOUCHY LATERAL DESLOCADA</t>
  </si>
  <si>
    <t>25.34.0341</t>
  </si>
  <si>
    <t>CALCA JEANS RETA LIKE LEATHER MARROM</t>
  </si>
  <si>
    <t>25.34.0342</t>
  </si>
  <si>
    <t>CALCA JEANS LOW EMBOSSING</t>
  </si>
  <si>
    <t>25.34.0350</t>
  </si>
  <si>
    <t>CALCA SARJA SKINNY BASIC HIGH LIKE</t>
  </si>
  <si>
    <t>25.34.0351</t>
  </si>
  <si>
    <t>CALCA SARJA BOOT COOL CAPRI STONED</t>
  </si>
  <si>
    <t>25.34.0353</t>
  </si>
  <si>
    <t>CALCA SARJA PANTALONA ROCK BARRA A FIO</t>
  </si>
  <si>
    <t>25.34.0355</t>
  </si>
  <si>
    <t>25.34.0365</t>
  </si>
  <si>
    <t>CALCA SARJA WIDE NERVURA FRENTE</t>
  </si>
  <si>
    <t>25.34.0367</t>
  </si>
  <si>
    <t>CALCA SARJA CLOCHARD CADARCO</t>
  </si>
  <si>
    <t>25.34.0369</t>
  </si>
  <si>
    <t>CALCA JEANS BOOT VINTAGE BARRA A FIO</t>
  </si>
  <si>
    <t>25.34.0370</t>
  </si>
  <si>
    <t>CALCA DE TRICOT COM FAIXA PEZINHO</t>
  </si>
  <si>
    <t>25.34.0434</t>
  </si>
  <si>
    <t>CALCA JEANS LOW RISE NYLON REFLETIVO</t>
  </si>
  <si>
    <t>25.34.0435</t>
  </si>
  <si>
    <t>CALCA SARJA LONG RISE PESPONTO LARANJA</t>
  </si>
  <si>
    <t>25.34.0436</t>
  </si>
  <si>
    <t>CALCA SARJA CARGO ESTAMPA CAMUFLADO</t>
  </si>
  <si>
    <t>25.34.0443</t>
  </si>
  <si>
    <t>CALCA DE TRICOT LISTRADA PONTO CROCHET</t>
  </si>
  <si>
    <t>LISTRADO MARINHO MILA + VERDE JASMINE</t>
  </si>
  <si>
    <t>25.34.0445</t>
  </si>
  <si>
    <t>CALCA JEANS NIPPER RECORTE FRONTAL</t>
  </si>
  <si>
    <t>52.05.1075</t>
  </si>
  <si>
    <t>CAMISA CROPPED LINHO EST MARBLING PB</t>
  </si>
  <si>
    <t>52.05.1076</t>
  </si>
  <si>
    <t>CAMISA EST POIS IRREGULAR</t>
  </si>
  <si>
    <t>52.05.1082</t>
  </si>
  <si>
    <t>CAMISA RECORTES MANGA</t>
  </si>
  <si>
    <t>52.05.1084</t>
  </si>
  <si>
    <t>CAMISA MANGA FRANZIDA</t>
  </si>
  <si>
    <t>52.05.1085</t>
  </si>
  <si>
    <t>CAMISA ALFAIATARIA MANGA LONGA</t>
  </si>
  <si>
    <t>52.05.1086</t>
  </si>
  <si>
    <t>CAMISA DE VOIL GOLA PADRE</t>
  </si>
  <si>
    <t>1120</t>
  </si>
  <si>
    <t>AMARELO ACÁCIA</t>
  </si>
  <si>
    <t>52.05.1087</t>
  </si>
  <si>
    <t>CAMISA DE VOIL MANGA LONGA</t>
  </si>
  <si>
    <t>52.05.1091</t>
  </si>
  <si>
    <t>CAMISA DE SUEDE MANGA LONGA</t>
  </si>
  <si>
    <t>52.05.1106</t>
  </si>
  <si>
    <t>CAMISA JEANS OVERSIZED MONOGRAMA BLACK</t>
  </si>
  <si>
    <t>52.05.1107</t>
  </si>
  <si>
    <t>CAMISA JEANS MANGA LONGA BOLSO COURO</t>
  </si>
  <si>
    <t>52.05.1112</t>
  </si>
  <si>
    <t>CAMISA JEANS MANGA LONGA</t>
  </si>
  <si>
    <t>52.05.1113</t>
  </si>
  <si>
    <t>CAMISA JEANS CROPPED MIX NYLON</t>
  </si>
  <si>
    <t>52.05.1185</t>
  </si>
  <si>
    <t>CAMISA SARJA ML PATCH ZIG ZAG</t>
  </si>
  <si>
    <t>52.06.0323</t>
  </si>
  <si>
    <t>TSHIRT PHYGITAL WINTER</t>
  </si>
  <si>
    <t>52.06.0324</t>
  </si>
  <si>
    <t>TSHIRT SUPER NATURAL</t>
  </si>
  <si>
    <t>52.06.0325</t>
  </si>
  <si>
    <t>TSHIRT LIQUID AND SOLID</t>
  </si>
  <si>
    <t>52.06.0326</t>
  </si>
  <si>
    <t>TSHIRT OVER FLOWERS</t>
  </si>
  <si>
    <t>52.06.0329</t>
  </si>
  <si>
    <t>TSHIRT MANGA LONGA PIXEL ROAD</t>
  </si>
  <si>
    <t>52.06.0330</t>
  </si>
  <si>
    <t>TSHIRT NATURE PRINT</t>
  </si>
  <si>
    <t>52.06.0331</t>
  </si>
  <si>
    <t>TSHIRT DESERT SCAPE</t>
  </si>
  <si>
    <t>52.06.0333</t>
  </si>
  <si>
    <t>TSHIRT FANTASTIC REALITIES</t>
  </si>
  <si>
    <t>52.06.0335</t>
  </si>
  <si>
    <t>TSHIRT COM AMARRAÇÃO</t>
  </si>
  <si>
    <t>52.06.0336</t>
  </si>
  <si>
    <t>TSHIRT DIVIDED FLOWER</t>
  </si>
  <si>
    <t>52.06.0337</t>
  </si>
  <si>
    <t>TSHIRT PIXEL DIVAS</t>
  </si>
  <si>
    <t>52.06.0339</t>
  </si>
  <si>
    <t>TSHIRT COOL GIRL</t>
  </si>
  <si>
    <t>52.06.0340</t>
  </si>
  <si>
    <t>TSHIRT DIGINATURE</t>
  </si>
  <si>
    <t>52.06.0343</t>
  </si>
  <si>
    <t>TSHIRT SLIM COM FRISOS</t>
  </si>
  <si>
    <t>52.06.0345</t>
  </si>
  <si>
    <t>TSHIRT BASIC RIB</t>
  </si>
  <si>
    <t>52.06.0346</t>
  </si>
  <si>
    <t>TSHIRT LEVE IRIDESCENTE</t>
  </si>
  <si>
    <t>52.06.0348</t>
  </si>
  <si>
    <t>TSHIRT BOX CATWALK</t>
  </si>
  <si>
    <t>52.06.0349</t>
  </si>
  <si>
    <t>TSHIRT DEVORÊ ORGANIC</t>
  </si>
  <si>
    <t>52.06.0350</t>
  </si>
  <si>
    <t>TSHIRT AJ FADE</t>
  </si>
  <si>
    <t>52.06.0351</t>
  </si>
  <si>
    <t>TSHIRT CROPPED COM PREGA AJ</t>
  </si>
  <si>
    <t>52.06.0352</t>
  </si>
  <si>
    <t>TSHIRT IMAGINE</t>
  </si>
  <si>
    <t>52.06.0354</t>
  </si>
  <si>
    <t>TSHIRT DIGITAL DAYDREAM</t>
  </si>
  <si>
    <t>52.06.0355</t>
  </si>
  <si>
    <t>TSHIRT LIGHTPOINTS</t>
  </si>
  <si>
    <t>52.06.0358</t>
  </si>
  <si>
    <t>TSHIRT AJ BORDADO MANGAS</t>
  </si>
  <si>
    <t>52.06.0359</t>
  </si>
  <si>
    <t>TSHIRT BOX REAL DIGITAL</t>
  </si>
  <si>
    <t>52.06.0360</t>
  </si>
  <si>
    <t>TSHIRT CROPPED DIGITAL DAYDREAM</t>
  </si>
  <si>
    <t>52.06.0361</t>
  </si>
  <si>
    <t>TSHIRT COOL BLOCK GIRL</t>
  </si>
  <si>
    <t>52.06.0362</t>
  </si>
  <si>
    <t>TSHIRT MANGA LONGA CAMO</t>
  </si>
  <si>
    <t>52.06.0364</t>
  </si>
  <si>
    <t>TSHIRT TIGER</t>
  </si>
  <si>
    <t>52.06.0366</t>
  </si>
  <si>
    <t>TSHIRT PREGAS</t>
  </si>
  <si>
    <t>52.06.0367</t>
  </si>
  <si>
    <t>BLUSA DE MALHA LISTRADA DECOTE</t>
  </si>
  <si>
    <t>LISTRAS PRETO E BRANCO</t>
  </si>
  <si>
    <t>LISTRAS MILITAR E OFF</t>
  </si>
  <si>
    <t>52.06.0368</t>
  </si>
  <si>
    <t>BLUSA DE MALHA BÁSICA DECOTE V</t>
  </si>
  <si>
    <t>52.06.0369</t>
  </si>
  <si>
    <t>BLUSA DE MALHA LISTRADA DECOTE V</t>
  </si>
  <si>
    <t>LISTRAS NUDE BRONZE + OFF</t>
  </si>
  <si>
    <t>52.06.0370</t>
  </si>
  <si>
    <t>BLUSA DE MALHA BÁSICA DECOTE REDONDO</t>
  </si>
  <si>
    <t>52.06.0373</t>
  </si>
  <si>
    <t>T-SHIRT COM DETALHE LATERAL FRANZIDO</t>
  </si>
  <si>
    <t>52.06.0394</t>
  </si>
  <si>
    <t>TSHIRT MANGA LONGA BASIC RIB</t>
  </si>
  <si>
    <t>52.10.4625</t>
  </si>
  <si>
    <t>TOP MIX COM TULE</t>
  </si>
  <si>
    <t>52.10.4627</t>
  </si>
  <si>
    <t>TOP DUPLO TOMARA QUE CAIA</t>
  </si>
  <si>
    <t>52.10.4628</t>
  </si>
  <si>
    <t>TOP XADREZ ECO</t>
  </si>
  <si>
    <t>52.10.4632</t>
  </si>
  <si>
    <t>TOP TRIANGULO BASIC</t>
  </si>
  <si>
    <t>52.10.4634</t>
  </si>
  <si>
    <t>TOP DUPLO RECORTES</t>
  </si>
  <si>
    <t>52.10.4646</t>
  </si>
  <si>
    <t>TOP DE TRICOT</t>
  </si>
  <si>
    <t>52.10.4671</t>
  </si>
  <si>
    <t>BLUSA TULE GOLA ALTA</t>
  </si>
  <si>
    <t>52.13.3976</t>
  </si>
  <si>
    <t>CROPPED MANGA LONGA TRANSPASSE</t>
  </si>
  <si>
    <t>52.13.3985</t>
  </si>
  <si>
    <t>BLUSA MANGA CURTA COM DETALHE TRANÇADOR</t>
  </si>
  <si>
    <t>52.13.3987</t>
  </si>
  <si>
    <t>BLUSA MANGA LONGA POLO CONTRASTE</t>
  </si>
  <si>
    <t>52.13.3988</t>
  </si>
  <si>
    <t>BLUSA MANGA LONGA RAGLAN COM ZIPER</t>
  </si>
  <si>
    <t>52.13.3990</t>
  </si>
  <si>
    <t>POLO BOX CROPPED</t>
  </si>
  <si>
    <t>52.13.3991</t>
  </si>
  <si>
    <t>BLUSA MANGA CURTA DE RIB</t>
  </si>
  <si>
    <t>52.13.3992</t>
  </si>
  <si>
    <t>BLUSA MOLETOM EST ONCA MARROM</t>
  </si>
  <si>
    <t>52.13.3993</t>
  </si>
  <si>
    <t>BLUSA MALHA EST DOBRADURA NEON</t>
  </si>
  <si>
    <t>52.13.3995</t>
  </si>
  <si>
    <t>BLUSA MALHA EST POIS IRREGULAR</t>
  </si>
  <si>
    <t>52.13.3999</t>
  </si>
  <si>
    <t>BLUSA TULE EST CAMUFLADO ANIMAL</t>
  </si>
  <si>
    <t>52.13.4001</t>
  </si>
  <si>
    <t>BLUSA TULE EST POIS IRREGULAR</t>
  </si>
  <si>
    <t>52.13.4002</t>
  </si>
  <si>
    <t>BLUSA TULE EST MARBLING PB</t>
  </si>
  <si>
    <t>52.13.4004</t>
  </si>
  <si>
    <t>BLUSA TULE EST ONCA MARROM</t>
  </si>
  <si>
    <t>52.13.4005</t>
  </si>
  <si>
    <t>BLUSA TULE EST MANCHADO MILA</t>
  </si>
  <si>
    <t>52.13.4008</t>
  </si>
  <si>
    <t>BLUSA TULE MANGA LONGA</t>
  </si>
  <si>
    <t>52.13.4010</t>
  </si>
  <si>
    <t>BLUSA ML GOLA ALTA DE RIB</t>
  </si>
  <si>
    <t>52.13.4011</t>
  </si>
  <si>
    <t>BLUSA MANGA LONGA COM CONTRASTE</t>
  </si>
  <si>
    <t>OFF WHITE + VERDE OLIVA</t>
  </si>
  <si>
    <t>PRETO + OFF WHITE</t>
  </si>
  <si>
    <t>VERDE OLIVA + ROSA FLOX</t>
  </si>
  <si>
    <t>ROSA FLOX + VERMELHO</t>
  </si>
  <si>
    <t>52.13.4012</t>
  </si>
  <si>
    <t>CROPPED MANGA LONGA SOBREPOSTA</t>
  </si>
  <si>
    <t>VERDE OLIVA + AZUL MARESIA</t>
  </si>
  <si>
    <t>ROSA FLOX + ROXO BERRY</t>
  </si>
  <si>
    <t>52.13.4014</t>
  </si>
  <si>
    <t>BLUSA MANGA DETALHE BOTOES LATERAIS</t>
  </si>
  <si>
    <t>52.13.4017</t>
  </si>
  <si>
    <t>BLUSA GOLA ALTA MALHA</t>
  </si>
  <si>
    <t>52.13.4020</t>
  </si>
  <si>
    <t>BLUSA TRICOT JACQUARD MARBLE</t>
  </si>
  <si>
    <t>EST ABSTRATA MARBLING PB</t>
  </si>
  <si>
    <t>52.13.4022</t>
  </si>
  <si>
    <t>CROPPED MANGA LONGA TRICOT TELADO</t>
  </si>
  <si>
    <t>52.13.4023</t>
  </si>
  <si>
    <t>BLUSA TRICOT FRENTE NADADOR</t>
  </si>
  <si>
    <t>52.13.4029</t>
  </si>
  <si>
    <t>BLUSA DE MALHA COM LUREX</t>
  </si>
  <si>
    <t>52.13.4030</t>
  </si>
  <si>
    <t>BLUSA TRICOT UM OMBRO SO</t>
  </si>
  <si>
    <t>52.13.4031</t>
  </si>
  <si>
    <t>BLUSA TRICOT  JACQUARD POIS IRREGULAR</t>
  </si>
  <si>
    <t>52.13.4032</t>
  </si>
  <si>
    <t>BLUSA TRICOT LISTRADA FRANJA</t>
  </si>
  <si>
    <t>52.13.4033</t>
  </si>
  <si>
    <t>TSHIRT DETALHE OMBROS</t>
  </si>
  <si>
    <t>52.13.4034</t>
  </si>
  <si>
    <t>BLUSA MOTION</t>
  </si>
  <si>
    <t>52.13.4035</t>
  </si>
  <si>
    <t>BLUSA TRICOT DECOTE V MANGA LONGA</t>
  </si>
  <si>
    <t>52.13.4036</t>
  </si>
  <si>
    <t>BLUSA TRICOT DUAS PARTES</t>
  </si>
  <si>
    <t>OFF WHITE + BEGE BAUNILHA</t>
  </si>
  <si>
    <t>52.13.4037</t>
  </si>
  <si>
    <t>BLUSA TRICOT GOLA POLO REGATA</t>
  </si>
  <si>
    <t>52.13.4044</t>
  </si>
  <si>
    <t>BLUSA DE MALHA COM PIPING</t>
  </si>
  <si>
    <t>52.13.4046</t>
  </si>
  <si>
    <t>BLUSA DE NYLON COM PIPING</t>
  </si>
  <si>
    <t>52.13.4047</t>
  </si>
  <si>
    <t>BATA COM MANGA ENTREMEIO</t>
  </si>
  <si>
    <t>52.13.4049</t>
  </si>
  <si>
    <t>CAMISA GOLA PADRE COM LUREX</t>
  </si>
  <si>
    <t>52.13.4106</t>
  </si>
  <si>
    <t>BLUSA DE TRICOT COM OMBREIRA</t>
  </si>
  <si>
    <t>52.13.4108</t>
  </si>
  <si>
    <t>BLUSA DE TRICOT MANGA BUFANTE</t>
  </si>
  <si>
    <t>52.13.4109</t>
  </si>
  <si>
    <t>BLUSA DE TRICOT DETALHE PONTO VAZADO</t>
  </si>
  <si>
    <t>52.13.4110</t>
  </si>
  <si>
    <t>BLUSA DE TRICOT BARRA MANGA PELINHO</t>
  </si>
  <si>
    <t>52.13.4111</t>
  </si>
  <si>
    <t>BLUSA DE TRICOT DECOTE COM AMARRACAO</t>
  </si>
  <si>
    <t>52.13.4112</t>
  </si>
  <si>
    <t>BLUSA DE TRICOT PONTO CROCHET</t>
  </si>
  <si>
    <t>52.13.4113</t>
  </si>
  <si>
    <t>BLUSA DE TRICOT CROPPED COM AMARRACAO</t>
  </si>
  <si>
    <t>BEGE TOAST</t>
  </si>
  <si>
    <t>52.13.4115</t>
  </si>
  <si>
    <t>BLUSA DE TRICOT MANGA LONGA GOLA ALTA</t>
  </si>
  <si>
    <t>52.13.4116</t>
  </si>
  <si>
    <t>BLUSA DE TRICOT DECOTE V MANGA LONGA</t>
  </si>
  <si>
    <t>52.13.4117</t>
  </si>
  <si>
    <t>POLO DE TRICOT</t>
  </si>
  <si>
    <t>LISTRADO OFF WHITE + AZUL MARESIA</t>
  </si>
  <si>
    <t>52.13.4118</t>
  </si>
  <si>
    <t>BLUSA DE TRICOT LISTRADA COM LUREX</t>
  </si>
  <si>
    <t>52.13.4130</t>
  </si>
  <si>
    <t>BLUSA DE TRICOT ESTRUTURADA GOLA ALTA</t>
  </si>
  <si>
    <t>52.13.4131</t>
  </si>
  <si>
    <t>BLUSA DE TRICOT BÁSICA DECOTE V</t>
  </si>
  <si>
    <t>52.13.4132</t>
  </si>
  <si>
    <t>BLUSA DE TRICOT BÁSICA DECOTE REDONDO</t>
  </si>
  <si>
    <t>52.13.4133</t>
  </si>
  <si>
    <t>BLUSA DE TRICOT BÁSICA MANGA LONGA</t>
  </si>
  <si>
    <t>52.13.4135</t>
  </si>
  <si>
    <t>BLUSA DE TRICOT MANGA CURTA GOLA ALTA</t>
  </si>
  <si>
    <t>52.13.4136</t>
  </si>
  <si>
    <t>52.13.4206</t>
  </si>
  <si>
    <t>BLUSA DE TRICOT LISTRADA GOLA ALTA</t>
  </si>
  <si>
    <t>LISTRADO BEGE WHITECAP + CORAL MELAO</t>
  </si>
  <si>
    <t>52.13.4207</t>
  </si>
  <si>
    <t>BLUSA DE TRICOT MULTICOLOR MANGA LONGA</t>
  </si>
  <si>
    <t>52.13.4211</t>
  </si>
  <si>
    <t>BLUSA 3/4 FRISO BUSTO</t>
  </si>
  <si>
    <t>52.13.4223</t>
  </si>
  <si>
    <t>BLUSA DE TRICOT LISTRADA COM OMBREIRA</t>
  </si>
  <si>
    <t>LISTRADO AMARELO + OFF</t>
  </si>
  <si>
    <t>52.13.4300</t>
  </si>
  <si>
    <t>BLUSA TULE EST LISTRA DOBRADURA BRONZE</t>
  </si>
  <si>
    <t>52.15.0926</t>
  </si>
  <si>
    <t>BLUSA AMARRAÇÃO LISTRAS</t>
  </si>
  <si>
    <t>52.15.0941</t>
  </si>
  <si>
    <t>REGATA BOX COM RECORTE CAVA</t>
  </si>
  <si>
    <t>52.15.0943</t>
  </si>
  <si>
    <t>REGATA BLURRING</t>
  </si>
  <si>
    <t>52.15.0944</t>
  </si>
  <si>
    <t>REGATA BOX ANIMALE JEANS</t>
  </si>
  <si>
    <t>52.15.0946</t>
  </si>
  <si>
    <t>REGATA BOX AJ FOIL</t>
  </si>
  <si>
    <t>52.15.0947</t>
  </si>
  <si>
    <t>REGATA RIB DECOTE V COSTAS</t>
  </si>
  <si>
    <t>52.15.0948</t>
  </si>
  <si>
    <t>REGATA RIB COM MEIA VISTA</t>
  </si>
  <si>
    <t>52.15.0949</t>
  </si>
  <si>
    <t>CROPPED FRISO BUSTO</t>
  </si>
  <si>
    <t>52.15.0950</t>
  </si>
  <si>
    <t>REGATA COM ACABAMENTO LOGO</t>
  </si>
  <si>
    <t>52.15.0951</t>
  </si>
  <si>
    <t>REGATA BOX COM AMARRAÇÃO COSTAS</t>
  </si>
  <si>
    <t>52.15.0952</t>
  </si>
  <si>
    <t>REGATA COM TRAVETES ALÇA</t>
  </si>
  <si>
    <t>52.15.0953</t>
  </si>
  <si>
    <t>CROPPED ALCINHA LISTRADO</t>
  </si>
  <si>
    <t>52.15.0955</t>
  </si>
  <si>
    <t>REGATA DE VOIL COM PALA FRANZIDA</t>
  </si>
  <si>
    <t>52.15.0964</t>
  </si>
  <si>
    <t>REGATA DE TRICOT RIB LARGA</t>
  </si>
  <si>
    <t>52.15.0966</t>
  </si>
  <si>
    <t>REGATA DE TRICOT GOLA ALTA</t>
  </si>
  <si>
    <t>52.15.0967</t>
  </si>
  <si>
    <t>REGATA DE TRICOT DECOTE V</t>
  </si>
  <si>
    <t>52.15.0968</t>
  </si>
  <si>
    <t>REGATA GOLA ALTA COM LUREX</t>
  </si>
  <si>
    <t>52.15.0993</t>
  </si>
  <si>
    <t>REGATA DE TRICOT GOLA ALTA LISTRADA</t>
  </si>
  <si>
    <t>LISTRADO PRETO + NUDE BRONZE</t>
  </si>
  <si>
    <t>70.07.0005</t>
  </si>
  <si>
    <t>BONE COLOR BASIC COM SILK</t>
  </si>
  <si>
    <t>04.69.2051</t>
  </si>
  <si>
    <t>CALCA SARJA SKINNY BASIC MIDI LONG</t>
  </si>
  <si>
    <t>VESTIDO LINHO EST TEXTURA POIS LILAS</t>
  </si>
  <si>
    <t>MACACAO LINHO EST TEXTURA POIS LILAS</t>
  </si>
  <si>
    <t>CANCELADO - MACACAO ALÇA TRANÇADA</t>
  </si>
  <si>
    <t>CANCELADO - VERDE PRIM</t>
  </si>
  <si>
    <t>CINTO LIKE LEATHER COM POCHETE</t>
  </si>
  <si>
    <t>SHORT LINHO EST TEXTURA POIS LILAS</t>
  </si>
  <si>
    <t>TOP LINHO EST TEXTURA POIS LILAS</t>
  </si>
  <si>
    <t>CAMISA LINHO EST TEXTURA POIS LILAS</t>
  </si>
  <si>
    <t>TSHIRT CORACOES CROCHET</t>
  </si>
  <si>
    <t xml:space="preserve">PP P M </t>
  </si>
  <si>
    <t>CodProduto</t>
  </si>
  <si>
    <t>CodCor</t>
  </si>
  <si>
    <t>Cor</t>
  </si>
  <si>
    <t>Grade</t>
  </si>
  <si>
    <t>34 A 48</t>
  </si>
  <si>
    <t>OFF SHELL</t>
  </si>
  <si>
    <t>PP A XGG</t>
  </si>
  <si>
    <t>ROSA GRACIOSO</t>
  </si>
  <si>
    <t>PP A GG</t>
  </si>
  <si>
    <t>IND.PRETO</t>
  </si>
  <si>
    <t>VB53</t>
  </si>
  <si>
    <t>VARIANTE B 53</t>
  </si>
  <si>
    <t>INDIGO</t>
  </si>
  <si>
    <t>36 A 48</t>
  </si>
  <si>
    <t>CINZA LAYLA</t>
  </si>
  <si>
    <t>MESCLA GRAFITE</t>
  </si>
  <si>
    <t>VB26</t>
  </si>
  <si>
    <t>VARIANTE B 26</t>
  </si>
  <si>
    <t>36 A 50</t>
  </si>
  <si>
    <t>VB54</t>
  </si>
  <si>
    <t>VARIANTE B 54</t>
  </si>
  <si>
    <t>0001</t>
  </si>
  <si>
    <t>0050</t>
  </si>
  <si>
    <t>VERDE ESMERALDA</t>
  </si>
  <si>
    <t>ROSA JUJUBA</t>
  </si>
  <si>
    <t>VB1</t>
  </si>
  <si>
    <t>VARIANTE B 1</t>
  </si>
  <si>
    <t>VB8</t>
  </si>
  <si>
    <t>VARIANTE B 8</t>
  </si>
  <si>
    <t>LILAS DRISS</t>
  </si>
  <si>
    <t>VERMELHO SPARKLY</t>
  </si>
  <si>
    <t>VERMELHO RED OCHRE</t>
  </si>
  <si>
    <t>VB5</t>
  </si>
  <si>
    <t>VARIANTE B 5</t>
  </si>
  <si>
    <t>VERDE JAMAICA</t>
  </si>
  <si>
    <t>BORDO FORTE</t>
  </si>
  <si>
    <t>BEGE GREIGE</t>
  </si>
  <si>
    <t>VB6</t>
  </si>
  <si>
    <t>VARIANTE B 6</t>
  </si>
  <si>
    <t>LARANJA SHARP</t>
  </si>
  <si>
    <t>BORDO VELUDO</t>
  </si>
  <si>
    <t>VERDE BRAVA</t>
  </si>
  <si>
    <t>VB9</t>
  </si>
  <si>
    <t>VARIANTE B 9</t>
  </si>
  <si>
    <t>P A GG</t>
  </si>
  <si>
    <t>VB27</t>
  </si>
  <si>
    <t>VARIANTE B 27</t>
  </si>
  <si>
    <t>AZUL LIFE</t>
  </si>
  <si>
    <t>VB2</t>
  </si>
  <si>
    <t>VARIANTE B 2</t>
  </si>
  <si>
    <t>AZUL MIRTILO</t>
  </si>
  <si>
    <t>BEGE EGIDO</t>
  </si>
  <si>
    <t>VB4</t>
  </si>
  <si>
    <t>VARIANTE B 4</t>
  </si>
  <si>
    <t>LARANJA NITEROI</t>
  </si>
  <si>
    <t>VB220</t>
  </si>
  <si>
    <t>VARIANTE B 220</t>
  </si>
  <si>
    <t>VB76</t>
  </si>
  <si>
    <t>VARIANTE B 76</t>
  </si>
  <si>
    <t>VB77</t>
  </si>
  <si>
    <t>VARIANTE B 77</t>
  </si>
  <si>
    <t>VB185</t>
  </si>
  <si>
    <t>VARIANTE B 185</t>
  </si>
  <si>
    <t>VB3</t>
  </si>
  <si>
    <t>VARIANTE B 3</t>
  </si>
  <si>
    <t>VB79</t>
  </si>
  <si>
    <t>VARIANTE B 79</t>
  </si>
  <si>
    <t>VB7</t>
  </si>
  <si>
    <t>VARIANTE B 7</t>
  </si>
  <si>
    <t>VB205</t>
  </si>
  <si>
    <t>VARIANTE B 205</t>
  </si>
  <si>
    <t>VB210</t>
  </si>
  <si>
    <t>VARIANTE B 210</t>
  </si>
  <si>
    <t>VB207</t>
  </si>
  <si>
    <t>VARIANTE B 207</t>
  </si>
  <si>
    <t>VB222</t>
  </si>
  <si>
    <t>VARIANTE B 222</t>
  </si>
  <si>
    <t>VB65</t>
  </si>
  <si>
    <t>VARIANTE B 65</t>
  </si>
  <si>
    <t>VB209</t>
  </si>
  <si>
    <t>VARIANTE B 209</t>
  </si>
  <si>
    <t>VB301</t>
  </si>
  <si>
    <t>VARIANTE B 301</t>
  </si>
  <si>
    <t>VB208</t>
  </si>
  <si>
    <t>VARIANTE B 208</t>
  </si>
  <si>
    <t>VB212</t>
  </si>
  <si>
    <t>VARIANTE B 212</t>
  </si>
  <si>
    <t>VB219</t>
  </si>
  <si>
    <t>VARIANTE B 219</t>
  </si>
  <si>
    <t>VB211</t>
  </si>
  <si>
    <t>VARIANTE B 211</t>
  </si>
  <si>
    <t>VB218</t>
  </si>
  <si>
    <t>VARIANTE B 218</t>
  </si>
  <si>
    <t>VB225</t>
  </si>
  <si>
    <t>VARIANTE B 225</t>
  </si>
  <si>
    <t>32        32        __        __        __        00        __</t>
  </si>
  <si>
    <t>34        33        33        60        UN        01        __</t>
  </si>
  <si>
    <t>36        34        35        65        PP        02        __</t>
  </si>
  <si>
    <t>38        35        37        70        P_        03        48</t>
  </si>
  <si>
    <t>40        36        39        75        M_        04        50</t>
  </si>
  <si>
    <t>42        37        41        80        G_        05        52</t>
  </si>
  <si>
    <t>44        38        43        85        GG        06        54</t>
  </si>
  <si>
    <t>46        39        45        90        EG        07        56</t>
  </si>
  <si>
    <t>48        40        47        95        XG        __        __</t>
  </si>
  <si>
    <t>50        41        __        00        __        __        __</t>
  </si>
  <si>
    <t>52        42        __        05        __        __        __</t>
  </si>
  <si>
    <t>54        43        __        10        __        __        __</t>
  </si>
  <si>
    <t>56        44        __        __        __        __        __</t>
  </si>
  <si>
    <t>58        45        __        __        __        __        __</t>
  </si>
  <si>
    <t>195.32.00070</t>
  </si>
  <si>
    <t>195.32.00069</t>
  </si>
  <si>
    <t>138.32.00035</t>
  </si>
  <si>
    <t>138..32.00035</t>
  </si>
  <si>
    <t>59.32.00057</t>
  </si>
  <si>
    <t>BOX COCA COLA ESTACAO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</si>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</sst>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8" tint="0.79998168889431442"/>
      <name val="Calibri"/>
      <family val="2"/>
      <scheme val="minor"/>
    </font>
    <font>
      <sz val="10"/>
      <color theme="1"/>
      <name val="Calibri"/>
      <scheme val="minor"/>
    </font>
    <font>
      <sz val="10"/>
      <name val="Calibri"/>
      <family val="2"/>
      <scheme val="minor"/>
    </font>
    <font>
      <b/>
      <sz val="8"/>
      <color rgb="FFFFFFFF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6B696B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 style="thin">
        <color auto="1"/>
      </bottom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indexed="64"/>
      </left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44" fontId="2" fillId="0" borderId="0" xfId="1" applyFont="1"/>
    <xf numFmtId="0" fontId="3" fillId="0" borderId="1" xfId="0" applyFont="1" applyBorder="1"/>
    <xf numFmtId="0" fontId="2" fillId="0" borderId="0" xfId="0" applyFont="1" applyAlignment="1">
      <alignment horizontal="center"/>
    </xf>
    <xf numFmtId="0" fontId="2" fillId="0" borderId="2" xfId="0" applyFont="1" applyBorder="1"/>
    <xf numFmtId="0" fontId="3" fillId="0" borderId="3" xfId="0" applyFont="1" applyBorder="1"/>
    <xf numFmtId="0" fontId="2" fillId="0" borderId="4" xfId="0" applyFont="1" applyBorder="1"/>
    <xf numFmtId="0" fontId="2" fillId="2" borderId="5" xfId="0" applyFont="1" applyFill="1" applyBorder="1"/>
    <xf numFmtId="44" fontId="2" fillId="0" borderId="0" xfId="1" applyFont="1" applyBorder="1"/>
    <xf numFmtId="0" fontId="3" fillId="0" borderId="8" xfId="0" applyFont="1" applyBorder="1"/>
    <xf numFmtId="0" fontId="2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/>
    </xf>
    <xf numFmtId="44" fontId="6" fillId="0" borderId="1" xfId="1" applyFont="1" applyBorder="1" applyAlignment="1">
      <alignment horizontal="center"/>
    </xf>
    <xf numFmtId="44" fontId="2" fillId="0" borderId="0" xfId="1" applyFont="1" applyBorder="1" applyAlignment="1">
      <alignment horizontal="center"/>
    </xf>
    <xf numFmtId="0" fontId="2" fillId="0" borderId="9" xfId="0" applyFont="1" applyBorder="1"/>
    <xf numFmtId="0" fontId="2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44" fontId="2" fillId="0" borderId="12" xfId="1" applyFont="1" applyBorder="1" applyAlignment="1">
      <alignment horizontal="center"/>
    </xf>
    <xf numFmtId="44" fontId="2" fillId="0" borderId="23" xfId="1" applyFont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44" fontId="7" fillId="3" borderId="11" xfId="1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44" fontId="2" fillId="2" borderId="5" xfId="1" applyFont="1" applyFill="1" applyBorder="1" applyAlignment="1">
      <alignment horizontal="center"/>
    </xf>
    <xf numFmtId="14" fontId="2" fillId="2" borderId="5" xfId="0" applyNumberFormat="1" applyFont="1" applyFill="1" applyBorder="1"/>
    <xf numFmtId="0" fontId="4" fillId="0" borderId="0" xfId="0" applyFont="1"/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44" fontId="8" fillId="0" borderId="12" xfId="1" applyFont="1" applyBorder="1" applyAlignment="1">
      <alignment horizontal="center"/>
    </xf>
    <xf numFmtId="44" fontId="8" fillId="0" borderId="0" xfId="1" applyFont="1" applyBorder="1" applyAlignment="1">
      <alignment horizontal="center"/>
    </xf>
    <xf numFmtId="44" fontId="8" fillId="0" borderId="23" xfId="1" applyFont="1" applyBorder="1" applyAlignment="1">
      <alignment horizontal="center"/>
    </xf>
    <xf numFmtId="44" fontId="8" fillId="0" borderId="24" xfId="1" applyFont="1" applyBorder="1" applyAlignment="1">
      <alignment horizontal="center"/>
    </xf>
    <xf numFmtId="44" fontId="8" fillId="0" borderId="0" xfId="1" applyFont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44" fontId="9" fillId="3" borderId="11" xfId="1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9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0" fillId="4" borderId="29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44" fontId="3" fillId="3" borderId="10" xfId="1" applyFont="1" applyFill="1" applyBorder="1" applyAlignment="1">
      <alignment horizontal="center" vertical="center"/>
    </xf>
    <xf numFmtId="44" fontId="3" fillId="3" borderId="11" xfId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44" fontId="3" fillId="3" borderId="25" xfId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8" tint="0.79998168889431442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bottom style="hair">
          <color auto="1"/>
        </bottom>
        <vertical style="thin">
          <color auto="1"/>
        </vertical>
        <horizontal style="hair">
          <color auto="1"/>
        </horizontal>
      </border>
    </dxf>
  </dxfs>
  <tableStyles count="1" defaultTableStyle="TableStyleMedium2" defaultPivotStyle="PivotStyleMedium9">
    <tableStyle name="Estilo de Tabela 1" pivot="0" count="2" xr9:uid="{00000000-0011-0000-FFFF-FFFF00000000}">
      <tableStyleElement type="wholeTable" dxfId="86"/>
      <tableStyleElement type="headerRow" dxfId="85"/>
    </tableStyle>
  </tableStyles>
  <colors>
    <mruColors>
      <color rgb="FFEDF7F9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10</xdr:row>
      <xdr:rowOff>0</xdr:rowOff>
    </xdr:from>
    <xdr:to>
      <xdr:col>2</xdr:col>
      <xdr:colOff>847725</xdr:colOff>
      <xdr:row>11</xdr:row>
      <xdr:rowOff>180975</xdr:rowOff>
    </xdr:to>
    <xdr:pic macro="[0]!Atualizar_Data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1905000"/>
          <a:ext cx="514350" cy="371475"/>
        </a:xfrm>
        <a:prstGeom prst="rect">
          <a:avLst/>
        </a:prstGeom>
      </xdr:spPr>
    </xdr:pic>
    <xdr:clientData/>
  </xdr:twoCellAnchor>
  <xdr:twoCellAnchor>
    <xdr:from>
      <xdr:col>3</xdr:col>
      <xdr:colOff>571499</xdr:colOff>
      <xdr:row>3</xdr:row>
      <xdr:rowOff>104775</xdr:rowOff>
    </xdr:from>
    <xdr:to>
      <xdr:col>8</xdr:col>
      <xdr:colOff>304799</xdr:colOff>
      <xdr:row>9</xdr:row>
      <xdr:rowOff>95250</xdr:rowOff>
    </xdr:to>
    <xdr:sp macro="" textlink="">
      <xdr:nvSpPr>
        <xdr:cNvPr id="4" name="Retângulo de cantos arredondados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71774" y="676275"/>
          <a:ext cx="2781300" cy="113347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Instruções</a:t>
          </a:r>
        </a:p>
        <a:p>
          <a:pPr algn="ctr" rtl="0"/>
          <a:endParaRPr lang="en-US">
            <a:solidFill>
              <a:sysClr val="windowText" lastClr="000000"/>
            </a:solidFill>
            <a:effectLst/>
          </a:endParaRP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1. Escolher a coleção desejada</a:t>
          </a: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2. Escolha a Data de Saldo</a:t>
          </a:r>
          <a:endParaRPr lang="en-US">
            <a:solidFill>
              <a:sysClr val="windowText" lastClr="000000"/>
            </a:solidFill>
            <a:effectLst/>
          </a:endParaRP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3. Atualizar</a:t>
          </a:r>
          <a:endParaRPr lang="en-US">
            <a:solidFill>
              <a:sysClr val="windowText" lastClr="000000"/>
            </a:solidFill>
            <a:effectLst/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222250</xdr:colOff>
      <xdr:row>3</xdr:row>
      <xdr:rowOff>107950</xdr:rowOff>
    </xdr:from>
    <xdr:to>
      <xdr:col>15</xdr:col>
      <xdr:colOff>657225</xdr:colOff>
      <xdr:row>7</xdr:row>
      <xdr:rowOff>28575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42DE85D-A18B-49A2-88D5-E512AB1B39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940" t="27091" r="7568" b="27909"/>
        <a:stretch/>
      </xdr:blipFill>
      <xdr:spPr bwMode="auto">
        <a:xfrm>
          <a:off x="9124950" y="673100"/>
          <a:ext cx="3676650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222250</xdr:colOff>
      <xdr:row>3</xdr:row>
      <xdr:rowOff>107950</xdr:rowOff>
    </xdr:from>
    <xdr:to>
      <xdr:col>16</xdr:col>
      <xdr:colOff>571500</xdr:colOff>
      <xdr:row>6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672E143-AD35-4E2E-921B-BE9DBB28610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940" t="27091" r="7568" b="27909"/>
        <a:stretch/>
      </xdr:blipFill>
      <xdr:spPr bwMode="auto">
        <a:xfrm>
          <a:off x="8728075" y="669925"/>
          <a:ext cx="3492500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196850</xdr:colOff>
      <xdr:row>3</xdr:row>
      <xdr:rowOff>76200</xdr:rowOff>
    </xdr:from>
    <xdr:to>
      <xdr:col>15</xdr:col>
      <xdr:colOff>742950</xdr:colOff>
      <xdr:row>7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401836F-2196-42AD-B7A9-59422232AC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6144" r="8159" b="26488"/>
        <a:stretch/>
      </xdr:blipFill>
      <xdr:spPr bwMode="auto">
        <a:xfrm>
          <a:off x="9118600" y="641350"/>
          <a:ext cx="3676650" cy="63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188081</xdr:colOff>
      <xdr:row>3</xdr:row>
      <xdr:rowOff>57150</xdr:rowOff>
    </xdr:from>
    <xdr:to>
      <xdr:col>15</xdr:col>
      <xdr:colOff>525780</xdr:colOff>
      <xdr:row>7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C8B1B89-5C64-4E37-BB7C-307696A6C3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318" r="8159" b="28149"/>
        <a:stretch/>
      </xdr:blipFill>
      <xdr:spPr bwMode="auto">
        <a:xfrm>
          <a:off x="9027281" y="622300"/>
          <a:ext cx="3793369" cy="61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</xdr:colOff>
      <xdr:row>3</xdr:row>
      <xdr:rowOff>88900</xdr:rowOff>
    </xdr:from>
    <xdr:to>
      <xdr:col>15</xdr:col>
      <xdr:colOff>606304</xdr:colOff>
      <xdr:row>7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7621C5-B0D8-4903-BA11-5E2503EAD22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777" r="8159" b="28608"/>
        <a:stretch/>
      </xdr:blipFill>
      <xdr:spPr bwMode="auto">
        <a:xfrm>
          <a:off x="8877300" y="654050"/>
          <a:ext cx="3793369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</xdr:colOff>
      <xdr:row>3</xdr:row>
      <xdr:rowOff>88900</xdr:rowOff>
    </xdr:from>
    <xdr:to>
      <xdr:col>16</xdr:col>
      <xdr:colOff>8769</xdr:colOff>
      <xdr:row>7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42AB83-DAF9-4CA7-ADB6-5176D16251E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777" r="8159" b="28608"/>
        <a:stretch/>
      </xdr:blipFill>
      <xdr:spPr bwMode="auto">
        <a:xfrm>
          <a:off x="8877300" y="654050"/>
          <a:ext cx="3793369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1" xr16:uid="{00000000-0016-0000-0100-000000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2" xr16:uid="{00000000-0016-0000-0200-000001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3" xr16:uid="{00000000-0016-0000-0300-000002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4" xr16:uid="{00000000-0016-0000-0400-000003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5" xr16:uid="{00000000-0016-0000-0500-000004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2" displayName="TABELA22" ref="B15:P555" tableType="queryTable" totalsRowShown="0" headerRowDxfId="84" dataDxfId="83">
  <autoFilter ref="B15:P555" xr:uid="{00000000-0009-0000-0100-000001000000}"/>
  <tableColumns count="15">
    <tableColumn id="1" xr3:uid="{00000000-0010-0000-0000-000001000000}" uniqueName="1" name="PRODUTO" queryTableFieldId="1" dataDxfId="82"/>
    <tableColumn id="2" xr3:uid="{00000000-0010-0000-0000-000002000000}" uniqueName="2" name="DESCRIÇÃO" queryTableFieldId="2" dataDxfId="81"/>
    <tableColumn id="3" xr3:uid="{00000000-0010-0000-0000-000003000000}" uniqueName="3" name="COR" queryTableFieldId="3" dataDxfId="80"/>
    <tableColumn id="4" xr3:uid="{00000000-0010-0000-0000-000004000000}" uniqueName="4" name="DESCRIÇÃO COR" queryTableFieldId="4" dataDxfId="79"/>
    <tableColumn id="5" xr3:uid="{00000000-0010-0000-0000-000005000000}" uniqueName="5" name="PREÇO" queryTableFieldId="5" dataDxfId="78" dataCellStyle="Moeda"/>
    <tableColumn id="6" xr3:uid="{00000000-0010-0000-0000-000006000000}" uniqueName="6" name="GRADE" queryTableFieldId="6" dataDxfId="77"/>
    <tableColumn id="7" xr3:uid="{00000000-0010-0000-0000-000007000000}" uniqueName="7" name="T1" queryTableFieldId="7" dataDxfId="76"/>
    <tableColumn id="8" xr3:uid="{00000000-0010-0000-0000-000008000000}" uniqueName="8" name="T2" queryTableFieldId="8" dataDxfId="75"/>
    <tableColumn id="9" xr3:uid="{00000000-0010-0000-0000-000009000000}" uniqueName="9" name="T3" queryTableFieldId="9" dataDxfId="74"/>
    <tableColumn id="10" xr3:uid="{00000000-0010-0000-0000-00000A000000}" uniqueName="10" name="T4" queryTableFieldId="10" dataDxfId="73"/>
    <tableColumn id="11" xr3:uid="{00000000-0010-0000-0000-00000B000000}" uniqueName="11" name="T5" queryTableFieldId="11" dataDxfId="72"/>
    <tableColumn id="12" xr3:uid="{00000000-0010-0000-0000-00000C000000}" uniqueName="12" name="T6" queryTableFieldId="12" dataDxfId="71"/>
    <tableColumn id="13" xr3:uid="{00000000-0010-0000-0000-00000D000000}" uniqueName="13" name="T7" queryTableFieldId="13" dataDxfId="70"/>
    <tableColumn id="14" xr3:uid="{00000000-0010-0000-0000-00000E000000}" uniqueName="14" name="QTDE" queryTableFieldId="14" dataDxfId="69">
      <calculatedColumnFormula>SUM(TABELA22[[#This Row],[T1]:[T7]])</calculatedColumnFormula>
    </tableColumn>
    <tableColumn id="15" xr3:uid="{00000000-0010-0000-0000-00000F000000}" uniqueName="15" name="VALOR" queryTableFieldId="15" dataDxfId="68" dataCellStyle="Moeda">
      <calculatedColumnFormula>TABELA22[[#This Row],[QTDE]]*TABELA22[[#This Row],[PREÇO]]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3" displayName="TABELA23" ref="B15:P555" tableType="queryTable" totalsRowShown="0" headerRowDxfId="67" dataDxfId="66">
  <autoFilter ref="B15:P555" xr:uid="{00000000-0009-0000-0100-000002000000}"/>
  <tableColumns count="15">
    <tableColumn id="1" xr3:uid="{00000000-0010-0000-0100-000001000000}" uniqueName="1" name="PRODUTO" queryTableFieldId="1" dataDxfId="65"/>
    <tableColumn id="2" xr3:uid="{00000000-0010-0000-0100-000002000000}" uniqueName="2" name="DESCRIÇÃO" queryTableFieldId="2" dataDxfId="64"/>
    <tableColumn id="3" xr3:uid="{00000000-0010-0000-0100-000003000000}" uniqueName="3" name="COR" queryTableFieldId="3" dataDxfId="63"/>
    <tableColumn id="4" xr3:uid="{00000000-0010-0000-0100-000004000000}" uniqueName="4" name="DESCRIÇÃO COR" queryTableFieldId="4" dataDxfId="62"/>
    <tableColumn id="5" xr3:uid="{00000000-0010-0000-0100-000005000000}" uniqueName="5" name="PREÇO" queryTableFieldId="5" dataDxfId="61" dataCellStyle="Moeda"/>
    <tableColumn id="6" xr3:uid="{00000000-0010-0000-0100-000006000000}" uniqueName="6" name="GRADE" queryTableFieldId="6" dataDxfId="60"/>
    <tableColumn id="7" xr3:uid="{00000000-0010-0000-0100-000007000000}" uniqueName="7" name="T1" queryTableFieldId="7" dataDxfId="59"/>
    <tableColumn id="8" xr3:uid="{00000000-0010-0000-0100-000008000000}" uniqueName="8" name="T2" queryTableFieldId="8" dataDxfId="58"/>
    <tableColumn id="9" xr3:uid="{00000000-0010-0000-0100-000009000000}" uniqueName="9" name="T3" queryTableFieldId="9" dataDxfId="57"/>
    <tableColumn id="10" xr3:uid="{00000000-0010-0000-0100-00000A000000}" uniqueName="10" name="T4" queryTableFieldId="10" dataDxfId="56"/>
    <tableColumn id="11" xr3:uid="{00000000-0010-0000-0100-00000B000000}" uniqueName="11" name="T5" queryTableFieldId="11" dataDxfId="55"/>
    <tableColumn id="12" xr3:uid="{00000000-0010-0000-0100-00000C000000}" uniqueName="12" name="T6" queryTableFieldId="12" dataDxfId="54"/>
    <tableColumn id="13" xr3:uid="{00000000-0010-0000-0100-00000D000000}" uniqueName="13" name="T7" queryTableFieldId="13" dataDxfId="53"/>
    <tableColumn id="14" xr3:uid="{00000000-0010-0000-0100-00000E000000}" uniqueName="14" name="QTDE" queryTableFieldId="14" dataDxfId="52">
      <calculatedColumnFormula>SUM(TABELA23[[#This Row],[T1]:[T7]])</calculatedColumnFormula>
    </tableColumn>
    <tableColumn id="15" xr3:uid="{00000000-0010-0000-0100-00000F000000}" uniqueName="15" name="VALOR" queryTableFieldId="15" dataDxfId="51" dataCellStyle="Moeda">
      <calculatedColumnFormula>TABELA23[[#This Row],[QTDE]]*TABELA23[[#This Row],[PREÇO]]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24" displayName="TABELA24" ref="B15:P555" tableType="queryTable" totalsRowShown="0" headerRowDxfId="50" dataDxfId="49">
  <autoFilter ref="B15:P555" xr:uid="{00000000-0009-0000-0100-000003000000}"/>
  <tableColumns count="15">
    <tableColumn id="1" xr3:uid="{00000000-0010-0000-0200-000001000000}" uniqueName="1" name="PRODUTO" queryTableFieldId="1" dataDxfId="48"/>
    <tableColumn id="2" xr3:uid="{00000000-0010-0000-0200-000002000000}" uniqueName="2" name="DESCRIÇÃO" queryTableFieldId="2" dataDxfId="47"/>
    <tableColumn id="3" xr3:uid="{00000000-0010-0000-0200-000003000000}" uniqueName="3" name="COR" queryTableFieldId="3" dataDxfId="46"/>
    <tableColumn id="4" xr3:uid="{00000000-0010-0000-0200-000004000000}" uniqueName="4" name="DESCRIÇÃO COR" queryTableFieldId="4" dataDxfId="45"/>
    <tableColumn id="5" xr3:uid="{00000000-0010-0000-0200-000005000000}" uniqueName="5" name="PREÇO" queryTableFieldId="5" dataDxfId="44" dataCellStyle="Moeda"/>
    <tableColumn id="6" xr3:uid="{00000000-0010-0000-0200-000006000000}" uniqueName="6" name="GRADE" queryTableFieldId="6" dataDxfId="43"/>
    <tableColumn id="7" xr3:uid="{00000000-0010-0000-0200-000007000000}" uniqueName="7" name="T1" queryTableFieldId="7" dataDxfId="42"/>
    <tableColumn id="8" xr3:uid="{00000000-0010-0000-0200-000008000000}" uniqueName="8" name="T2" queryTableFieldId="8" dataDxfId="41"/>
    <tableColumn id="9" xr3:uid="{00000000-0010-0000-0200-000009000000}" uniqueName="9" name="T3" queryTableFieldId="9" dataDxfId="40"/>
    <tableColumn id="10" xr3:uid="{00000000-0010-0000-0200-00000A000000}" uniqueName="10" name="T4" queryTableFieldId="10" dataDxfId="39"/>
    <tableColumn id="11" xr3:uid="{00000000-0010-0000-0200-00000B000000}" uniqueName="11" name="T5" queryTableFieldId="11" dataDxfId="38"/>
    <tableColumn id="12" xr3:uid="{00000000-0010-0000-0200-00000C000000}" uniqueName="12" name="T6" queryTableFieldId="12" dataDxfId="37"/>
    <tableColumn id="13" xr3:uid="{00000000-0010-0000-0200-00000D000000}" uniqueName="13" name="T7" queryTableFieldId="13" dataDxfId="36"/>
    <tableColumn id="14" xr3:uid="{00000000-0010-0000-0200-00000E000000}" uniqueName="14" name="QTDE" queryTableFieldId="14" dataDxfId="35">
      <calculatedColumnFormula>SUM(TABELA24[[#This Row],[T1]:[T7]])</calculatedColumnFormula>
    </tableColumn>
    <tableColumn id="15" xr3:uid="{00000000-0010-0000-0200-00000F000000}" uniqueName="15" name="VALOR" queryTableFieldId="15" dataDxfId="34" dataCellStyle="Moeda">
      <calculatedColumnFormula>TABELA24[[#This Row],[QTDE]]*TABELA24[[#This Row],[PREÇO]]</calculatedColumn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25" displayName="TABELA25" ref="B15:P555" tableType="queryTable" totalsRowShown="0" headerRowDxfId="33" dataDxfId="32">
  <autoFilter ref="B15:P555" xr:uid="{00000000-0009-0000-0100-000004000000}"/>
  <tableColumns count="15">
    <tableColumn id="1" xr3:uid="{00000000-0010-0000-0300-000001000000}" uniqueName="1" name="PRODUTO" queryTableFieldId="1" dataDxfId="31"/>
    <tableColumn id="2" xr3:uid="{00000000-0010-0000-0300-000002000000}" uniqueName="2" name="DESCRIÇÃO" queryTableFieldId="2" dataDxfId="30"/>
    <tableColumn id="3" xr3:uid="{00000000-0010-0000-0300-000003000000}" uniqueName="3" name="COR" queryTableFieldId="3" dataDxfId="29"/>
    <tableColumn id="4" xr3:uid="{00000000-0010-0000-0300-000004000000}" uniqueName="4" name="DESCRIÇÃO COR" queryTableFieldId="4" dataDxfId="28"/>
    <tableColumn id="5" xr3:uid="{00000000-0010-0000-0300-000005000000}" uniqueName="5" name="PREÇO" queryTableFieldId="5" dataDxfId="27" dataCellStyle="Moeda"/>
    <tableColumn id="6" xr3:uid="{00000000-0010-0000-0300-000006000000}" uniqueName="6" name="GRADE" queryTableFieldId="6" dataDxfId="26"/>
    <tableColumn id="7" xr3:uid="{00000000-0010-0000-0300-000007000000}" uniqueName="7" name="T1" queryTableFieldId="7" dataDxfId="25"/>
    <tableColumn id="8" xr3:uid="{00000000-0010-0000-0300-000008000000}" uniqueName="8" name="T2" queryTableFieldId="8" dataDxfId="24"/>
    <tableColumn id="9" xr3:uid="{00000000-0010-0000-0300-000009000000}" uniqueName="9" name="T3" queryTableFieldId="9" dataDxfId="23"/>
    <tableColumn id="10" xr3:uid="{00000000-0010-0000-0300-00000A000000}" uniqueName="10" name="T4" queryTableFieldId="10" dataDxfId="22"/>
    <tableColumn id="11" xr3:uid="{00000000-0010-0000-0300-00000B000000}" uniqueName="11" name="T5" queryTableFieldId="11" dataDxfId="21"/>
    <tableColumn id="12" xr3:uid="{00000000-0010-0000-0300-00000C000000}" uniqueName="12" name="T6" queryTableFieldId="12" dataDxfId="20"/>
    <tableColumn id="13" xr3:uid="{00000000-0010-0000-0300-00000D000000}" uniqueName="13" name="T7" queryTableFieldId="13" dataDxfId="19"/>
    <tableColumn id="14" xr3:uid="{00000000-0010-0000-0300-00000E000000}" uniqueName="14" name="QTDE" queryTableFieldId="14" dataDxfId="18">
      <calculatedColumnFormula>SUM(TABELA25[[#This Row],[T1]:[T7]])</calculatedColumnFormula>
    </tableColumn>
    <tableColumn id="15" xr3:uid="{00000000-0010-0000-0300-00000F000000}" uniqueName="15" name="VALOR" queryTableFieldId="15" dataDxfId="17" dataCellStyle="Moeda">
      <calculatedColumnFormula>TABELA25[[#This Row],[QTDE]]*TABELA25[[#This Row],[PREÇO]]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567" displayName="TABELA2567" ref="B15:P340" tableType="queryTable" totalsRowShown="0" headerRowDxfId="16" dataDxfId="15">
  <tableColumns count="15">
    <tableColumn id="1" xr3:uid="{00000000-0010-0000-0400-000001000000}" uniqueName="1" name="PRODUTO" queryTableFieldId="1" dataDxfId="14"/>
    <tableColumn id="2" xr3:uid="{00000000-0010-0000-0400-000002000000}" uniqueName="2" name="DESCRIÇÃO" queryTableFieldId="2" dataDxfId="13"/>
    <tableColumn id="3" xr3:uid="{00000000-0010-0000-0400-000003000000}" uniqueName="3" name="COR" queryTableFieldId="3" dataDxfId="12"/>
    <tableColumn id="4" xr3:uid="{00000000-0010-0000-0400-000004000000}" uniqueName="4" name="DESCRIÇÃO COR" queryTableFieldId="4" dataDxfId="11"/>
    <tableColumn id="5" xr3:uid="{00000000-0010-0000-0400-000005000000}" uniqueName="5" name="PREÇO" queryTableFieldId="5" dataDxfId="10" dataCellStyle="Moeda"/>
    <tableColumn id="6" xr3:uid="{00000000-0010-0000-0400-000006000000}" uniqueName="6" name="GRADE" queryTableFieldId="6" dataDxfId="9"/>
    <tableColumn id="7" xr3:uid="{00000000-0010-0000-0400-000007000000}" uniqueName="7" name="T1" queryTableFieldId="7" dataDxfId="8"/>
    <tableColumn id="8" xr3:uid="{00000000-0010-0000-0400-000008000000}" uniqueName="8" name="T2" queryTableFieldId="8" dataDxfId="7"/>
    <tableColumn id="9" xr3:uid="{00000000-0010-0000-0400-000009000000}" uniqueName="9" name="T3" queryTableFieldId="9" dataDxfId="6"/>
    <tableColumn id="10" xr3:uid="{00000000-0010-0000-0400-00000A000000}" uniqueName="10" name="T4" queryTableFieldId="10" dataDxfId="5"/>
    <tableColumn id="11" xr3:uid="{00000000-0010-0000-0400-00000B000000}" uniqueName="11" name="T5" queryTableFieldId="11" dataDxfId="4"/>
    <tableColumn id="12" xr3:uid="{00000000-0010-0000-0400-00000C000000}" uniqueName="12" name="T6" queryTableFieldId="12" dataDxfId="3"/>
    <tableColumn id="13" xr3:uid="{00000000-0010-0000-0400-00000D000000}" uniqueName="13" name="T7" queryTableFieldId="13" dataDxfId="2"/>
    <tableColumn id="14" xr3:uid="{00000000-0010-0000-0400-00000E000000}" uniqueName="14" name="QTDE" queryTableFieldId="14" dataDxfId="1">
      <calculatedColumnFormula>SUM(TABELA2567[[#This Row],[T1]:[T7]])</calculatedColumnFormula>
    </tableColumn>
    <tableColumn id="15" xr3:uid="{00000000-0010-0000-0400-00000F000000}" uniqueName="15" name="VALOR" queryTableFieldId="15" dataDxfId="0" dataCellStyle="Moeda">
      <calculatedColumnFormula>TABELA2567[[#This Row],[QTDE]]*TABELA2567[[#This Row],[PREÇO]]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showGridLines="0" workbookViewId="0">
      <selection activeCell="E33" sqref="E33"/>
    </sheetView>
  </sheetViews>
  <sheetFormatPr defaultRowHeight="15" x14ac:dyDescent="0.25"/>
  <cols>
    <col min="2" max="2" width="11" bestFit="1" customWidth="1"/>
    <col min="3" max="3" width="12.85546875" bestFit="1" customWidth="1"/>
  </cols>
  <sheetData>
    <row r="1" spans="1:3" ht="18.75" x14ac:dyDescent="0.3">
      <c r="A1" s="38" t="s">
        <v>54</v>
      </c>
    </row>
    <row r="6" spans="1:3" x14ac:dyDescent="0.25">
      <c r="B6" s="3" t="s">
        <v>52</v>
      </c>
      <c r="C6" s="8" t="s">
        <v>656</v>
      </c>
    </row>
    <row r="9" spans="1:3" x14ac:dyDescent="0.25">
      <c r="B9" s="3" t="s">
        <v>53</v>
      </c>
      <c r="C9" s="37">
        <v>44829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2:P555"/>
  <sheetViews>
    <sheetView showGridLines="0" workbookViewId="0">
      <selection activeCell="C41" sqref="C41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6.5703125" style="1" bestFit="1" customWidth="1"/>
    <col min="5" max="5" width="32.5703125" style="1" bestFit="1" customWidth="1"/>
    <col min="6" max="6" width="15" style="2" bestFit="1" customWidth="1"/>
    <col min="7" max="7" width="13.28515625" style="4" bestFit="1" customWidth="1"/>
    <col min="8" max="8" width="5.28515625" style="1" customWidth="1"/>
    <col min="9" max="14" width="5.140625" style="1" bestFit="1" customWidth="1"/>
    <col min="15" max="15" width="9.7109375" style="1" bestFit="1" customWidth="1"/>
    <col min="16" max="16" width="12.42578125" style="2" bestFit="1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SUM(TABELA22[VALOR])</f>
        <v>12231.9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ht="15" x14ac:dyDescent="0.25">
      <c r="B16" s="58" t="s">
        <v>1726</v>
      </c>
      <c r="C16" s="19" t="s">
        <v>658</v>
      </c>
      <c r="D16" s="59" t="s">
        <v>1627</v>
      </c>
      <c r="E16" s="54" t="s">
        <v>1628</v>
      </c>
      <c r="F16" s="20">
        <v>271.82</v>
      </c>
      <c r="G16" s="19" t="s">
        <v>44</v>
      </c>
      <c r="H16" s="19">
        <v>30</v>
      </c>
      <c r="I16" s="19">
        <v>10</v>
      </c>
      <c r="J16" s="19">
        <v>5</v>
      </c>
      <c r="K16" s="19"/>
      <c r="L16" s="19"/>
      <c r="M16" s="19"/>
      <c r="N16" s="19"/>
      <c r="O16" s="19">
        <f>SUM(TABELA22[[#This Row],[T1]:[T7]])</f>
        <v>45</v>
      </c>
      <c r="P16" s="21">
        <f>TABELA22[[#This Row],[QTDE]]*TABELA22[[#This Row],[PREÇO]]</f>
        <v>12231.9</v>
      </c>
    </row>
    <row r="17" spans="2:16" ht="15" x14ac:dyDescent="0.25">
      <c r="B17" s="58" t="s">
        <v>1727</v>
      </c>
      <c r="C17" s="19" t="s">
        <v>660</v>
      </c>
      <c r="D17" s="59" t="s">
        <v>1639</v>
      </c>
      <c r="E17" s="54" t="s">
        <v>688</v>
      </c>
      <c r="F17" s="20">
        <v>194.55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SUM(TABELA22[[#This Row],[T1]:[T7]])</f>
        <v>0</v>
      </c>
      <c r="P17" s="21">
        <f>TABELA22[[#This Row],[QTDE]]*TABELA22[[#This Row],[PREÇO]]</f>
        <v>0</v>
      </c>
    </row>
    <row r="18" spans="2:16" ht="15" x14ac:dyDescent="0.25">
      <c r="B18" s="58" t="s">
        <v>1728</v>
      </c>
      <c r="C18" s="19" t="s">
        <v>664</v>
      </c>
      <c r="D18" s="59">
        <v>48363</v>
      </c>
      <c r="E18" s="54" t="s">
        <v>1652</v>
      </c>
      <c r="F18" s="20">
        <v>385.45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SUM(TABELA22[[#This Row],[T1]:[T7]])</f>
        <v>0</v>
      </c>
      <c r="P18" s="21">
        <f>TABELA22[[#This Row],[QTDE]]*TABELA22[[#This Row],[PREÇO]]</f>
        <v>0</v>
      </c>
    </row>
    <row r="19" spans="2:16" ht="15" x14ac:dyDescent="0.25">
      <c r="B19" s="58" t="s">
        <v>1729</v>
      </c>
      <c r="C19" s="19" t="s">
        <v>668</v>
      </c>
      <c r="D19" s="59" t="s">
        <v>1639</v>
      </c>
      <c r="E19" s="54" t="s">
        <v>688</v>
      </c>
      <c r="F19" s="20">
        <v>203.64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SUM(TABELA22[[#This Row],[T1]:[T7]])</f>
        <v>0</v>
      </c>
      <c r="P19" s="21">
        <f>TABELA22[[#This Row],[QTDE]]*TABELA22[[#This Row],[PREÇO]]</f>
        <v>0</v>
      </c>
    </row>
    <row r="20" spans="2:16" ht="15" x14ac:dyDescent="0.25">
      <c r="B20" s="58" t="s">
        <v>1730</v>
      </c>
      <c r="C20" s="19" t="s">
        <v>672</v>
      </c>
      <c r="D20" s="59">
        <v>63007</v>
      </c>
      <c r="E20" s="54" t="s">
        <v>849</v>
      </c>
      <c r="F20" s="20">
        <v>590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SUM(TABELA22[[#This Row],[T1]:[T7]])</f>
        <v>0</v>
      </c>
      <c r="P20" s="21">
        <f>TABELA22[[#This Row],[QTDE]]*TABELA22[[#This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362.73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SUM(TABELA22[[#This Row],[T1]:[T7]])</f>
        <v>0</v>
      </c>
      <c r="P21" s="21">
        <f>TABELA22[[#This Row],[QTDE]]*TABELA22[[#This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453.64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SUM(TABELA22[[#This Row],[T1]:[T7]])</f>
        <v>0</v>
      </c>
      <c r="P22" s="21">
        <f>TABELA22[[#This Row],[QTDE]]*TABELA22[[#This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544.54999999999995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SUM(TABELA22[[#This Row],[T1]:[T7]])</f>
        <v>0</v>
      </c>
      <c r="P23" s="21">
        <f>TABELA22[[#This Row],[QTDE]]*TABELA22[[#This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544.54999999999995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SUM(TABELA22[[#This Row],[T1]:[T7]])</f>
        <v>0</v>
      </c>
      <c r="P24" s="21">
        <f>TABELA22[[#This Row],[QTDE]]*TABELA22[[#This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590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SUM(TABELA22[[#This Row],[T1]:[T7]])</f>
        <v>0</v>
      </c>
      <c r="P25" s="21">
        <f>TABELA22[[#This Row],[QTDE]]*TABELA22[[#This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590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SUM(TABELA22[[#This Row],[T1]:[T7]])</f>
        <v>0</v>
      </c>
      <c r="P26" s="21">
        <f>TABELA22[[#This Row],[QTDE]]*TABELA22[[#This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453.64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SUM(TABELA22[[#This Row],[T1]:[T7]])</f>
        <v>0</v>
      </c>
      <c r="P27" s="21">
        <f>TABELA22[[#This Row],[QTDE]]*TABELA22[[#This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544.54999999999995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SUM(TABELA22[[#This Row],[T1]:[T7]])</f>
        <v>0</v>
      </c>
      <c r="P28" s="21">
        <f>TABELA22[[#This Row],[QTDE]]*TABELA22[[#This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362.73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SUM(TABELA22[[#This Row],[T1]:[T7]])</f>
        <v>0</v>
      </c>
      <c r="P29" s="21">
        <f>TABELA22[[#This Row],[QTDE]]*TABELA22[[#This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453.64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SUM(TABELA22[[#This Row],[T1]:[T7]])</f>
        <v>0</v>
      </c>
      <c r="P30" s="21">
        <f>TABELA22[[#This Row],[QTDE]]*TABELA22[[#This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240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SUM(TABELA22[[#This Row],[T1]:[T7]])</f>
        <v>0</v>
      </c>
      <c r="P31" s="21">
        <f>TABELA22[[#This Row],[QTDE]]*TABELA22[[#This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240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SUM(TABELA22[[#This Row],[T1]:[T7]])</f>
        <v>0</v>
      </c>
      <c r="P32" s="21">
        <f>TABELA22[[#This Row],[QTDE]]*TABELA22[[#This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340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SUM(TABELA22[[#This Row],[T1]:[T7]])</f>
        <v>0</v>
      </c>
      <c r="P33" s="21">
        <f>TABELA22[[#This Row],[QTDE]]*TABELA22[[#This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340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SUM(TABELA22[[#This Row],[T1]:[T7]])</f>
        <v>0</v>
      </c>
      <c r="P34" s="21">
        <f>TABELA22[[#This Row],[QTDE]]*TABELA22[[#This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453.64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SUM(TABELA22[[#This Row],[T1]:[T7]])</f>
        <v>0</v>
      </c>
      <c r="P35" s="21">
        <f>TABELA22[[#This Row],[QTDE]]*TABELA22[[#This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544.54999999999995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SUM(TABELA22[[#This Row],[T1]:[T7]])</f>
        <v>0</v>
      </c>
      <c r="P36" s="21">
        <f>TABELA22[[#This Row],[QTDE]]*TABELA22[[#This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408.18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SUM(TABELA22[[#This Row],[T1]:[T7]])</f>
        <v>0</v>
      </c>
      <c r="P37" s="21">
        <f>TABELA22[[#This Row],[QTDE]]*TABELA22[[#This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362.73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SUM(TABELA22[[#This Row],[T1]:[T7]])</f>
        <v>0</v>
      </c>
      <c r="P38" s="21">
        <f>TABELA22[[#This Row],[QTDE]]*TABELA22[[#This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240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SUM(TABELA22[[#This Row],[T1]:[T7]])</f>
        <v>0</v>
      </c>
      <c r="P39" s="21">
        <f>TABELA22[[#This Row],[QTDE]]*TABELA22[[#This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399.09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SUM(TABELA22[[#This Row],[T1]:[T7]])</f>
        <v>0</v>
      </c>
      <c r="P40" s="21">
        <f>TABELA22[[#This Row],[QTDE]]*TABELA22[[#This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408.18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SUM(TABELA22[[#This Row],[T1]:[T7]])</f>
        <v>0</v>
      </c>
      <c r="P41" s="21">
        <f>TABELA22[[#This Row],[QTDE]]*TABELA22[[#This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362.73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SUM(TABELA22[[#This Row],[T1]:[T7]])</f>
        <v>0</v>
      </c>
      <c r="P42" s="21">
        <f>TABELA22[[#This Row],[QTDE]]*TABELA22[[#This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453.64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SUM(TABELA22[[#This Row],[T1]:[T7]])</f>
        <v>0</v>
      </c>
      <c r="P43" s="21">
        <f>TABELA22[[#This Row],[QTDE]]*TABELA22[[#This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317.27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SUM(TABELA22[[#This Row],[T1]:[T7]])</f>
        <v>0</v>
      </c>
      <c r="P44" s="21">
        <f>TABELA22[[#This Row],[QTDE]]*TABELA22[[#This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408.18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SUM(TABELA22[[#This Row],[T1]:[T7]])</f>
        <v>0</v>
      </c>
      <c r="P45" s="21">
        <f>TABELA22[[#This Row],[QTDE]]*TABELA22[[#This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453.64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SUM(TABELA22[[#This Row],[T1]:[T7]])</f>
        <v>0</v>
      </c>
      <c r="P46" s="21">
        <f>TABELA22[[#This Row],[QTDE]]*TABELA22[[#This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340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SUM(TABELA22[[#This Row],[T1]:[T7]])</f>
        <v>0</v>
      </c>
      <c r="P47" s="21">
        <f>TABELA22[[#This Row],[QTDE]]*TABELA22[[#This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362.73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SUM(TABELA22[[#This Row],[T1]:[T7]])</f>
        <v>0</v>
      </c>
      <c r="P48" s="21">
        <f>TABELA22[[#This Row],[QTDE]]*TABELA22[[#This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362.73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SUM(TABELA22[[#This Row],[T1]:[T7]])</f>
        <v>0</v>
      </c>
      <c r="P49" s="21">
        <f>TABELA22[[#This Row],[QTDE]]*TABELA22[[#This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294.55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SUM(TABELA22[[#This Row],[T1]:[T7]])</f>
        <v>0</v>
      </c>
      <c r="P50" s="21">
        <f>TABELA22[[#This Row],[QTDE]]*TABELA22[[#This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544.54999999999995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SUM(TABELA22[[#This Row],[T1]:[T7]])</f>
        <v>0</v>
      </c>
      <c r="P51" s="21">
        <f>TABELA22[[#This Row],[QTDE]]*TABELA22[[#This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385.45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SUM(TABELA22[[#This Row],[T1]:[T7]])</f>
        <v>0</v>
      </c>
      <c r="P52" s="21">
        <f>TABELA22[[#This Row],[QTDE]]*TABELA22[[#This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271.82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SUM(TABELA22[[#This Row],[T1]:[T7]])</f>
        <v>0</v>
      </c>
      <c r="P53" s="21">
        <f>TABELA22[[#This Row],[QTDE]]*TABELA22[[#This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435.45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SUM(TABELA22[[#This Row],[T1]:[T7]])</f>
        <v>0</v>
      </c>
      <c r="P54" s="21">
        <f>TABELA22[[#This Row],[QTDE]]*TABELA22[[#This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317.27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SUM(TABELA22[[#This Row],[T1]:[T7]])</f>
        <v>0</v>
      </c>
      <c r="P55" s="21">
        <f>TABELA22[[#This Row],[QTDE]]*TABELA22[[#This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317.27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SUM(TABELA22[[#This Row],[T1]:[T7]])</f>
        <v>0</v>
      </c>
      <c r="P56" s="21">
        <f>TABELA22[[#This Row],[QTDE]]*TABELA22[[#This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203.64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SUM(TABELA22[[#This Row],[T1]:[T7]])</f>
        <v>0</v>
      </c>
      <c r="P57" s="21">
        <f>TABELA22[[#This Row],[QTDE]]*TABELA22[[#This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226.36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SUM(TABELA22[[#This Row],[T1]:[T7]])</f>
        <v>0</v>
      </c>
      <c r="P58" s="21">
        <f>TABELA22[[#This Row],[QTDE]]*TABELA22[[#This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226.36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SUM(TABELA22[[#This Row],[T1]:[T7]])</f>
        <v>0</v>
      </c>
      <c r="P59" s="21">
        <f>TABELA22[[#This Row],[QTDE]]*TABELA22[[#This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362.73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SUM(TABELA22[[#This Row],[T1]:[T7]])</f>
        <v>0</v>
      </c>
      <c r="P60" s="21">
        <f>TABELA22[[#This Row],[QTDE]]*TABELA22[[#This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362.73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SUM(TABELA22[[#This Row],[T1]:[T7]])</f>
        <v>0</v>
      </c>
      <c r="P61" s="21">
        <f>TABELA22[[#This Row],[QTDE]]*TABELA22[[#This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271.82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SUM(TABELA22[[#This Row],[T1]:[T7]])</f>
        <v>0</v>
      </c>
      <c r="P62" s="21">
        <f>TABELA22[[#This Row],[QTDE]]*TABELA22[[#This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226.36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SUM(TABELA22[[#This Row],[T1]:[T7]])</f>
        <v>0</v>
      </c>
      <c r="P63" s="21">
        <f>TABELA22[[#This Row],[QTDE]]*TABELA22[[#This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240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SUM(TABELA22[[#This Row],[T1]:[T7]])</f>
        <v>0</v>
      </c>
      <c r="P64" s="21">
        <f>TABELA22[[#This Row],[QTDE]]*TABELA22[[#This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180.91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SUM(TABELA22[[#This Row],[T1]:[T7]])</f>
        <v>0</v>
      </c>
      <c r="P65" s="21">
        <f>TABELA22[[#This Row],[QTDE]]*TABELA22[[#This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180.91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SUM(TABELA22[[#This Row],[T1]:[T7]])</f>
        <v>0</v>
      </c>
      <c r="P66" s="21">
        <f>TABELA22[[#This Row],[QTDE]]*TABELA22[[#This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144.55000000000001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SUM(TABELA22[[#This Row],[T1]:[T7]])</f>
        <v>0</v>
      </c>
      <c r="P67" s="21">
        <f>TABELA22[[#This Row],[QTDE]]*TABELA22[[#This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149.09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SUM(TABELA22[[#This Row],[T1]:[T7]])</f>
        <v>0</v>
      </c>
      <c r="P68" s="21">
        <f>TABELA22[[#This Row],[QTDE]]*TABELA22[[#This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180.91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SUM(TABELA22[[#This Row],[T1]:[T7]])</f>
        <v>0</v>
      </c>
      <c r="P69" s="21">
        <f>TABELA22[[#This Row],[QTDE]]*TABELA22[[#This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180.91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SUM(TABELA22[[#This Row],[T1]:[T7]])</f>
        <v>0</v>
      </c>
      <c r="P70" s="21">
        <f>TABELA22[[#This Row],[QTDE]]*TABELA22[[#This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180.91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SUM(TABELA22[[#This Row],[T1]:[T7]])</f>
        <v>0</v>
      </c>
      <c r="P71" s="21">
        <f>TABELA22[[#This Row],[QTDE]]*TABELA22[[#This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180.91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SUM(TABELA22[[#This Row],[T1]:[T7]])</f>
        <v>0</v>
      </c>
      <c r="P72" s="21">
        <f>TABELA22[[#This Row],[QTDE]]*TABELA22[[#This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212.73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SUM(TABELA22[[#This Row],[T1]:[T7]])</f>
        <v>0</v>
      </c>
      <c r="P73" s="21">
        <f>TABELA22[[#This Row],[QTDE]]*TABELA22[[#This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226.36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SUM(TABELA22[[#This Row],[T1]:[T7]])</f>
        <v>0</v>
      </c>
      <c r="P74" s="21">
        <f>TABELA22[[#This Row],[QTDE]]*TABELA22[[#This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180.91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SUM(TABELA22[[#This Row],[T1]:[T7]])</f>
        <v>0</v>
      </c>
      <c r="P75" s="21">
        <f>TABELA22[[#This Row],[QTDE]]*TABELA22[[#This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203.64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SUM(TABELA22[[#This Row],[T1]:[T7]])</f>
        <v>0</v>
      </c>
      <c r="P76" s="21">
        <f>TABELA22[[#This Row],[QTDE]]*TABELA22[[#This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271.82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SUM(TABELA22[[#This Row],[T1]:[T7]])</f>
        <v>0</v>
      </c>
      <c r="P77" s="21">
        <f>TABELA22[[#This Row],[QTDE]]*TABELA22[[#This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194.55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SUM(TABELA22[[#This Row],[T1]:[T7]])</f>
        <v>0</v>
      </c>
      <c r="P78" s="21">
        <f>TABELA22[[#This Row],[QTDE]]*TABELA22[[#This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385.45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SUM(TABELA22[[#This Row],[T1]:[T7]])</f>
        <v>0</v>
      </c>
      <c r="P79" s="21">
        <f>TABELA22[[#This Row],[QTDE]]*TABELA22[[#This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226.36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SUM(TABELA22[[#This Row],[T1]:[T7]])</f>
        <v>0</v>
      </c>
      <c r="P80" s="21">
        <f>TABELA22[[#This Row],[QTDE]]*TABELA22[[#This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135.44999999999999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SUM(TABELA22[[#This Row],[T1]:[T7]])</f>
        <v>0</v>
      </c>
      <c r="P81" s="21">
        <f>TABELA22[[#This Row],[QTDE]]*TABELA22[[#This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180.91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SUM(TABELA22[[#This Row],[T1]:[T7]])</f>
        <v>0</v>
      </c>
      <c r="P82" s="21">
        <f>TABELA22[[#This Row],[QTDE]]*TABELA22[[#This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212.73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SUM(TABELA22[[#This Row],[T1]:[T7]])</f>
        <v>0</v>
      </c>
      <c r="P83" s="21">
        <f>TABELA22[[#This Row],[QTDE]]*TABELA22[[#This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180.91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SUM(TABELA22[[#This Row],[T1]:[T7]])</f>
        <v>0</v>
      </c>
      <c r="P84" s="21">
        <f>TABELA22[[#This Row],[QTDE]]*TABELA22[[#This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180.91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SUM(TABELA22[[#This Row],[T1]:[T7]])</f>
        <v>0</v>
      </c>
      <c r="P85" s="21">
        <f>TABELA22[[#This Row],[QTDE]]*TABELA22[[#This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271.82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SUM(TABELA22[[#This Row],[T1]:[T7]])</f>
        <v>0</v>
      </c>
      <c r="P86" s="21">
        <f>TABELA22[[#This Row],[QTDE]]*TABELA22[[#This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294.55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SUM(TABELA22[[#This Row],[T1]:[T7]])</f>
        <v>0</v>
      </c>
      <c r="P87" s="21">
        <f>TABELA22[[#This Row],[QTDE]]*TABELA22[[#This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294.55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SUM(TABELA22[[#This Row],[T1]:[T7]])</f>
        <v>0</v>
      </c>
      <c r="P88" s="21">
        <f>TABELA22[[#This Row],[QTDE]]*TABELA22[[#This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271.82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SUM(TABELA22[[#This Row],[T1]:[T7]])</f>
        <v>0</v>
      </c>
      <c r="P89" s="21">
        <f>TABELA22[[#This Row],[QTDE]]*TABELA22[[#This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212.73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SUM(TABELA22[[#This Row],[T1]:[T7]])</f>
        <v>0</v>
      </c>
      <c r="P90" s="21">
        <f>TABELA22[[#This Row],[QTDE]]*TABELA22[[#This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212.73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SUM(TABELA22[[#This Row],[T1]:[T7]])</f>
        <v>0</v>
      </c>
      <c r="P91" s="21">
        <f>TABELA22[[#This Row],[QTDE]]*TABELA22[[#This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212.73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SUM(TABELA22[[#This Row],[T1]:[T7]])</f>
        <v>0</v>
      </c>
      <c r="P92" s="21">
        <f>TABELA22[[#This Row],[QTDE]]*TABELA22[[#This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330.91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SUM(TABELA22[[#This Row],[T1]:[T7]])</f>
        <v>0</v>
      </c>
      <c r="P93" s="21">
        <f>TABELA22[[#This Row],[QTDE]]*TABELA22[[#This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194.55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SUM(TABELA22[[#This Row],[T1]:[T7]])</f>
        <v>0</v>
      </c>
      <c r="P94" s="21">
        <f>TABELA22[[#This Row],[QTDE]]*TABELA22[[#This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180.91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SUM(TABELA22[[#This Row],[T1]:[T7]])</f>
        <v>0</v>
      </c>
      <c r="P95" s="21">
        <f>TABELA22[[#This Row],[QTDE]]*TABELA22[[#This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180.91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SUM(TABELA22[[#This Row],[T1]:[T7]])</f>
        <v>0</v>
      </c>
      <c r="P96" s="21">
        <f>TABELA22[[#This Row],[QTDE]]*TABELA22[[#This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362.73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SUM(TABELA22[[#This Row],[T1]:[T7]])</f>
        <v>0</v>
      </c>
      <c r="P97" s="21">
        <f>TABELA22[[#This Row],[QTDE]]*TABELA22[[#This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317.27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SUM(TABELA22[[#This Row],[T1]:[T7]])</f>
        <v>0</v>
      </c>
      <c r="P98" s="21">
        <f>TABELA22[[#This Row],[QTDE]]*TABELA22[[#This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317.27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SUM(TABELA22[[#This Row],[T1]:[T7]])</f>
        <v>0</v>
      </c>
      <c r="P99" s="21">
        <f>TABELA22[[#This Row],[QTDE]]*TABELA22[[#This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249.09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SUM(TABELA22[[#This Row],[T1]:[T7]])</f>
        <v>0</v>
      </c>
      <c r="P100" s="21">
        <f>TABELA22[[#This Row],[QTDE]]*TABELA22[[#This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208.18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SUM(TABELA22[[#This Row],[T1]:[T7]])</f>
        <v>0</v>
      </c>
      <c r="P101" s="21">
        <f>TABELA22[[#This Row],[QTDE]]*TABELA22[[#This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194.55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SUM(TABELA22[[#This Row],[T1]:[T7]])</f>
        <v>0</v>
      </c>
      <c r="P102" s="21">
        <f>TABELA22[[#This Row],[QTDE]]*TABELA22[[#This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149.09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SUM(TABELA22[[#This Row],[T1]:[T7]])</f>
        <v>0</v>
      </c>
      <c r="P103" s="21">
        <f>TABELA22[[#This Row],[QTDE]]*TABELA22[[#This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240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SUM(TABELA22[[#This Row],[T1]:[T7]])</f>
        <v>0</v>
      </c>
      <c r="P104" s="21">
        <f>TABELA22[[#This Row],[QTDE]]*TABELA22[[#This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240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SUM(TABELA22[[#This Row],[T1]:[T7]])</f>
        <v>0</v>
      </c>
      <c r="P105" s="21">
        <f>TABELA22[[#This Row],[QTDE]]*TABELA22[[#This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162.72999999999999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SUM(TABELA22[[#This Row],[T1]:[T7]])</f>
        <v>0</v>
      </c>
      <c r="P106" s="21">
        <f>TABELA22[[#This Row],[QTDE]]*TABELA22[[#This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208.18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SUM(TABELA22[[#This Row],[T1]:[T7]])</f>
        <v>0</v>
      </c>
      <c r="P107" s="21">
        <f>TABELA22[[#This Row],[QTDE]]*TABELA22[[#This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149.09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SUM(TABELA22[[#This Row],[T1]:[T7]])</f>
        <v>0</v>
      </c>
      <c r="P108" s="21">
        <f>TABELA22[[#This Row],[QTDE]]*TABELA22[[#This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180.91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SUM(TABELA22[[#This Row],[T1]:[T7]])</f>
        <v>0</v>
      </c>
      <c r="P109" s="21">
        <f>TABELA22[[#This Row],[QTDE]]*TABELA22[[#This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208.18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SUM(TABELA22[[#This Row],[T1]:[T7]])</f>
        <v>0</v>
      </c>
      <c r="P110" s="21">
        <f>TABELA22[[#This Row],[QTDE]]*TABELA22[[#This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203.64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SUM(TABELA22[[#This Row],[T1]:[T7]])</f>
        <v>0</v>
      </c>
      <c r="P111" s="21">
        <f>TABELA22[[#This Row],[QTDE]]*TABELA22[[#This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180.91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SUM(TABELA22[[#This Row],[T1]:[T7]])</f>
        <v>0</v>
      </c>
      <c r="P112" s="21">
        <f>TABELA22[[#This Row],[QTDE]]*TABELA22[[#This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162.72999999999999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SUM(TABELA22[[#This Row],[T1]:[T7]])</f>
        <v>0</v>
      </c>
      <c r="P113" s="21">
        <f>TABELA22[[#This Row],[QTDE]]*TABELA22[[#This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253.64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SUM(TABELA22[[#This Row],[T1]:[T7]])</f>
        <v>0</v>
      </c>
      <c r="P114" s="21">
        <f>TABELA22[[#This Row],[QTDE]]*TABELA22[[#This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194.55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SUM(TABELA22[[#This Row],[T1]:[T7]])</f>
        <v>0</v>
      </c>
      <c r="P115" s="21">
        <f>TABELA22[[#This Row],[QTDE]]*TABELA22[[#This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180.91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SUM(TABELA22[[#This Row],[T1]:[T7]])</f>
        <v>0</v>
      </c>
      <c r="P116" s="21">
        <f>TABELA22[[#This Row],[QTDE]]*TABELA22[[#This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180.91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SUM(TABELA22[[#This Row],[T1]:[T7]])</f>
        <v>0</v>
      </c>
      <c r="P117" s="21">
        <f>TABELA22[[#This Row],[QTDE]]*TABELA22[[#This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212.73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SUM(TABELA22[[#This Row],[T1]:[T7]])</f>
        <v>0</v>
      </c>
      <c r="P118" s="21">
        <f>TABELA22[[#This Row],[QTDE]]*TABELA22[[#This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226.36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SUM(TABELA22[[#This Row],[T1]:[T7]])</f>
        <v>0</v>
      </c>
      <c r="P119" s="21">
        <f>TABELA22[[#This Row],[QTDE]]*TABELA22[[#This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217.27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SUM(TABELA22[[#This Row],[T1]:[T7]])</f>
        <v>0</v>
      </c>
      <c r="P120" s="21">
        <f>TABELA22[[#This Row],[QTDE]]*TABELA22[[#This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217.27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SUM(TABELA22[[#This Row],[T1]:[T7]])</f>
        <v>0</v>
      </c>
      <c r="P121" s="21">
        <f>TABELA22[[#This Row],[QTDE]]*TABELA22[[#This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194.55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SUM(TABELA22[[#This Row],[T1]:[T7]])</f>
        <v>0</v>
      </c>
      <c r="P122" s="21">
        <f>TABELA22[[#This Row],[QTDE]]*TABELA22[[#This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180.91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SUM(TABELA22[[#This Row],[T1]:[T7]])</f>
        <v>0</v>
      </c>
      <c r="P123" s="21">
        <f>TABELA22[[#This Row],[QTDE]]*TABELA22[[#This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271.82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SUM(TABELA22[[#This Row],[T1]:[T7]])</f>
        <v>0</v>
      </c>
      <c r="P124" s="21">
        <f>TABELA22[[#This Row],[QTDE]]*TABELA22[[#This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194.55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SUM(TABELA22[[#This Row],[T1]:[T7]])</f>
        <v>0</v>
      </c>
      <c r="P125" s="21">
        <f>TABELA22[[#This Row],[QTDE]]*TABELA22[[#This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126.36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SUM(TABELA22[[#This Row],[T1]:[T7]])</f>
        <v>0</v>
      </c>
      <c r="P126" s="21">
        <f>TABELA22[[#This Row],[QTDE]]*TABELA22[[#This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126.36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SUM(TABELA22[[#This Row],[T1]:[T7]])</f>
        <v>0</v>
      </c>
      <c r="P127" s="21">
        <f>TABELA22[[#This Row],[QTDE]]*TABELA22[[#This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180.91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SUM(TABELA22[[#This Row],[T1]:[T7]])</f>
        <v>0</v>
      </c>
      <c r="P128" s="21">
        <f>TABELA22[[#This Row],[QTDE]]*TABELA22[[#This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317.27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SUM(TABELA22[[#This Row],[T1]:[T7]])</f>
        <v>0</v>
      </c>
      <c r="P129" s="21">
        <f>TABELA22[[#This Row],[QTDE]]*TABELA22[[#This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349.09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SUM(TABELA22[[#This Row],[T1]:[T7]])</f>
        <v>0</v>
      </c>
      <c r="P130" s="21">
        <f>TABELA22[[#This Row],[QTDE]]*TABELA22[[#This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249.09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SUM(TABELA22[[#This Row],[T1]:[T7]])</f>
        <v>0</v>
      </c>
      <c r="P131" s="21">
        <f>TABELA22[[#This Row],[QTDE]]*TABELA22[[#This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249.09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SUM(TABELA22[[#This Row],[T1]:[T7]])</f>
        <v>0</v>
      </c>
      <c r="P132" s="21">
        <f>TABELA22[[#This Row],[QTDE]]*TABELA22[[#This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249.09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SUM(TABELA22[[#This Row],[T1]:[T7]])</f>
        <v>0</v>
      </c>
      <c r="P133" s="21">
        <f>TABELA22[[#This Row],[QTDE]]*TABELA22[[#This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362.73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SUM(TABELA22[[#This Row],[T1]:[T7]])</f>
        <v>0</v>
      </c>
      <c r="P134" s="21">
        <f>TABELA22[[#This Row],[QTDE]]*TABELA22[[#This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226.36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SUM(TABELA22[[#This Row],[T1]:[T7]])</f>
        <v>0</v>
      </c>
      <c r="P135" s="21">
        <f>TABELA22[[#This Row],[QTDE]]*TABELA22[[#This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203.64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SUM(TABELA22[[#This Row],[T1]:[T7]])</f>
        <v>0</v>
      </c>
      <c r="P136" s="21">
        <f>TABELA22[[#This Row],[QTDE]]*TABELA22[[#This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408.18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SUM(TABELA22[[#This Row],[T1]:[T7]])</f>
        <v>0</v>
      </c>
      <c r="P137" s="21">
        <f>TABELA22[[#This Row],[QTDE]]*TABELA22[[#This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180.91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SUM(TABELA22[[#This Row],[T1]:[T7]])</f>
        <v>0</v>
      </c>
      <c r="P138" s="21">
        <f>TABELA22[[#This Row],[QTDE]]*TABELA22[[#This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240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SUM(TABELA22[[#This Row],[T1]:[T7]])</f>
        <v>0</v>
      </c>
      <c r="P139" s="21">
        <f>TABELA22[[#This Row],[QTDE]]*TABELA22[[#This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253.64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SUM(TABELA22[[#This Row],[T1]:[T7]])</f>
        <v>0</v>
      </c>
      <c r="P140" s="21">
        <f>TABELA22[[#This Row],[QTDE]]*TABELA22[[#This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194.55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SUM(TABELA22[[#This Row],[T1]:[T7]])</f>
        <v>0</v>
      </c>
      <c r="P141" s="21">
        <f>TABELA22[[#This Row],[QTDE]]*TABELA22[[#This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162.72999999999999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SUM(TABELA22[[#This Row],[T1]:[T7]])</f>
        <v>0</v>
      </c>
      <c r="P142" s="21">
        <f>TABELA22[[#This Row],[QTDE]]*TABELA22[[#This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253.64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SUM(TABELA22[[#This Row],[T1]:[T7]])</f>
        <v>0</v>
      </c>
      <c r="P143" s="21">
        <f>TABELA22[[#This Row],[QTDE]]*TABELA22[[#This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226.36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SUM(TABELA22[[#This Row],[T1]:[T7]])</f>
        <v>0</v>
      </c>
      <c r="P144" s="21">
        <f>TABELA22[[#This Row],[QTDE]]*TABELA22[[#This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240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SUM(TABELA22[[#This Row],[T1]:[T7]])</f>
        <v>0</v>
      </c>
      <c r="P145" s="21">
        <f>TABELA22[[#This Row],[QTDE]]*TABELA22[[#This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408.18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SUM(TABELA22[[#This Row],[T1]:[T7]])</f>
        <v>0</v>
      </c>
      <c r="P146" s="21">
        <f>TABELA22[[#This Row],[QTDE]]*TABELA22[[#This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408.18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SUM(TABELA22[[#This Row],[T1]:[T7]])</f>
        <v>0</v>
      </c>
      <c r="P147" s="21">
        <f>TABELA22[[#This Row],[QTDE]]*TABELA22[[#This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362.73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SUM(TABELA22[[#This Row],[T1]:[T7]])</f>
        <v>0</v>
      </c>
      <c r="P148" s="21">
        <f>TABELA22[[#This Row],[QTDE]]*TABELA22[[#This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385.45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SUM(TABELA22[[#This Row],[T1]:[T7]])</f>
        <v>0</v>
      </c>
      <c r="P149" s="21">
        <f>TABELA22[[#This Row],[QTDE]]*TABELA22[[#This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344.55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SUM(TABELA22[[#This Row],[T1]:[T7]])</f>
        <v>0</v>
      </c>
      <c r="P150" s="21">
        <f>TABELA22[[#This Row],[QTDE]]*TABELA22[[#This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362.73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SUM(TABELA22[[#This Row],[T1]:[T7]])</f>
        <v>0</v>
      </c>
      <c r="P151" s="21">
        <f>TABELA22[[#This Row],[QTDE]]*TABELA22[[#This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362.73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SUM(TABELA22[[#This Row],[T1]:[T7]])</f>
        <v>0</v>
      </c>
      <c r="P152" s="21">
        <f>TABELA22[[#This Row],[QTDE]]*TABELA22[[#This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271.82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SUM(TABELA22[[#This Row],[T1]:[T7]])</f>
        <v>0</v>
      </c>
      <c r="P153" s="21">
        <f>TABELA22[[#This Row],[QTDE]]*TABELA22[[#This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330.91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SUM(TABELA22[[#This Row],[T1]:[T7]])</f>
        <v>0</v>
      </c>
      <c r="P154" s="21">
        <f>TABELA22[[#This Row],[QTDE]]*TABELA22[[#This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330.91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SUM(TABELA22[[#This Row],[T1]:[T7]])</f>
        <v>0</v>
      </c>
      <c r="P155" s="21">
        <f>TABELA22[[#This Row],[QTDE]]*TABELA22[[#This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226.36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SUM(TABELA22[[#This Row],[T1]:[T7]])</f>
        <v>0</v>
      </c>
      <c r="P156" s="21">
        <f>TABELA22[[#This Row],[QTDE]]*TABELA22[[#This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226.36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SUM(TABELA22[[#This Row],[T1]:[T7]])</f>
        <v>0</v>
      </c>
      <c r="P157" s="21">
        <f>TABELA22[[#This Row],[QTDE]]*TABELA22[[#This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226.36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SUM(TABELA22[[#This Row],[T1]:[T7]])</f>
        <v>0</v>
      </c>
      <c r="P158" s="21">
        <f>TABELA22[[#This Row],[QTDE]]*TABELA22[[#This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453.64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SUM(TABELA22[[#This Row],[T1]:[T7]])</f>
        <v>0</v>
      </c>
      <c r="P159" s="21">
        <f>TABELA22[[#This Row],[QTDE]]*TABELA22[[#This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453.64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SUM(TABELA22[[#This Row],[T1]:[T7]])</f>
        <v>0</v>
      </c>
      <c r="P160" s="21">
        <f>TABELA22[[#This Row],[QTDE]]*TABELA22[[#This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453.64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SUM(TABELA22[[#This Row],[T1]:[T7]])</f>
        <v>0</v>
      </c>
      <c r="P161" s="21">
        <f>TABELA22[[#This Row],[QTDE]]*TABELA22[[#This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249.09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SUM(TABELA22[[#This Row],[T1]:[T7]])</f>
        <v>0</v>
      </c>
      <c r="P162" s="21">
        <f>TABELA22[[#This Row],[QTDE]]*TABELA22[[#This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271.82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SUM(TABELA22[[#This Row],[T1]:[T7]])</f>
        <v>0</v>
      </c>
      <c r="P163" s="21">
        <f>TABELA22[[#This Row],[QTDE]]*TABELA22[[#This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317.27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SUM(TABELA22[[#This Row],[T1]:[T7]])</f>
        <v>0</v>
      </c>
      <c r="P164" s="21">
        <f>TABELA22[[#This Row],[QTDE]]*TABELA22[[#This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317.27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SUM(TABELA22[[#This Row],[T1]:[T7]])</f>
        <v>0</v>
      </c>
      <c r="P165" s="21">
        <f>TABELA22[[#This Row],[QTDE]]*TABELA22[[#This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208.18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SUM(TABELA22[[#This Row],[T1]:[T7]])</f>
        <v>0</v>
      </c>
      <c r="P166" s="21">
        <f>TABELA22[[#This Row],[QTDE]]*TABELA22[[#This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180.91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SUM(TABELA22[[#This Row],[T1]:[T7]])</f>
        <v>0</v>
      </c>
      <c r="P167" s="21">
        <f>TABELA22[[#This Row],[QTDE]]*TABELA22[[#This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121.82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SUM(TABELA22[[#This Row],[T1]:[T7]])</f>
        <v>0</v>
      </c>
      <c r="P168" s="21">
        <f>TABELA22[[#This Row],[QTDE]]*TABELA22[[#This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90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SUM(TABELA22[[#This Row],[T1]:[T7]])</f>
        <v>0</v>
      </c>
      <c r="P169" s="21">
        <f>TABELA22[[#This Row],[QTDE]]*TABELA22[[#This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90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SUM(TABELA22[[#This Row],[T1]:[T7]])</f>
        <v>0</v>
      </c>
      <c r="P170" s="21">
        <f>TABELA22[[#This Row],[QTDE]]*TABELA22[[#This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317.27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SUM(TABELA22[[#This Row],[T1]:[T7]])</f>
        <v>0</v>
      </c>
      <c r="P171" s="21">
        <f>TABELA22[[#This Row],[QTDE]]*TABELA22[[#This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317.27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SUM(TABELA22[[#This Row],[T1]:[T7]])</f>
        <v>0</v>
      </c>
      <c r="P172" s="21">
        <f>TABELA22[[#This Row],[QTDE]]*TABELA22[[#This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317.27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SUM(TABELA22[[#This Row],[T1]:[T7]])</f>
        <v>0</v>
      </c>
      <c r="P173" s="21">
        <f>TABELA22[[#This Row],[QTDE]]*TABELA22[[#This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249.09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SUM(TABELA22[[#This Row],[T1]:[T7]])</f>
        <v>0</v>
      </c>
      <c r="P174" s="21">
        <f>TABELA22[[#This Row],[QTDE]]*TABELA22[[#This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249.09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SUM(TABELA22[[#This Row],[T1]:[T7]])</f>
        <v>0</v>
      </c>
      <c r="P175" s="21">
        <f>TABELA22[[#This Row],[QTDE]]*TABELA22[[#This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317.27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SUM(TABELA22[[#This Row],[T1]:[T7]])</f>
        <v>0</v>
      </c>
      <c r="P176" s="21">
        <f>TABELA22[[#This Row],[QTDE]]*TABELA22[[#This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194.55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SUM(TABELA22[[#This Row],[T1]:[T7]])</f>
        <v>0</v>
      </c>
      <c r="P177" s="21">
        <f>TABELA22[[#This Row],[QTDE]]*TABELA22[[#This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180.91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SUM(TABELA22[[#This Row],[T1]:[T7]])</f>
        <v>0</v>
      </c>
      <c r="P178" s="21">
        <f>TABELA22[[#This Row],[QTDE]]*TABELA22[[#This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180.91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SUM(TABELA22[[#This Row],[T1]:[T7]])</f>
        <v>0</v>
      </c>
      <c r="P179" s="21">
        <f>TABELA22[[#This Row],[QTDE]]*TABELA22[[#This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217.27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SUM(TABELA22[[#This Row],[T1]:[T7]])</f>
        <v>0</v>
      </c>
      <c r="P180" s="21">
        <f>TABELA22[[#This Row],[QTDE]]*TABELA22[[#This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171.82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SUM(TABELA22[[#This Row],[T1]:[T7]])</f>
        <v>0</v>
      </c>
      <c r="P181" s="21">
        <f>TABELA22[[#This Row],[QTDE]]*TABELA22[[#This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135.44999999999999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SUM(TABELA22[[#This Row],[T1]:[T7]])</f>
        <v>0</v>
      </c>
      <c r="P182" s="21">
        <f>TABELA22[[#This Row],[QTDE]]*TABELA22[[#This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135.44999999999999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SUM(TABELA22[[#This Row],[T1]:[T7]])</f>
        <v>0</v>
      </c>
      <c r="P183" s="21">
        <f>TABELA22[[#This Row],[QTDE]]*TABELA22[[#This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135.44999999999999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SUM(TABELA22[[#This Row],[T1]:[T7]])</f>
        <v>0</v>
      </c>
      <c r="P184" s="21">
        <f>TABELA22[[#This Row],[QTDE]]*TABELA22[[#This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226.36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SUM(TABELA22[[#This Row],[T1]:[T7]])</f>
        <v>0</v>
      </c>
      <c r="P185" s="21">
        <f>TABELA22[[#This Row],[QTDE]]*TABELA22[[#This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180.91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SUM(TABELA22[[#This Row],[T1]:[T7]])</f>
        <v>0</v>
      </c>
      <c r="P186" s="21">
        <f>TABELA22[[#This Row],[QTDE]]*TABELA22[[#This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194.55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SUM(TABELA22[[#This Row],[T1]:[T7]])</f>
        <v>0</v>
      </c>
      <c r="P187" s="21">
        <f>TABELA22[[#This Row],[QTDE]]*TABELA22[[#This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135.44999999999999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SUM(TABELA22[[#This Row],[T1]:[T7]])</f>
        <v>0</v>
      </c>
      <c r="P188" s="21">
        <f>TABELA22[[#This Row],[QTDE]]*TABELA22[[#This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135.44999999999999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SUM(TABELA22[[#This Row],[T1]:[T7]])</f>
        <v>0</v>
      </c>
      <c r="P189" s="21">
        <f>TABELA22[[#This Row],[QTDE]]*TABELA22[[#This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194.55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SUM(TABELA22[[#This Row],[T1]:[T7]])</f>
        <v>0</v>
      </c>
      <c r="P190" s="21">
        <f>TABELA22[[#This Row],[QTDE]]*TABELA22[[#This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153.63999999999999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SUM(TABELA22[[#This Row],[T1]:[T7]])</f>
        <v>0</v>
      </c>
      <c r="P191" s="21">
        <f>TABELA22[[#This Row],[QTDE]]*TABELA22[[#This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153.63999999999999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SUM(TABELA22[[#This Row],[T1]:[T7]])</f>
        <v>0</v>
      </c>
      <c r="P192" s="21">
        <f>TABELA22[[#This Row],[QTDE]]*TABELA22[[#This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162.72999999999999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SUM(TABELA22[[#This Row],[T1]:[T7]])</f>
        <v>0</v>
      </c>
      <c r="P193" s="21">
        <f>TABELA22[[#This Row],[QTDE]]*TABELA22[[#This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153.63999999999999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SUM(TABELA22[[#This Row],[T1]:[T7]])</f>
        <v>0</v>
      </c>
      <c r="P194" s="21">
        <f>TABELA22[[#This Row],[QTDE]]*TABELA22[[#This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135.44999999999999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SUM(TABELA22[[#This Row],[T1]:[T7]])</f>
        <v>0</v>
      </c>
      <c r="P195" s="21">
        <f>TABELA22[[#This Row],[QTDE]]*TABELA22[[#This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153.63999999999999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SUM(TABELA22[[#This Row],[T1]:[T7]])</f>
        <v>0</v>
      </c>
      <c r="P196" s="21">
        <f>TABELA22[[#This Row],[QTDE]]*TABELA22[[#This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135.44999999999999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SUM(TABELA22[[#This Row],[T1]:[T7]])</f>
        <v>0</v>
      </c>
      <c r="P197" s="21">
        <f>TABELA22[[#This Row],[QTDE]]*TABELA22[[#This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203.64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SUM(TABELA22[[#This Row],[T1]:[T7]])</f>
        <v>0</v>
      </c>
      <c r="P198" s="21">
        <f>TABELA22[[#This Row],[QTDE]]*TABELA22[[#This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180.91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SUM(TABELA22[[#This Row],[T1]:[T7]])</f>
        <v>0</v>
      </c>
      <c r="P199" s="21">
        <f>TABELA22[[#This Row],[QTDE]]*TABELA22[[#This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226.36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SUM(TABELA22[[#This Row],[T1]:[T7]])</f>
        <v>0</v>
      </c>
      <c r="P200" s="21">
        <f>TABELA22[[#This Row],[QTDE]]*TABELA22[[#This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171.82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SUM(TABELA22[[#This Row],[T1]:[T7]])</f>
        <v>0</v>
      </c>
      <c r="P201" s="21">
        <f>TABELA22[[#This Row],[QTDE]]*TABELA22[[#This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162.72999999999999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SUM(TABELA22[[#This Row],[T1]:[T7]])</f>
        <v>0</v>
      </c>
      <c r="P202" s="21">
        <f>TABELA22[[#This Row],[QTDE]]*TABELA22[[#This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162.72999999999999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SUM(TABELA22[[#This Row],[T1]:[T7]])</f>
        <v>0</v>
      </c>
      <c r="P203" s="21">
        <f>TABELA22[[#This Row],[QTDE]]*TABELA22[[#This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226.36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SUM(TABELA22[[#This Row],[T1]:[T7]])</f>
        <v>0</v>
      </c>
      <c r="P204" s="21">
        <f>TABELA22[[#This Row],[QTDE]]*TABELA22[[#This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153.63999999999999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SUM(TABELA22[[#This Row],[T1]:[T7]])</f>
        <v>0</v>
      </c>
      <c r="P205" s="21">
        <f>TABELA22[[#This Row],[QTDE]]*TABELA22[[#This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153.63999999999999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SUM(TABELA22[[#This Row],[T1]:[T7]])</f>
        <v>0</v>
      </c>
      <c r="P206" s="21">
        <f>TABELA22[[#This Row],[QTDE]]*TABELA22[[#This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153.63999999999999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SUM(TABELA22[[#This Row],[T1]:[T7]])</f>
        <v>0</v>
      </c>
      <c r="P207" s="21">
        <f>TABELA22[[#This Row],[QTDE]]*TABELA22[[#This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194.55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SUM(TABELA22[[#This Row],[T1]:[T7]])</f>
        <v>0</v>
      </c>
      <c r="P208" s="21">
        <f>TABELA22[[#This Row],[QTDE]]*TABELA22[[#This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194.55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SUM(TABELA22[[#This Row],[T1]:[T7]])</f>
        <v>0</v>
      </c>
      <c r="P209" s="21">
        <f>TABELA22[[#This Row],[QTDE]]*TABELA22[[#This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162.72999999999999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SUM(TABELA22[[#This Row],[T1]:[T7]])</f>
        <v>0</v>
      </c>
      <c r="P210" s="21">
        <f>TABELA22[[#This Row],[QTDE]]*TABELA22[[#This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203.64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SUM(TABELA22[[#This Row],[T1]:[T7]])</f>
        <v>0</v>
      </c>
      <c r="P211" s="21">
        <f>TABELA22[[#This Row],[QTDE]]*TABELA22[[#This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226.36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SUM(TABELA22[[#This Row],[T1]:[T7]])</f>
        <v>0</v>
      </c>
      <c r="P212" s="21">
        <f>TABELA22[[#This Row],[QTDE]]*TABELA22[[#This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135.44999999999999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SUM(TABELA22[[#This Row],[T1]:[T7]])</f>
        <v>0</v>
      </c>
      <c r="P213" s="21">
        <f>TABELA22[[#This Row],[QTDE]]*TABELA22[[#This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180.91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SUM(TABELA22[[#This Row],[T1]:[T7]])</f>
        <v>0</v>
      </c>
      <c r="P214" s="21">
        <f>TABELA22[[#This Row],[QTDE]]*TABELA22[[#This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271.82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SUM(TABELA22[[#This Row],[T1]:[T7]])</f>
        <v>0</v>
      </c>
      <c r="P215" s="21">
        <f>TABELA22[[#This Row],[QTDE]]*TABELA22[[#This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135.44999999999999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SUM(TABELA22[[#This Row],[T1]:[T7]])</f>
        <v>0</v>
      </c>
      <c r="P216" s="21">
        <f>TABELA22[[#This Row],[QTDE]]*TABELA22[[#This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135.44999999999999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SUM(TABELA22[[#This Row],[T1]:[T7]])</f>
        <v>0</v>
      </c>
      <c r="P217" s="21">
        <f>TABELA22[[#This Row],[QTDE]]*TABELA22[[#This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217.27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SUM(TABELA22[[#This Row],[T1]:[T7]])</f>
        <v>0</v>
      </c>
      <c r="P218" s="21">
        <f>TABELA22[[#This Row],[QTDE]]*TABELA22[[#This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203.64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SUM(TABELA22[[#This Row],[T1]:[T7]])</f>
        <v>0</v>
      </c>
      <c r="P219" s="21">
        <f>TABELA22[[#This Row],[QTDE]]*TABELA22[[#This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135.44999999999999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SUM(TABELA22[[#This Row],[T1]:[T7]])</f>
        <v>0</v>
      </c>
      <c r="P220" s="21">
        <f>TABELA22[[#This Row],[QTDE]]*TABELA22[[#This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249.09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SUM(TABELA22[[#This Row],[T1]:[T7]])</f>
        <v>0</v>
      </c>
      <c r="P221" s="21">
        <f>TABELA22[[#This Row],[QTDE]]*TABELA22[[#This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271.82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SUM(TABELA22[[#This Row],[T1]:[T7]])</f>
        <v>0</v>
      </c>
      <c r="P222" s="21">
        <f>TABELA22[[#This Row],[QTDE]]*TABELA22[[#This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217.27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SUM(TABELA22[[#This Row],[T1]:[T7]])</f>
        <v>0</v>
      </c>
      <c r="P223" s="21">
        <f>TABELA22[[#This Row],[QTDE]]*TABELA22[[#This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149.09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SUM(TABELA22[[#This Row],[T1]:[T7]])</f>
        <v>0</v>
      </c>
      <c r="P224" s="21">
        <f>TABELA22[[#This Row],[QTDE]]*TABELA22[[#This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158.18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SUM(TABELA22[[#This Row],[T1]:[T7]])</f>
        <v>0</v>
      </c>
      <c r="P225" s="21">
        <f>TABELA22[[#This Row],[QTDE]]*TABELA22[[#This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158.18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SUM(TABELA22[[#This Row],[T1]:[T7]])</f>
        <v>0</v>
      </c>
      <c r="P226" s="21">
        <f>TABELA22[[#This Row],[QTDE]]*TABELA22[[#This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162.72999999999999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SUM(TABELA22[[#This Row],[T1]:[T7]])</f>
        <v>0</v>
      </c>
      <c r="P227" s="21">
        <f>TABELA22[[#This Row],[QTDE]]*TABELA22[[#This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162.72999999999999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SUM(TABELA22[[#This Row],[T1]:[T7]])</f>
        <v>0</v>
      </c>
      <c r="P228" s="21">
        <f>TABELA22[[#This Row],[QTDE]]*TABELA22[[#This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217.27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SUM(TABELA22[[#This Row],[T1]:[T7]])</f>
        <v>0</v>
      </c>
      <c r="P229" s="21">
        <f>TABELA22[[#This Row],[QTDE]]*TABELA22[[#This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226.36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SUM(TABELA22[[#This Row],[T1]:[T7]])</f>
        <v>0</v>
      </c>
      <c r="P230" s="21">
        <f>TABELA22[[#This Row],[QTDE]]*TABELA22[[#This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194.55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SUM(TABELA22[[#This Row],[T1]:[T7]])</f>
        <v>0</v>
      </c>
      <c r="P231" s="21">
        <f>TABELA22[[#This Row],[QTDE]]*TABELA22[[#This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194.55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SUM(TABELA22[[#This Row],[T1]:[T7]])</f>
        <v>0</v>
      </c>
      <c r="P232" s="21">
        <f>TABELA22[[#This Row],[QTDE]]*TABELA22[[#This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208.18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SUM(TABELA22[[#This Row],[T1]:[T7]])</f>
        <v>0</v>
      </c>
      <c r="P233" s="21">
        <f>TABELA22[[#This Row],[QTDE]]*TABELA22[[#This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194.55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SUM(TABELA22[[#This Row],[T1]:[T7]])</f>
        <v>0</v>
      </c>
      <c r="P234" s="21">
        <f>TABELA22[[#This Row],[QTDE]]*TABELA22[[#This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171.82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SUM(TABELA22[[#This Row],[T1]:[T7]])</f>
        <v>0</v>
      </c>
      <c r="P235" s="21">
        <f>TABELA22[[#This Row],[QTDE]]*TABELA22[[#This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171.82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SUM(TABELA22[[#This Row],[T1]:[T7]])</f>
        <v>0</v>
      </c>
      <c r="P236" s="21">
        <f>TABELA22[[#This Row],[QTDE]]*TABELA22[[#This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180.91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SUM(TABELA22[[#This Row],[T1]:[T7]])</f>
        <v>0</v>
      </c>
      <c r="P237" s="21">
        <f>TABELA22[[#This Row],[QTDE]]*TABELA22[[#This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180.91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SUM(TABELA22[[#This Row],[T1]:[T7]])</f>
        <v>0</v>
      </c>
      <c r="P238" s="21">
        <f>TABELA22[[#This Row],[QTDE]]*TABELA22[[#This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226.36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SUM(TABELA22[[#This Row],[T1]:[T7]])</f>
        <v>0</v>
      </c>
      <c r="P239" s="21">
        <f>TABELA22[[#This Row],[QTDE]]*TABELA22[[#This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162.72999999999999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SUM(TABELA22[[#This Row],[T1]:[T7]])</f>
        <v>0</v>
      </c>
      <c r="P240" s="21">
        <f>TABELA22[[#This Row],[QTDE]]*TABELA22[[#This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180.91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SUM(TABELA22[[#This Row],[T1]:[T7]])</f>
        <v>0</v>
      </c>
      <c r="P241" s="21">
        <f>TABELA22[[#This Row],[QTDE]]*TABELA22[[#This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180.91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SUM(TABELA22[[#This Row],[T1]:[T7]])</f>
        <v>0</v>
      </c>
      <c r="P242" s="21">
        <f>TABELA22[[#This Row],[QTDE]]*TABELA22[[#This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330.91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SUM(TABELA22[[#This Row],[T1]:[T7]])</f>
        <v>0</v>
      </c>
      <c r="P243" s="21">
        <f>TABELA22[[#This Row],[QTDE]]*TABELA22[[#This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330.91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SUM(TABELA22[[#This Row],[T1]:[T7]])</f>
        <v>0</v>
      </c>
      <c r="P244" s="21">
        <f>TABELA22[[#This Row],[QTDE]]*TABELA22[[#This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285.45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SUM(TABELA22[[#This Row],[T1]:[T7]])</f>
        <v>0</v>
      </c>
      <c r="P245" s="21">
        <f>TABELA22[[#This Row],[QTDE]]*TABELA22[[#This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285.45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SUM(TABELA22[[#This Row],[T1]:[T7]])</f>
        <v>0</v>
      </c>
      <c r="P246" s="21">
        <f>TABELA22[[#This Row],[QTDE]]*TABELA22[[#This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340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SUM(TABELA22[[#This Row],[T1]:[T7]])</f>
        <v>0</v>
      </c>
      <c r="P247" s="21">
        <f>TABELA22[[#This Row],[QTDE]]*TABELA22[[#This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317.27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SUM(TABELA22[[#This Row],[T1]:[T7]])</f>
        <v>0</v>
      </c>
      <c r="P248" s="21">
        <f>TABELA22[[#This Row],[QTDE]]*TABELA22[[#This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226.36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SUM(TABELA22[[#This Row],[T1]:[T7]])</f>
        <v>0</v>
      </c>
      <c r="P249" s="21">
        <f>TABELA22[[#This Row],[QTDE]]*TABELA22[[#This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208.18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SUM(TABELA22[[#This Row],[T1]:[T7]])</f>
        <v>0</v>
      </c>
      <c r="P250" s="21">
        <f>TABELA22[[#This Row],[QTDE]]*TABELA22[[#This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249.09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SUM(TABELA22[[#This Row],[T1]:[T7]])</f>
        <v>0</v>
      </c>
      <c r="P251" s="21">
        <f>TABELA22[[#This Row],[QTDE]]*TABELA22[[#This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203.64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SUM(TABELA22[[#This Row],[T1]:[T7]])</f>
        <v>0</v>
      </c>
      <c r="P252" s="21">
        <f>TABELA22[[#This Row],[QTDE]]*TABELA22[[#This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203.64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SUM(TABELA22[[#This Row],[T1]:[T7]])</f>
        <v>0</v>
      </c>
      <c r="P253" s="21">
        <f>TABELA22[[#This Row],[QTDE]]*TABELA22[[#This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171.82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SUM(TABELA22[[#This Row],[T1]:[T7]])</f>
        <v>0</v>
      </c>
      <c r="P254" s="21">
        <f>TABELA22[[#This Row],[QTDE]]*TABELA22[[#This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208.18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SUM(TABELA22[[#This Row],[T1]:[T7]])</f>
        <v>0</v>
      </c>
      <c r="P255" s="21">
        <f>TABELA22[[#This Row],[QTDE]]*TABELA22[[#This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271.82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SUM(TABELA22[[#This Row],[T1]:[T7]])</f>
        <v>0</v>
      </c>
      <c r="P256" s="21">
        <f>TABELA22[[#This Row],[QTDE]]*TABELA22[[#This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271.82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SUM(TABELA22[[#This Row],[T1]:[T7]])</f>
        <v>0</v>
      </c>
      <c r="P257" s="21">
        <f>TABELA22[[#This Row],[QTDE]]*TABELA22[[#This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217.27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SUM(TABELA22[[#This Row],[T1]:[T7]])</f>
        <v>0</v>
      </c>
      <c r="P258" s="21">
        <f>TABELA22[[#This Row],[QTDE]]*TABELA22[[#This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317.27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SUM(TABELA22[[#This Row],[T1]:[T7]])</f>
        <v>0</v>
      </c>
      <c r="P259" s="21">
        <f>TABELA22[[#This Row],[QTDE]]*TABELA22[[#This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162.72999999999999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SUM(TABELA22[[#This Row],[T1]:[T7]])</f>
        <v>0</v>
      </c>
      <c r="P260" s="21">
        <f>TABELA22[[#This Row],[QTDE]]*TABELA22[[#This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180.91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SUM(TABELA22[[#This Row],[T1]:[T7]])</f>
        <v>0</v>
      </c>
      <c r="P261" s="21">
        <f>TABELA22[[#This Row],[QTDE]]*TABELA22[[#This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226.36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SUM(TABELA22[[#This Row],[T1]:[T7]])</f>
        <v>0</v>
      </c>
      <c r="P262" s="21">
        <f>TABELA22[[#This Row],[QTDE]]*TABELA22[[#This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194.55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SUM(TABELA22[[#This Row],[T1]:[T7]])</f>
        <v>0</v>
      </c>
      <c r="P263" s="21">
        <f>TABELA22[[#This Row],[QTDE]]*TABELA22[[#This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180.91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SUM(TABELA22[[#This Row],[T1]:[T7]])</f>
        <v>0</v>
      </c>
      <c r="P264" s="21">
        <f>TABELA22[[#This Row],[QTDE]]*TABELA22[[#This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271.82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SUM(TABELA22[[#This Row],[T1]:[T7]])</f>
        <v>0</v>
      </c>
      <c r="P265" s="21">
        <f>TABELA22[[#This Row],[QTDE]]*TABELA22[[#This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203.64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SUM(TABELA22[[#This Row],[T1]:[T7]])</f>
        <v>0</v>
      </c>
      <c r="P266" s="21">
        <f>TABELA22[[#This Row],[QTDE]]*TABELA22[[#This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203.64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SUM(TABELA22[[#This Row],[T1]:[T7]])</f>
        <v>0</v>
      </c>
      <c r="P267" s="21">
        <f>TABELA22[[#This Row],[QTDE]]*TABELA22[[#This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317.27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SUM(TABELA22[[#This Row],[T1]:[T7]])</f>
        <v>0</v>
      </c>
      <c r="P268" s="21">
        <f>TABELA22[[#This Row],[QTDE]]*TABELA22[[#This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317.27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SUM(TABELA22[[#This Row],[T1]:[T7]])</f>
        <v>0</v>
      </c>
      <c r="P269" s="21">
        <f>TABELA22[[#This Row],[QTDE]]*TABELA22[[#This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199.09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SUM(TABELA22[[#This Row],[T1]:[T7]])</f>
        <v>0</v>
      </c>
      <c r="P270" s="21">
        <f>TABELA22[[#This Row],[QTDE]]*TABELA22[[#This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271.82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SUM(TABELA22[[#This Row],[T1]:[T7]])</f>
        <v>0</v>
      </c>
      <c r="P271" s="21">
        <f>TABELA22[[#This Row],[QTDE]]*TABELA22[[#This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317.27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SUM(TABELA22[[#This Row],[T1]:[T7]])</f>
        <v>0</v>
      </c>
      <c r="P272" s="21">
        <f>TABELA22[[#This Row],[QTDE]]*TABELA22[[#This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240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SUM(TABELA22[[#This Row],[T1]:[T7]])</f>
        <v>0</v>
      </c>
      <c r="P273" s="21">
        <f>TABELA22[[#This Row],[QTDE]]*TABELA22[[#This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240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SUM(TABELA22[[#This Row],[T1]:[T7]])</f>
        <v>0</v>
      </c>
      <c r="P274" s="21">
        <f>TABELA22[[#This Row],[QTDE]]*TABELA22[[#This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226.36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SUM(TABELA22[[#This Row],[T1]:[T7]])</f>
        <v>0</v>
      </c>
      <c r="P275" s="21">
        <f>TABELA22[[#This Row],[QTDE]]*TABELA22[[#This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271.82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SUM(TABELA22[[#This Row],[T1]:[T7]])</f>
        <v>0</v>
      </c>
      <c r="P276" s="21">
        <f>TABELA22[[#This Row],[QTDE]]*TABELA22[[#This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249.09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SUM(TABELA22[[#This Row],[T1]:[T7]])</f>
        <v>0</v>
      </c>
      <c r="P277" s="21">
        <f>TABELA22[[#This Row],[QTDE]]*TABELA22[[#This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194.55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SUM(TABELA22[[#This Row],[T1]:[T7]])</f>
        <v>0</v>
      </c>
      <c r="P278" s="21">
        <f>TABELA22[[#This Row],[QTDE]]*TABELA22[[#This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226.36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SUM(TABELA22[[#This Row],[T1]:[T7]])</f>
        <v>0</v>
      </c>
      <c r="P279" s="21">
        <f>TABELA22[[#This Row],[QTDE]]*TABELA22[[#This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226.36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SUM(TABELA22[[#This Row],[T1]:[T7]])</f>
        <v>0</v>
      </c>
      <c r="P280" s="21">
        <f>TABELA22[[#This Row],[QTDE]]*TABELA22[[#This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240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SUM(TABELA22[[#This Row],[T1]:[T7]])</f>
        <v>0</v>
      </c>
      <c r="P281" s="21">
        <f>TABELA22[[#This Row],[QTDE]]*TABELA22[[#This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249.09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SUM(TABELA22[[#This Row],[T1]:[T7]])</f>
        <v>0</v>
      </c>
      <c r="P282" s="21">
        <f>TABELA22[[#This Row],[QTDE]]*TABELA22[[#This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340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SUM(TABELA22[[#This Row],[T1]:[T7]])</f>
        <v>0</v>
      </c>
      <c r="P283" s="21">
        <f>TABELA22[[#This Row],[QTDE]]*TABELA22[[#This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180.91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SUM(TABELA22[[#This Row],[T1]:[T7]])</f>
        <v>0</v>
      </c>
      <c r="P284" s="21">
        <f>TABELA22[[#This Row],[QTDE]]*TABELA22[[#This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203.64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SUM(TABELA22[[#This Row],[T1]:[T7]])</f>
        <v>0</v>
      </c>
      <c r="P285" s="21">
        <f>TABELA22[[#This Row],[QTDE]]*TABELA22[[#This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171.82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SUM(TABELA22[[#This Row],[T1]:[T7]])</f>
        <v>0</v>
      </c>
      <c r="P286" s="21">
        <f>TABELA22[[#This Row],[QTDE]]*TABELA22[[#This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162.72999999999999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SUM(TABELA22[[#This Row],[T1]:[T7]])</f>
        <v>0</v>
      </c>
      <c r="P287" s="21">
        <f>TABELA22[[#This Row],[QTDE]]*TABELA22[[#This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135.44999999999999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SUM(TABELA22[[#This Row],[T1]:[T7]])</f>
        <v>0</v>
      </c>
      <c r="P288" s="21">
        <f>TABELA22[[#This Row],[QTDE]]*TABELA22[[#This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153.63999999999999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SUM(TABELA22[[#This Row],[T1]:[T7]])</f>
        <v>0</v>
      </c>
      <c r="P289" s="21">
        <f>TABELA22[[#This Row],[QTDE]]*TABELA22[[#This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153.63999999999999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SUM(TABELA22[[#This Row],[T1]:[T7]])</f>
        <v>0</v>
      </c>
      <c r="P290" s="21">
        <f>TABELA22[[#This Row],[QTDE]]*TABELA22[[#This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171.82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SUM(TABELA22[[#This Row],[T1]:[T7]])</f>
        <v>0</v>
      </c>
      <c r="P291" s="21">
        <f>TABELA22[[#This Row],[QTDE]]*TABELA22[[#This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171.82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SUM(TABELA22[[#This Row],[T1]:[T7]])</f>
        <v>0</v>
      </c>
      <c r="P292" s="21">
        <f>TABELA22[[#This Row],[QTDE]]*TABELA22[[#This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171.82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SUM(TABELA22[[#This Row],[T1]:[T7]])</f>
        <v>0</v>
      </c>
      <c r="P293" s="21">
        <f>TABELA22[[#This Row],[QTDE]]*TABELA22[[#This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180.91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SUM(TABELA22[[#This Row],[T1]:[T7]])</f>
        <v>0</v>
      </c>
      <c r="P294" s="21">
        <f>TABELA22[[#This Row],[QTDE]]*TABELA22[[#This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153.63999999999999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SUM(TABELA22[[#This Row],[T1]:[T7]])</f>
        <v>0</v>
      </c>
      <c r="P295" s="21">
        <f>TABELA22[[#This Row],[QTDE]]*TABELA22[[#This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153.63999999999999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SUM(TABELA22[[#This Row],[T1]:[T7]])</f>
        <v>0</v>
      </c>
      <c r="P296" s="21">
        <f>TABELA22[[#This Row],[QTDE]]*TABELA22[[#This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135.44999999999999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SUM(TABELA22[[#This Row],[T1]:[T7]])</f>
        <v>0</v>
      </c>
      <c r="P297" s="21">
        <f>TABELA22[[#This Row],[QTDE]]*TABELA22[[#This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135.44999999999999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SUM(TABELA22[[#This Row],[T1]:[T7]])</f>
        <v>0</v>
      </c>
      <c r="P298" s="21">
        <f>TABELA22[[#This Row],[QTDE]]*TABELA22[[#This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226.36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SUM(TABELA22[[#This Row],[T1]:[T7]])</f>
        <v>0</v>
      </c>
      <c r="P299" s="21">
        <f>TABELA22[[#This Row],[QTDE]]*TABELA22[[#This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194.55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SUM(TABELA22[[#This Row],[T1]:[T7]])</f>
        <v>0</v>
      </c>
      <c r="P300" s="21">
        <f>TABELA22[[#This Row],[QTDE]]*TABELA22[[#This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240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SUM(TABELA22[[#This Row],[T1]:[T7]])</f>
        <v>0</v>
      </c>
      <c r="P301" s="21">
        <f>TABELA22[[#This Row],[QTDE]]*TABELA22[[#This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294.55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SUM(TABELA22[[#This Row],[T1]:[T7]])</f>
        <v>0</v>
      </c>
      <c r="P302" s="21">
        <f>TABELA22[[#This Row],[QTDE]]*TABELA22[[#This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203.64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SUM(TABELA22[[#This Row],[T1]:[T7]])</f>
        <v>0</v>
      </c>
      <c r="P303" s="21">
        <f>TABELA22[[#This Row],[QTDE]]*TABELA22[[#This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340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SUM(TABELA22[[#This Row],[T1]:[T7]])</f>
        <v>0</v>
      </c>
      <c r="P304" s="21">
        <f>TABELA22[[#This Row],[QTDE]]*TABELA22[[#This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194.55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SUM(TABELA22[[#This Row],[T1]:[T7]])</f>
        <v>0</v>
      </c>
      <c r="P305" s="21">
        <f>TABELA22[[#This Row],[QTDE]]*TABELA22[[#This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162.72999999999999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SUM(TABELA22[[#This Row],[T1]:[T7]])</f>
        <v>0</v>
      </c>
      <c r="P306" s="21">
        <f>TABELA22[[#This Row],[QTDE]]*TABELA22[[#This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317.27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SUM(TABELA22[[#This Row],[T1]:[T7]])</f>
        <v>0</v>
      </c>
      <c r="P307" s="21">
        <f>TABELA22[[#This Row],[QTDE]]*TABELA22[[#This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317.27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SUM(TABELA22[[#This Row],[T1]:[T7]])</f>
        <v>0</v>
      </c>
      <c r="P308" s="21">
        <f>TABELA22[[#This Row],[QTDE]]*TABELA22[[#This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317.27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SUM(TABELA22[[#This Row],[T1]:[T7]])</f>
        <v>0</v>
      </c>
      <c r="P309" s="21">
        <f>TABELA22[[#This Row],[QTDE]]*TABELA22[[#This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362.73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SUM(TABELA22[[#This Row],[T1]:[T7]])</f>
        <v>0</v>
      </c>
      <c r="P310" s="21">
        <f>TABELA22[[#This Row],[QTDE]]*TABELA22[[#This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271.82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SUM(TABELA22[[#This Row],[T1]:[T7]])</f>
        <v>0</v>
      </c>
      <c r="P311" s="21">
        <f>TABELA22[[#This Row],[QTDE]]*TABELA22[[#This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203.64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SUM(TABELA22[[#This Row],[T1]:[T7]])</f>
        <v>0</v>
      </c>
      <c r="P312" s="21">
        <f>TABELA22[[#This Row],[QTDE]]*TABELA22[[#This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226.36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SUM(TABELA22[[#This Row],[T1]:[T7]])</f>
        <v>0</v>
      </c>
      <c r="P313" s="21">
        <f>TABELA22[[#This Row],[QTDE]]*TABELA22[[#This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226.36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SUM(TABELA22[[#This Row],[T1]:[T7]])</f>
        <v>0</v>
      </c>
      <c r="P314" s="21">
        <f>TABELA22[[#This Row],[QTDE]]*TABELA22[[#This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226.36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SUM(TABELA22[[#This Row],[T1]:[T7]])</f>
        <v>0</v>
      </c>
      <c r="P315" s="21">
        <f>TABELA22[[#This Row],[QTDE]]*TABELA22[[#This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153.63999999999999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SUM(TABELA22[[#This Row],[T1]:[T7]])</f>
        <v>0</v>
      </c>
      <c r="P316" s="21">
        <f>TABELA22[[#This Row],[QTDE]]*TABELA22[[#This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217.27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SUM(TABELA22[[#This Row],[T1]:[T7]])</f>
        <v>0</v>
      </c>
      <c r="P317" s="21">
        <f>TABELA22[[#This Row],[QTDE]]*TABELA22[[#This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194.55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SUM(TABELA22[[#This Row],[T1]:[T7]])</f>
        <v>0</v>
      </c>
      <c r="P318" s="21">
        <f>TABELA22[[#This Row],[QTDE]]*TABELA22[[#This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135.44999999999999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SUM(TABELA22[[#This Row],[T1]:[T7]])</f>
        <v>0</v>
      </c>
      <c r="P319" s="21">
        <f>TABELA22[[#This Row],[QTDE]]*TABELA22[[#This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249.09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SUM(TABELA22[[#This Row],[T1]:[T7]])</f>
        <v>0</v>
      </c>
      <c r="P320" s="21">
        <f>TABELA22[[#This Row],[QTDE]]*TABELA22[[#This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203.64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SUM(TABELA22[[#This Row],[T1]:[T7]])</f>
        <v>0</v>
      </c>
      <c r="P321" s="21">
        <f>TABELA22[[#This Row],[QTDE]]*TABELA22[[#This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194.55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SUM(TABELA22[[#This Row],[T1]:[T7]])</f>
        <v>0</v>
      </c>
      <c r="P322" s="21">
        <f>TABELA22[[#This Row],[QTDE]]*TABELA22[[#This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362.73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SUM(TABELA22[[#This Row],[T1]:[T7]])</f>
        <v>0</v>
      </c>
      <c r="P323" s="21">
        <f>TABELA22[[#This Row],[QTDE]]*TABELA22[[#This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294.55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SUM(TABELA22[[#This Row],[T1]:[T7]])</f>
        <v>0</v>
      </c>
      <c r="P324" s="21">
        <f>TABELA22[[#This Row],[QTDE]]*TABELA22[[#This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317.27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SUM(TABELA22[[#This Row],[T1]:[T7]])</f>
        <v>0</v>
      </c>
      <c r="P325" s="21">
        <f>TABELA22[[#This Row],[QTDE]]*TABELA22[[#This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203.64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SUM(TABELA22[[#This Row],[T1]:[T7]])</f>
        <v>0</v>
      </c>
      <c r="P326" s="21">
        <f>TABELA22[[#This Row],[QTDE]]*TABELA22[[#This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271.82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SUM(TABELA22[[#This Row],[T1]:[T7]])</f>
        <v>0</v>
      </c>
      <c r="P327" s="21">
        <f>TABELA22[[#This Row],[QTDE]]*TABELA22[[#This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271.82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SUM(TABELA22[[#This Row],[T1]:[T7]])</f>
        <v>0</v>
      </c>
      <c r="P328" s="21">
        <f>TABELA22[[#This Row],[QTDE]]*TABELA22[[#This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203.64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SUM(TABELA22[[#This Row],[T1]:[T7]])</f>
        <v>0</v>
      </c>
      <c r="P329" s="21">
        <f>TABELA22[[#This Row],[QTDE]]*TABELA22[[#This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194.55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SUM(TABELA22[[#This Row],[T1]:[T7]])</f>
        <v>0</v>
      </c>
      <c r="P330" s="21">
        <f>TABELA22[[#This Row],[QTDE]]*TABELA22[[#This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171.82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SUM(TABELA22[[#This Row],[T1]:[T7]])</f>
        <v>0</v>
      </c>
      <c r="P331" s="21">
        <f>TABELA22[[#This Row],[QTDE]]*TABELA22[[#This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271.82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SUM(TABELA22[[#This Row],[T1]:[T7]])</f>
        <v>0</v>
      </c>
      <c r="P332" s="21">
        <f>TABELA22[[#This Row],[QTDE]]*TABELA22[[#This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203.64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SUM(TABELA22[[#This Row],[T1]:[T7]])</f>
        <v>0</v>
      </c>
      <c r="P333" s="21">
        <f>TABELA22[[#This Row],[QTDE]]*TABELA22[[#This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203.64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SUM(TABELA22[[#This Row],[T1]:[T7]])</f>
        <v>0</v>
      </c>
      <c r="P334" s="21">
        <f>TABELA22[[#This Row],[QTDE]]*TABELA22[[#This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171.82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SUM(TABELA22[[#This Row],[T1]:[T7]])</f>
        <v>0</v>
      </c>
      <c r="P335" s="21">
        <f>TABELA22[[#This Row],[QTDE]]*TABELA22[[#This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226.36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SUM(TABELA22[[#This Row],[T1]:[T7]])</f>
        <v>0</v>
      </c>
      <c r="P336" s="21">
        <f>TABELA22[[#This Row],[QTDE]]*TABELA22[[#This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226.36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SUM(TABELA22[[#This Row],[T1]:[T7]])</f>
        <v>0</v>
      </c>
      <c r="P337" s="21">
        <f>TABELA22[[#This Row],[QTDE]]*TABELA22[[#This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249.09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SUM(TABELA22[[#This Row],[T1]:[T7]])</f>
        <v>0</v>
      </c>
      <c r="P338" s="21">
        <f>TABELA22[[#This Row],[QTDE]]*TABELA22[[#This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340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SUM(TABELA22[[#This Row],[T1]:[T7]])</f>
        <v>0</v>
      </c>
      <c r="P339" s="21">
        <f>TABELA22[[#This Row],[QTDE]]*TABELA22[[#This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362.73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SUM(TABELA22[[#This Row],[T1]:[T7]])</f>
        <v>0</v>
      </c>
      <c r="P340" s="45">
        <f>TABELA22[[#This Row],[QTDE]]*TABELA22[[#This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226.36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SUM(TABELA22[[#This Row],[T1]:[T7]])</f>
        <v>0</v>
      </c>
      <c r="P341" s="46">
        <f>TABELA22[[#This Row],[QTDE]]*TABELA22[[#This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194.55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SUM(TABELA22[[#This Row],[T1]:[T7]])</f>
        <v>0</v>
      </c>
      <c r="P342" s="46">
        <f>TABELA22[[#This Row],[QTDE]]*TABELA22[[#This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126.36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SUM(TABELA22[[#This Row],[T1]:[T7]])</f>
        <v>0</v>
      </c>
      <c r="P343" s="46">
        <f>TABELA22[[#This Row],[QTDE]]*TABELA22[[#This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135.44999999999999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SUM(TABELA22[[#This Row],[T1]:[T7]])</f>
        <v>0</v>
      </c>
      <c r="P344" s="46">
        <f>TABELA22[[#This Row],[QTDE]]*TABELA22[[#This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226.36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SUM(TABELA22[[#This Row],[T1]:[T7]])</f>
        <v>0</v>
      </c>
      <c r="P345" s="46">
        <f>TABELA22[[#This Row],[QTDE]]*TABELA22[[#This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271.82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SUM(TABELA22[[#This Row],[T1]:[T7]])</f>
        <v>0</v>
      </c>
      <c r="P346" s="46">
        <f>TABELA22[[#This Row],[QTDE]]*TABELA22[[#This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226.36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SUM(TABELA22[[#This Row],[T1]:[T7]])</f>
        <v>0</v>
      </c>
      <c r="P347" s="46">
        <f>TABELA22[[#This Row],[QTDE]]*TABELA22[[#This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226.36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SUM(TABELA22[[#This Row],[T1]:[T7]])</f>
        <v>0</v>
      </c>
      <c r="P348" s="46">
        <f>TABELA22[[#This Row],[QTDE]]*TABELA22[[#This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226.36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SUM(TABELA22[[#This Row],[T1]:[T7]])</f>
        <v>0</v>
      </c>
      <c r="P349" s="46">
        <f>TABELA22[[#This Row],[QTDE]]*TABELA22[[#This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162.72999999999999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SUM(TABELA22[[#This Row],[T1]:[T7]])</f>
        <v>0</v>
      </c>
      <c r="P350" s="46">
        <f>TABELA22[[#This Row],[QTDE]]*TABELA22[[#This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162.72999999999999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SUM(TABELA22[[#This Row],[T1]:[T7]])</f>
        <v>0</v>
      </c>
      <c r="P351" s="46">
        <f>TABELA22[[#This Row],[QTDE]]*TABELA22[[#This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162.72999999999999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SUM(TABELA22[[#This Row],[T1]:[T7]])</f>
        <v>0</v>
      </c>
      <c r="P352" s="46">
        <f>TABELA22[[#This Row],[QTDE]]*TABELA22[[#This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162.72999999999999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SUM(TABELA22[[#This Row],[T1]:[T7]])</f>
        <v>0</v>
      </c>
      <c r="P353" s="46">
        <f>TABELA22[[#This Row],[QTDE]]*TABELA22[[#This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317.27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SUM(TABELA22[[#This Row],[T1]:[T7]])</f>
        <v>0</v>
      </c>
      <c r="P354" s="46">
        <f>TABELA22[[#This Row],[QTDE]]*TABELA22[[#This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317.27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SUM(TABELA22[[#This Row],[T1]:[T7]])</f>
        <v>0</v>
      </c>
      <c r="P355" s="46">
        <f>TABELA22[[#This Row],[QTDE]]*TABELA22[[#This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271.82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SUM(TABELA22[[#This Row],[T1]:[T7]])</f>
        <v>0</v>
      </c>
      <c r="P356" s="46">
        <f>TABELA22[[#This Row],[QTDE]]*TABELA22[[#This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271.82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SUM(TABELA22[[#This Row],[T1]:[T7]])</f>
        <v>0</v>
      </c>
      <c r="P357" s="46">
        <f>TABELA22[[#This Row],[QTDE]]*TABELA22[[#This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249.09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SUM(TABELA22[[#This Row],[T1]:[T7]])</f>
        <v>0</v>
      </c>
      <c r="P358" s="46">
        <f>TABELA22[[#This Row],[QTDE]]*TABELA22[[#This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240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SUM(TABELA22[[#This Row],[T1]:[T7]])</f>
        <v>0</v>
      </c>
      <c r="P359" s="46">
        <f>TABELA22[[#This Row],[QTDE]]*TABELA22[[#This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249.09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SUM(TABELA22[[#This Row],[T1]:[T7]])</f>
        <v>0</v>
      </c>
      <c r="P360" s="46">
        <f>TABELA22[[#This Row],[QTDE]]*TABELA22[[#This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121.82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SUM(TABELA22[[#This Row],[T1]:[T7]])</f>
        <v>0</v>
      </c>
      <c r="P361" s="46">
        <f>TABELA22[[#This Row],[QTDE]]*TABELA22[[#This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121.82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SUM(TABELA22[[#This Row],[T1]:[T7]])</f>
        <v>0</v>
      </c>
      <c r="P362" s="46">
        <f>TABELA22[[#This Row],[QTDE]]*TABELA22[[#This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121.82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SUM(TABELA22[[#This Row],[T1]:[T7]])</f>
        <v>0</v>
      </c>
      <c r="P363" s="46">
        <f>TABELA22[[#This Row],[QTDE]]*TABELA22[[#This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135.44999999999999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SUM(TABELA22[[#This Row],[T1]:[T7]])</f>
        <v>0</v>
      </c>
      <c r="P364" s="46">
        <f>TABELA22[[#This Row],[QTDE]]*TABELA22[[#This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158.18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SUM(TABELA22[[#This Row],[T1]:[T7]])</f>
        <v>0</v>
      </c>
      <c r="P365" s="46">
        <f>TABELA22[[#This Row],[QTDE]]*TABELA22[[#This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103.64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SUM(TABELA22[[#This Row],[T1]:[T7]])</f>
        <v>0</v>
      </c>
      <c r="P366" s="46">
        <f>TABELA22[[#This Row],[QTDE]]*TABELA22[[#This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103.64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SUM(TABELA22[[#This Row],[T1]:[T7]])</f>
        <v>0</v>
      </c>
      <c r="P367" s="46">
        <f>TABELA22[[#This Row],[QTDE]]*TABELA22[[#This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108.18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SUM(TABELA22[[#This Row],[T1]:[T7]])</f>
        <v>0</v>
      </c>
      <c r="P368" s="46">
        <f>TABELA22[[#This Row],[QTDE]]*TABELA22[[#This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112.73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SUM(TABELA22[[#This Row],[T1]:[T7]])</f>
        <v>0</v>
      </c>
      <c r="P369" s="46">
        <f>TABELA22[[#This Row],[QTDE]]*TABELA22[[#This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108.18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SUM(TABELA22[[#This Row],[T1]:[T7]])</f>
        <v>0</v>
      </c>
      <c r="P370" s="46">
        <f>TABELA22[[#This Row],[QTDE]]*TABELA22[[#This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90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SUM(TABELA22[[#This Row],[T1]:[T7]])</f>
        <v>0</v>
      </c>
      <c r="P371" s="46">
        <f>TABELA22[[#This Row],[QTDE]]*TABELA22[[#This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103.64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SUM(TABELA22[[#This Row],[T1]:[T7]])</f>
        <v>0</v>
      </c>
      <c r="P372" s="46">
        <f>TABELA22[[#This Row],[QTDE]]*TABELA22[[#This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112.73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SUM(TABELA22[[#This Row],[T1]:[T7]])</f>
        <v>0</v>
      </c>
      <c r="P373" s="46">
        <f>TABELA22[[#This Row],[QTDE]]*TABELA22[[#This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76.36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SUM(TABELA22[[#This Row],[T1]:[T7]])</f>
        <v>0</v>
      </c>
      <c r="P374" s="46">
        <f>TABELA22[[#This Row],[QTDE]]*TABELA22[[#This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76.36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SUM(TABELA22[[#This Row],[T1]:[T7]])</f>
        <v>0</v>
      </c>
      <c r="P375" s="46">
        <f>TABELA22[[#This Row],[QTDE]]*TABELA22[[#This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80.91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SUM(TABELA22[[#This Row],[T1]:[T7]])</f>
        <v>0</v>
      </c>
      <c r="P376" s="46">
        <f>TABELA22[[#This Row],[QTDE]]*TABELA22[[#This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80.91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SUM(TABELA22[[#This Row],[T1]:[T7]])</f>
        <v>0</v>
      </c>
      <c r="P377" s="46">
        <f>TABELA22[[#This Row],[QTDE]]*TABELA22[[#This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80.91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SUM(TABELA22[[#This Row],[T1]:[T7]])</f>
        <v>0</v>
      </c>
      <c r="P378" s="46">
        <f>TABELA22[[#This Row],[QTDE]]*TABELA22[[#This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80.91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SUM(TABELA22[[#This Row],[T1]:[T7]])</f>
        <v>0</v>
      </c>
      <c r="P379" s="46">
        <f>TABELA22[[#This Row],[QTDE]]*TABELA22[[#This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180.91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SUM(TABELA22[[#This Row],[T1]:[T7]])</f>
        <v>0</v>
      </c>
      <c r="P380" s="46">
        <f>TABELA22[[#This Row],[QTDE]]*TABELA22[[#This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171.82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SUM(TABELA22[[#This Row],[T1]:[T7]])</f>
        <v>0</v>
      </c>
      <c r="P381" s="46">
        <f>TABELA22[[#This Row],[QTDE]]*TABELA22[[#This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171.82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SUM(TABELA22[[#This Row],[T1]:[T7]])</f>
        <v>0</v>
      </c>
      <c r="P382" s="46">
        <f>TABELA22[[#This Row],[QTDE]]*TABELA22[[#This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212.73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SUM(TABELA22[[#This Row],[T1]:[T7]])</f>
        <v>0</v>
      </c>
      <c r="P383" s="46">
        <f>TABELA22[[#This Row],[QTDE]]*TABELA22[[#This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171.82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SUM(TABELA22[[#This Row],[T1]:[T7]])</f>
        <v>0</v>
      </c>
      <c r="P384" s="46">
        <f>TABELA22[[#This Row],[QTDE]]*TABELA22[[#This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171.82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SUM(TABELA22[[#This Row],[T1]:[T7]])</f>
        <v>0</v>
      </c>
      <c r="P385" s="46">
        <f>TABELA22[[#This Row],[QTDE]]*TABELA22[[#This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135.44999999999999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SUM(TABELA22[[#This Row],[T1]:[T7]])</f>
        <v>0</v>
      </c>
      <c r="P386" s="46">
        <f>TABELA22[[#This Row],[QTDE]]*TABELA22[[#This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249.09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SUM(TABELA22[[#This Row],[T1]:[T7]])</f>
        <v>0</v>
      </c>
      <c r="P387" s="46">
        <f>TABELA22[[#This Row],[QTDE]]*TABELA22[[#This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167.27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SUM(TABELA22[[#This Row],[T1]:[T7]])</f>
        <v>0</v>
      </c>
      <c r="P388" s="46">
        <f>TABELA22[[#This Row],[QTDE]]*TABELA22[[#This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167.27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SUM(TABELA22[[#This Row],[T1]:[T7]])</f>
        <v>0</v>
      </c>
      <c r="P389" s="46">
        <f>TABELA22[[#This Row],[QTDE]]*TABELA22[[#This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180.91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SUM(TABELA22[[#This Row],[T1]:[T7]])</f>
        <v>0</v>
      </c>
      <c r="P390" s="46">
        <f>TABELA22[[#This Row],[QTDE]]*TABELA22[[#This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149.09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SUM(TABELA22[[#This Row],[T1]:[T7]])</f>
        <v>0</v>
      </c>
      <c r="P391" s="46">
        <f>TABELA22[[#This Row],[QTDE]]*TABELA22[[#This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135.44999999999999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SUM(TABELA22[[#This Row],[T1]:[T7]])</f>
        <v>0</v>
      </c>
      <c r="P392" s="46">
        <f>TABELA22[[#This Row],[QTDE]]*TABELA22[[#This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121.82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SUM(TABELA22[[#This Row],[T1]:[T7]])</f>
        <v>0</v>
      </c>
      <c r="P393" s="46">
        <f>TABELA22[[#This Row],[QTDE]]*TABELA22[[#This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167.27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SUM(TABELA22[[#This Row],[T1]:[T7]])</f>
        <v>0</v>
      </c>
      <c r="P394" s="46">
        <f>TABELA22[[#This Row],[QTDE]]*TABELA22[[#This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226.36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SUM(TABELA22[[#This Row],[T1]:[T7]])</f>
        <v>0</v>
      </c>
      <c r="P395" s="46">
        <f>TABELA22[[#This Row],[QTDE]]*TABELA22[[#This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149.09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SUM(TABELA22[[#This Row],[T1]:[T7]])</f>
        <v>0</v>
      </c>
      <c r="P396" s="46">
        <f>TABELA22[[#This Row],[QTDE]]*TABELA22[[#This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167.27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SUM(TABELA22[[#This Row],[T1]:[T7]])</f>
        <v>0</v>
      </c>
      <c r="P397" s="46">
        <f>TABELA22[[#This Row],[QTDE]]*TABELA22[[#This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167.27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SUM(TABELA22[[#This Row],[T1]:[T7]])</f>
        <v>0</v>
      </c>
      <c r="P398" s="46">
        <f>TABELA22[[#This Row],[QTDE]]*TABELA22[[#This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80.91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SUM(TABELA22[[#This Row],[T1]:[T7]])</f>
        <v>0</v>
      </c>
      <c r="P399" s="46">
        <f>TABELA22[[#This Row],[QTDE]]*TABELA22[[#This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80.91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SUM(TABELA22[[#This Row],[T1]:[T7]])</f>
        <v>0</v>
      </c>
      <c r="P400" s="46">
        <f>TABELA22[[#This Row],[QTDE]]*TABELA22[[#This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76.36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SUM(TABELA22[[#This Row],[T1]:[T7]])</f>
        <v>0</v>
      </c>
      <c r="P401" s="46">
        <f>TABELA22[[#This Row],[QTDE]]*TABELA22[[#This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76.36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SUM(TABELA22[[#This Row],[T1]:[T7]])</f>
        <v>0</v>
      </c>
      <c r="P402" s="46">
        <f>TABELA22[[#This Row],[QTDE]]*TABELA22[[#This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76.36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SUM(TABELA22[[#This Row],[T1]:[T7]])</f>
        <v>0</v>
      </c>
      <c r="P403" s="46">
        <f>TABELA22[[#This Row],[QTDE]]*TABELA22[[#This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76.36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SUM(TABELA22[[#This Row],[T1]:[T7]])</f>
        <v>0</v>
      </c>
      <c r="P404" s="46">
        <f>TABELA22[[#This Row],[QTDE]]*TABELA22[[#This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76.36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SUM(TABELA22[[#This Row],[T1]:[T7]])</f>
        <v>0</v>
      </c>
      <c r="P405" s="46">
        <f>TABELA22[[#This Row],[QTDE]]*TABELA22[[#This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76.36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SUM(TABELA22[[#This Row],[T1]:[T7]])</f>
        <v>0</v>
      </c>
      <c r="P406" s="46">
        <f>TABELA22[[#This Row],[QTDE]]*TABELA22[[#This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80.91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SUM(TABELA22[[#This Row],[T1]:[T7]])</f>
        <v>0</v>
      </c>
      <c r="P407" s="46">
        <f>TABELA22[[#This Row],[QTDE]]*TABELA22[[#This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80.91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SUM(TABELA22[[#This Row],[T1]:[T7]])</f>
        <v>0</v>
      </c>
      <c r="P408" s="46">
        <f>TABELA22[[#This Row],[QTDE]]*TABELA22[[#This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76.36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SUM(TABELA22[[#This Row],[T1]:[T7]])</f>
        <v>0</v>
      </c>
      <c r="P409" s="46">
        <f>TABELA22[[#This Row],[QTDE]]*TABELA22[[#This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76.36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SUM(TABELA22[[#This Row],[T1]:[T7]])</f>
        <v>0</v>
      </c>
      <c r="P410" s="46">
        <f>TABELA22[[#This Row],[QTDE]]*TABELA22[[#This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76.36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SUM(TABELA22[[#This Row],[T1]:[T7]])</f>
        <v>0</v>
      </c>
      <c r="P411" s="46">
        <f>TABELA22[[#This Row],[QTDE]]*TABELA22[[#This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226.36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SUM(TABELA22[[#This Row],[T1]:[T7]])</f>
        <v>0</v>
      </c>
      <c r="P412" s="46">
        <f>TABELA22[[#This Row],[QTDE]]*TABELA22[[#This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103.64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SUM(TABELA22[[#This Row],[T1]:[T7]])</f>
        <v>0</v>
      </c>
      <c r="P413" s="46">
        <f>TABELA22[[#This Row],[QTDE]]*TABELA22[[#This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103.64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SUM(TABELA22[[#This Row],[T1]:[T7]])</f>
        <v>0</v>
      </c>
      <c r="P414" s="46">
        <f>TABELA22[[#This Row],[QTDE]]*TABELA22[[#This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103.64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SUM(TABELA22[[#This Row],[T1]:[T7]])</f>
        <v>0</v>
      </c>
      <c r="P415" s="46">
        <f>TABELA22[[#This Row],[QTDE]]*TABELA22[[#This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103.64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SUM(TABELA22[[#This Row],[T1]:[T7]])</f>
        <v>0</v>
      </c>
      <c r="P416" s="46">
        <f>TABELA22[[#This Row],[QTDE]]*TABELA22[[#This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71.819999999999993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SUM(TABELA22[[#This Row],[T1]:[T7]])</f>
        <v>0</v>
      </c>
      <c r="P417" s="46">
        <f>TABELA22[[#This Row],[QTDE]]*TABELA22[[#This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67.27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SUM(TABELA22[[#This Row],[T1]:[T7]])</f>
        <v>0</v>
      </c>
      <c r="P418" s="46">
        <f>TABELA22[[#This Row],[QTDE]]*TABELA22[[#This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126.36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SUM(TABELA22[[#This Row],[T1]:[T7]])</f>
        <v>0</v>
      </c>
      <c r="P419" s="46">
        <f>TABELA22[[#This Row],[QTDE]]*TABELA22[[#This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44.55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SUM(TABELA22[[#This Row],[T1]:[T7]])</f>
        <v>0</v>
      </c>
      <c r="P420" s="46">
        <f>TABELA22[[#This Row],[QTDE]]*TABELA22[[#This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71.819999999999993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SUM(TABELA22[[#This Row],[T1]:[T7]])</f>
        <v>0</v>
      </c>
      <c r="P421" s="46">
        <f>TABELA22[[#This Row],[QTDE]]*TABELA22[[#This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71.819999999999993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SUM(TABELA22[[#This Row],[T1]:[T7]])</f>
        <v>0</v>
      </c>
      <c r="P422" s="46">
        <f>TABELA22[[#This Row],[QTDE]]*TABELA22[[#This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71.819999999999993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SUM(TABELA22[[#This Row],[T1]:[T7]])</f>
        <v>0</v>
      </c>
      <c r="P423" s="46">
        <f>TABELA22[[#This Row],[QTDE]]*TABELA22[[#This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80.91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SUM(TABELA22[[#This Row],[T1]:[T7]])</f>
        <v>0</v>
      </c>
      <c r="P424" s="46">
        <f>TABELA22[[#This Row],[QTDE]]*TABELA22[[#This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80.91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SUM(TABELA22[[#This Row],[T1]:[T7]])</f>
        <v>0</v>
      </c>
      <c r="P425" s="46">
        <f>TABELA22[[#This Row],[QTDE]]*TABELA22[[#This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103.64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SUM(TABELA22[[#This Row],[T1]:[T7]])</f>
        <v>0</v>
      </c>
      <c r="P426" s="46">
        <f>TABELA22[[#This Row],[QTDE]]*TABELA22[[#This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103.64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SUM(TABELA22[[#This Row],[T1]:[T7]])</f>
        <v>0</v>
      </c>
      <c r="P427" s="46">
        <f>TABELA22[[#This Row],[QTDE]]*TABELA22[[#This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108.18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SUM(TABELA22[[#This Row],[T1]:[T7]])</f>
        <v>0</v>
      </c>
      <c r="P428" s="46">
        <f>TABELA22[[#This Row],[QTDE]]*TABELA22[[#This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108.18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SUM(TABELA22[[#This Row],[T1]:[T7]])</f>
        <v>0</v>
      </c>
      <c r="P429" s="46">
        <f>TABELA22[[#This Row],[QTDE]]*TABELA22[[#This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121.82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SUM(TABELA22[[#This Row],[T1]:[T7]])</f>
        <v>0</v>
      </c>
      <c r="P430" s="46">
        <f>TABELA22[[#This Row],[QTDE]]*TABELA22[[#This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135.44999999999999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SUM(TABELA22[[#This Row],[T1]:[T7]])</f>
        <v>0</v>
      </c>
      <c r="P431" s="46">
        <f>TABELA22[[#This Row],[QTDE]]*TABELA22[[#This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135.44999999999999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SUM(TABELA22[[#This Row],[T1]:[T7]])</f>
        <v>0</v>
      </c>
      <c r="P432" s="46">
        <f>TABELA22[[#This Row],[QTDE]]*TABELA22[[#This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180.91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SUM(TABELA22[[#This Row],[T1]:[T7]])</f>
        <v>0</v>
      </c>
      <c r="P433" s="46">
        <f>TABELA22[[#This Row],[QTDE]]*TABELA22[[#This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108.18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SUM(TABELA22[[#This Row],[T1]:[T7]])</f>
        <v>0</v>
      </c>
      <c r="P434" s="46">
        <f>TABELA22[[#This Row],[QTDE]]*TABELA22[[#This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90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SUM(TABELA22[[#This Row],[T1]:[T7]])</f>
        <v>0</v>
      </c>
      <c r="P435" s="46">
        <f>TABELA22[[#This Row],[QTDE]]*TABELA22[[#This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135.44999999999999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SUM(TABELA22[[#This Row],[T1]:[T7]])</f>
        <v>0</v>
      </c>
      <c r="P436" s="46">
        <f>TABELA22[[#This Row],[QTDE]]*TABELA22[[#This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121.82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SUM(TABELA22[[#This Row],[T1]:[T7]])</f>
        <v>0</v>
      </c>
      <c r="P437" s="46">
        <f>TABELA22[[#This Row],[QTDE]]*TABELA22[[#This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103.64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SUM(TABELA22[[#This Row],[T1]:[T7]])</f>
        <v>0</v>
      </c>
      <c r="P438" s="46">
        <f>TABELA22[[#This Row],[QTDE]]*TABELA22[[#This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103.64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SUM(TABELA22[[#This Row],[T1]:[T7]])</f>
        <v>0</v>
      </c>
      <c r="P439" s="46">
        <f>TABELA22[[#This Row],[QTDE]]*TABELA22[[#This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112.73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SUM(TABELA22[[#This Row],[T1]:[T7]])</f>
        <v>0</v>
      </c>
      <c r="P440" s="46">
        <f>TABELA22[[#This Row],[QTDE]]*TABELA22[[#This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103.64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SUM(TABELA22[[#This Row],[T1]:[T7]])</f>
        <v>0</v>
      </c>
      <c r="P441" s="46">
        <f>TABELA22[[#This Row],[QTDE]]*TABELA22[[#This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112.73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SUM(TABELA22[[#This Row],[T1]:[T7]])</f>
        <v>0</v>
      </c>
      <c r="P442" s="46">
        <f>TABELA22[[#This Row],[QTDE]]*TABELA22[[#This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103.64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SUM(TABELA22[[#This Row],[T1]:[T7]])</f>
        <v>0</v>
      </c>
      <c r="P443" s="46">
        <f>TABELA22[[#This Row],[QTDE]]*TABELA22[[#This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103.64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SUM(TABELA22[[#This Row],[T1]:[T7]])</f>
        <v>0</v>
      </c>
      <c r="P444" s="46">
        <f>TABELA22[[#This Row],[QTDE]]*TABELA22[[#This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103.64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SUM(TABELA22[[#This Row],[T1]:[T7]])</f>
        <v>0</v>
      </c>
      <c r="P445" s="46">
        <f>TABELA22[[#This Row],[QTDE]]*TABELA22[[#This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90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SUM(TABELA22[[#This Row],[T1]:[T7]])</f>
        <v>0</v>
      </c>
      <c r="P446" s="46">
        <f>TABELA22[[#This Row],[QTDE]]*TABELA22[[#This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90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SUM(TABELA22[[#This Row],[T1]:[T7]])</f>
        <v>0</v>
      </c>
      <c r="P447" s="46">
        <f>TABELA22[[#This Row],[QTDE]]*TABELA22[[#This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90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SUM(TABELA22[[#This Row],[T1]:[T7]])</f>
        <v>0</v>
      </c>
      <c r="P448" s="46">
        <f>TABELA22[[#This Row],[QTDE]]*TABELA22[[#This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90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SUM(TABELA22[[#This Row],[T1]:[T7]])</f>
        <v>0</v>
      </c>
      <c r="P449" s="46">
        <f>TABELA22[[#This Row],[QTDE]]*TABELA22[[#This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103.64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SUM(TABELA22[[#This Row],[T1]:[T7]])</f>
        <v>0</v>
      </c>
      <c r="P450" s="46">
        <f>TABELA22[[#This Row],[QTDE]]*TABELA22[[#This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103.64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SUM(TABELA22[[#This Row],[T1]:[T7]])</f>
        <v>0</v>
      </c>
      <c r="P451" s="46">
        <f>TABELA22[[#This Row],[QTDE]]*TABELA22[[#This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103.64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SUM(TABELA22[[#This Row],[T1]:[T7]])</f>
        <v>0</v>
      </c>
      <c r="P452" s="46">
        <f>TABELA22[[#This Row],[QTDE]]*TABELA22[[#This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103.64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SUM(TABELA22[[#This Row],[T1]:[T7]])</f>
        <v>0</v>
      </c>
      <c r="P453" s="46">
        <f>TABELA22[[#This Row],[QTDE]]*TABELA22[[#This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112.73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SUM(TABELA22[[#This Row],[T1]:[T7]])</f>
        <v>0</v>
      </c>
      <c r="P454" s="46">
        <f>TABELA22[[#This Row],[QTDE]]*TABELA22[[#This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112.73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SUM(TABELA22[[#This Row],[T1]:[T7]])</f>
        <v>0</v>
      </c>
      <c r="P455" s="46">
        <f>TABELA22[[#This Row],[QTDE]]*TABELA22[[#This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135.44999999999999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SUM(TABELA22[[#This Row],[T1]:[T7]])</f>
        <v>0</v>
      </c>
      <c r="P456" s="46">
        <f>TABELA22[[#This Row],[QTDE]]*TABELA22[[#This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135.44999999999999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SUM(TABELA22[[#This Row],[T1]:[T7]])</f>
        <v>0</v>
      </c>
      <c r="P457" s="46">
        <f>TABELA22[[#This Row],[QTDE]]*TABELA22[[#This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135.44999999999999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SUM(TABELA22[[#This Row],[T1]:[T7]])</f>
        <v>0</v>
      </c>
      <c r="P458" s="46">
        <f>TABELA22[[#This Row],[QTDE]]*TABELA22[[#This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80.91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SUM(TABELA22[[#This Row],[T1]:[T7]])</f>
        <v>0</v>
      </c>
      <c r="P459" s="46">
        <f>TABELA22[[#This Row],[QTDE]]*TABELA22[[#This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80.91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SUM(TABELA22[[#This Row],[T1]:[T7]])</f>
        <v>0</v>
      </c>
      <c r="P460" s="46">
        <f>TABELA22[[#This Row],[QTDE]]*TABELA22[[#This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158.18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SUM(TABELA22[[#This Row],[T1]:[T7]])</f>
        <v>0</v>
      </c>
      <c r="P461" s="46">
        <f>TABELA22[[#This Row],[QTDE]]*TABELA22[[#This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90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SUM(TABELA22[[#This Row],[T1]:[T7]])</f>
        <v>0</v>
      </c>
      <c r="P462" s="46">
        <f>TABELA22[[#This Row],[QTDE]]*TABELA22[[#This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135.44999999999999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SUM(TABELA22[[#This Row],[T1]:[T7]])</f>
        <v>0</v>
      </c>
      <c r="P463" s="46">
        <f>TABELA22[[#This Row],[QTDE]]*TABELA22[[#This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180.91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SUM(TABELA22[[#This Row],[T1]:[T7]])</f>
        <v>0</v>
      </c>
      <c r="P464" s="46">
        <f>TABELA22[[#This Row],[QTDE]]*TABELA22[[#This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180.91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SUM(TABELA22[[#This Row],[T1]:[T7]])</f>
        <v>0</v>
      </c>
      <c r="P465" s="46">
        <f>TABELA22[[#This Row],[QTDE]]*TABELA22[[#This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203.64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SUM(TABELA22[[#This Row],[T1]:[T7]])</f>
        <v>0</v>
      </c>
      <c r="P466" s="46">
        <f>TABELA22[[#This Row],[QTDE]]*TABELA22[[#This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226.36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SUM(TABELA22[[#This Row],[T1]:[T7]])</f>
        <v>0</v>
      </c>
      <c r="P467" s="46">
        <f>TABELA22[[#This Row],[QTDE]]*TABELA22[[#This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271.82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SUM(TABELA22[[#This Row],[T1]:[T7]])</f>
        <v>0</v>
      </c>
      <c r="P468" s="46">
        <f>TABELA22[[#This Row],[QTDE]]*TABELA22[[#This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158.18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SUM(TABELA22[[#This Row],[T1]:[T7]])</f>
        <v>0</v>
      </c>
      <c r="P469" s="46">
        <f>TABELA22[[#This Row],[QTDE]]*TABELA22[[#This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203.64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SUM(TABELA22[[#This Row],[T1]:[T7]])</f>
        <v>0</v>
      </c>
      <c r="P470" s="46">
        <f>TABELA22[[#This Row],[QTDE]]*TABELA22[[#This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194.55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SUM(TABELA22[[#This Row],[T1]:[T7]])</f>
        <v>0</v>
      </c>
      <c r="P471" s="46">
        <f>TABELA22[[#This Row],[QTDE]]*TABELA22[[#This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212.73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SUM(TABELA22[[#This Row],[T1]:[T7]])</f>
        <v>0</v>
      </c>
      <c r="P472" s="46">
        <f>TABELA22[[#This Row],[QTDE]]*TABELA22[[#This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167.27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SUM(TABELA22[[#This Row],[T1]:[T7]])</f>
        <v>0</v>
      </c>
      <c r="P473" s="46">
        <f>TABELA22[[#This Row],[QTDE]]*TABELA22[[#This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90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SUM(TABELA22[[#This Row],[T1]:[T7]])</f>
        <v>0</v>
      </c>
      <c r="P474" s="46">
        <f>TABELA22[[#This Row],[QTDE]]*TABELA22[[#This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90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SUM(TABELA22[[#This Row],[T1]:[T7]])</f>
        <v>0</v>
      </c>
      <c r="P475" s="46">
        <f>TABELA22[[#This Row],[QTDE]]*TABELA22[[#This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317.27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SUM(TABELA22[[#This Row],[T1]:[T7]])</f>
        <v>0</v>
      </c>
      <c r="P476" s="46">
        <f>TABELA22[[#This Row],[QTDE]]*TABELA22[[#This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317.27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SUM(TABELA22[[#This Row],[T1]:[T7]])</f>
        <v>0</v>
      </c>
      <c r="P477" s="46">
        <f>TABELA22[[#This Row],[QTDE]]*TABELA22[[#This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249.09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SUM(TABELA22[[#This Row],[T1]:[T7]])</f>
        <v>0</v>
      </c>
      <c r="P478" s="46">
        <f>TABELA22[[#This Row],[QTDE]]*TABELA22[[#This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203.64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SUM(TABELA22[[#This Row],[T1]:[T7]])</f>
        <v>0</v>
      </c>
      <c r="P479" s="46">
        <f>TABELA22[[#This Row],[QTDE]]*TABELA22[[#This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203.64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SUM(TABELA22[[#This Row],[T1]:[T7]])</f>
        <v>0</v>
      </c>
      <c r="P480" s="46">
        <f>TABELA22[[#This Row],[QTDE]]*TABELA22[[#This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180.91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SUM(TABELA22[[#This Row],[T1]:[T7]])</f>
        <v>0</v>
      </c>
      <c r="P481" s="46">
        <f>TABELA22[[#This Row],[QTDE]]*TABELA22[[#This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180.91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SUM(TABELA22[[#This Row],[T1]:[T7]])</f>
        <v>0</v>
      </c>
      <c r="P482" s="46">
        <f>TABELA22[[#This Row],[QTDE]]*TABELA22[[#This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249.09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SUM(TABELA22[[#This Row],[T1]:[T7]])</f>
        <v>0</v>
      </c>
      <c r="P483" s="46">
        <f>TABELA22[[#This Row],[QTDE]]*TABELA22[[#This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167.27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SUM(TABELA22[[#This Row],[T1]:[T7]])</f>
        <v>0</v>
      </c>
      <c r="P484" s="46">
        <f>TABELA22[[#This Row],[QTDE]]*TABELA22[[#This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158.18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SUM(TABELA22[[#This Row],[T1]:[T7]])</f>
        <v>0</v>
      </c>
      <c r="P485" s="46">
        <f>TABELA22[[#This Row],[QTDE]]*TABELA22[[#This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203.64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SUM(TABELA22[[#This Row],[T1]:[T7]])</f>
        <v>0</v>
      </c>
      <c r="P486" s="46">
        <f>TABELA22[[#This Row],[QTDE]]*TABELA22[[#This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167.27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SUM(TABELA22[[#This Row],[T1]:[T7]])</f>
        <v>0</v>
      </c>
      <c r="P487" s="46">
        <f>TABELA22[[#This Row],[QTDE]]*TABELA22[[#This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167.27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SUM(TABELA22[[#This Row],[T1]:[T7]])</f>
        <v>0</v>
      </c>
      <c r="P488" s="46">
        <f>TABELA22[[#This Row],[QTDE]]*TABELA22[[#This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135.44999999999999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SUM(TABELA22[[#This Row],[T1]:[T7]])</f>
        <v>0</v>
      </c>
      <c r="P489" s="46">
        <f>TABELA22[[#This Row],[QTDE]]*TABELA22[[#This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135.44999999999999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SUM(TABELA22[[#This Row],[T1]:[T7]])</f>
        <v>0</v>
      </c>
      <c r="P490" s="46">
        <f>TABELA22[[#This Row],[QTDE]]*TABELA22[[#This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135.44999999999999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SUM(TABELA22[[#This Row],[T1]:[T7]])</f>
        <v>0</v>
      </c>
      <c r="P491" s="46">
        <f>TABELA22[[#This Row],[QTDE]]*TABELA22[[#This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180.91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SUM(TABELA22[[#This Row],[T1]:[T7]])</f>
        <v>0</v>
      </c>
      <c r="P492" s="46">
        <f>TABELA22[[#This Row],[QTDE]]*TABELA22[[#This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180.91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SUM(TABELA22[[#This Row],[T1]:[T7]])</f>
        <v>0</v>
      </c>
      <c r="P493" s="46">
        <f>TABELA22[[#This Row],[QTDE]]*TABELA22[[#This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180.91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SUM(TABELA22[[#This Row],[T1]:[T7]])</f>
        <v>0</v>
      </c>
      <c r="P494" s="46">
        <f>TABELA22[[#This Row],[QTDE]]*TABELA22[[#This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180.91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SUM(TABELA22[[#This Row],[T1]:[T7]])</f>
        <v>0</v>
      </c>
      <c r="P495" s="46">
        <f>TABELA22[[#This Row],[QTDE]]*TABELA22[[#This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194.55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SUM(TABELA22[[#This Row],[T1]:[T7]])</f>
        <v>0</v>
      </c>
      <c r="P496" s="46">
        <f>TABELA22[[#This Row],[QTDE]]*TABELA22[[#This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194.55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SUM(TABELA22[[#This Row],[T1]:[T7]])</f>
        <v>0</v>
      </c>
      <c r="P497" s="46">
        <f>TABELA22[[#This Row],[QTDE]]*TABELA22[[#This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117.27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SUM(TABELA22[[#This Row],[T1]:[T7]])</f>
        <v>0</v>
      </c>
      <c r="P498" s="46">
        <f>TABELA22[[#This Row],[QTDE]]*TABELA22[[#This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117.27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SUM(TABELA22[[#This Row],[T1]:[T7]])</f>
        <v>0</v>
      </c>
      <c r="P499" s="46">
        <f>TABELA22[[#This Row],[QTDE]]*TABELA22[[#This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117.27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SUM(TABELA22[[#This Row],[T1]:[T7]])</f>
        <v>0</v>
      </c>
      <c r="P500" s="46">
        <f>TABELA22[[#This Row],[QTDE]]*TABELA22[[#This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117.27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SUM(TABELA22[[#This Row],[T1]:[T7]])</f>
        <v>0</v>
      </c>
      <c r="P501" s="46">
        <f>TABELA22[[#This Row],[QTDE]]*TABELA22[[#This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117.27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SUM(TABELA22[[#This Row],[T1]:[T7]])</f>
        <v>0</v>
      </c>
      <c r="P502" s="46">
        <f>TABELA22[[#This Row],[QTDE]]*TABELA22[[#This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117.27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SUM(TABELA22[[#This Row],[T1]:[T7]])</f>
        <v>0</v>
      </c>
      <c r="P503" s="46">
        <f>TABELA22[[#This Row],[QTDE]]*TABELA22[[#This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126.36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SUM(TABELA22[[#This Row],[T1]:[T7]])</f>
        <v>0</v>
      </c>
      <c r="P504" s="46">
        <f>TABELA22[[#This Row],[QTDE]]*TABELA22[[#This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126.36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SUM(TABELA22[[#This Row],[T1]:[T7]])</f>
        <v>0</v>
      </c>
      <c r="P505" s="46">
        <f>TABELA22[[#This Row],[QTDE]]*TABELA22[[#This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126.36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SUM(TABELA22[[#This Row],[T1]:[T7]])</f>
        <v>0</v>
      </c>
      <c r="P506" s="46">
        <f>TABELA22[[#This Row],[QTDE]]*TABELA22[[#This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126.36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SUM(TABELA22[[#This Row],[T1]:[T7]])</f>
        <v>0</v>
      </c>
      <c r="P507" s="46">
        <f>TABELA22[[#This Row],[QTDE]]*TABELA22[[#This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126.36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SUM(TABELA22[[#This Row],[T1]:[T7]])</f>
        <v>0</v>
      </c>
      <c r="P508" s="46">
        <f>TABELA22[[#This Row],[QTDE]]*TABELA22[[#This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158.18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SUM(TABELA22[[#This Row],[T1]:[T7]])</f>
        <v>0</v>
      </c>
      <c r="P509" s="46">
        <f>TABELA22[[#This Row],[QTDE]]*TABELA22[[#This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158.18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SUM(TABELA22[[#This Row],[T1]:[T7]])</f>
        <v>0</v>
      </c>
      <c r="P510" s="46">
        <f>TABELA22[[#This Row],[QTDE]]*TABELA22[[#This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158.18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SUM(TABELA22[[#This Row],[T1]:[T7]])</f>
        <v>0</v>
      </c>
      <c r="P511" s="46">
        <f>TABELA22[[#This Row],[QTDE]]*TABELA22[[#This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126.36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SUM(TABELA22[[#This Row],[T1]:[T7]])</f>
        <v>0</v>
      </c>
      <c r="P512" s="46">
        <f>TABELA22[[#This Row],[QTDE]]*TABELA22[[#This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194.55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SUM(TABELA22[[#This Row],[T1]:[T7]])</f>
        <v>0</v>
      </c>
      <c r="P513" s="46">
        <f>TABELA22[[#This Row],[QTDE]]*TABELA22[[#This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103.64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SUM(TABELA22[[#This Row],[T1]:[T7]])</f>
        <v>0</v>
      </c>
      <c r="P514" s="46">
        <f>TABELA22[[#This Row],[QTDE]]*TABELA22[[#This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103.64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SUM(TABELA22[[#This Row],[T1]:[T7]])</f>
        <v>0</v>
      </c>
      <c r="P515" s="46">
        <f>TABELA22[[#This Row],[QTDE]]*TABELA22[[#This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103.64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SUM(TABELA22[[#This Row],[T1]:[T7]])</f>
        <v>0</v>
      </c>
      <c r="P516" s="46">
        <f>TABELA22[[#This Row],[QTDE]]*TABELA22[[#This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103.64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SUM(TABELA22[[#This Row],[T1]:[T7]])</f>
        <v>0</v>
      </c>
      <c r="P517" s="46">
        <f>TABELA22[[#This Row],[QTDE]]*TABELA22[[#This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203.64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SUM(TABELA22[[#This Row],[T1]:[T7]])</f>
        <v>0</v>
      </c>
      <c r="P518" s="46">
        <f>TABELA22[[#This Row],[QTDE]]*TABELA22[[#This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112.73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SUM(TABELA22[[#This Row],[T1]:[T7]])</f>
        <v>0</v>
      </c>
      <c r="P519" s="46">
        <f>TABELA22[[#This Row],[QTDE]]*TABELA22[[#This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112.73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SUM(TABELA22[[#This Row],[T1]:[T7]])</f>
        <v>0</v>
      </c>
      <c r="P520" s="46">
        <f>TABELA22[[#This Row],[QTDE]]*TABELA22[[#This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108.18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SUM(TABELA22[[#This Row],[T1]:[T7]])</f>
        <v>0</v>
      </c>
      <c r="P521" s="46">
        <f>TABELA22[[#This Row],[QTDE]]*TABELA22[[#This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108.18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SUM(TABELA22[[#This Row],[T1]:[T7]])</f>
        <v>0</v>
      </c>
      <c r="P522" s="46">
        <f>TABELA22[[#This Row],[QTDE]]*TABELA22[[#This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135.44999999999999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SUM(TABELA22[[#This Row],[T1]:[T7]])</f>
        <v>0</v>
      </c>
      <c r="P523" s="46">
        <f>TABELA22[[#This Row],[QTDE]]*TABELA22[[#This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135.44999999999999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SUM(TABELA22[[#This Row],[T1]:[T7]])</f>
        <v>0</v>
      </c>
      <c r="P524" s="46">
        <f>TABELA22[[#This Row],[QTDE]]*TABELA22[[#This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103.64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SUM(TABELA22[[#This Row],[T1]:[T7]])</f>
        <v>0</v>
      </c>
      <c r="P525" s="46">
        <f>TABELA22[[#This Row],[QTDE]]*TABELA22[[#This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103.64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SUM(TABELA22[[#This Row],[T1]:[T7]])</f>
        <v>0</v>
      </c>
      <c r="P526" s="46">
        <f>TABELA22[[#This Row],[QTDE]]*TABELA22[[#This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103.64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SUM(TABELA22[[#This Row],[T1]:[T7]])</f>
        <v>0</v>
      </c>
      <c r="P527" s="46">
        <f>TABELA22[[#This Row],[QTDE]]*TABELA22[[#This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62.73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SUM(TABELA22[[#This Row],[T1]:[T7]])</f>
        <v>0</v>
      </c>
      <c r="P528" s="46">
        <f>TABELA22[[#This Row],[QTDE]]*TABELA22[[#This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62.73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SUM(TABELA22[[#This Row],[T1]:[T7]])</f>
        <v>0</v>
      </c>
      <c r="P529" s="46">
        <f>TABELA22[[#This Row],[QTDE]]*TABELA22[[#This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71.819999999999993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SUM(TABELA22[[#This Row],[T1]:[T7]])</f>
        <v>0</v>
      </c>
      <c r="P530" s="46">
        <f>TABELA22[[#This Row],[QTDE]]*TABELA22[[#This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71.819999999999993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SUM(TABELA22[[#This Row],[T1]:[T7]])</f>
        <v>0</v>
      </c>
      <c r="P531" s="46">
        <f>TABELA22[[#This Row],[QTDE]]*TABELA22[[#This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71.819999999999993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SUM(TABELA22[[#This Row],[T1]:[T7]])</f>
        <v>0</v>
      </c>
      <c r="P532" s="46">
        <f>TABELA22[[#This Row],[QTDE]]*TABELA22[[#This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71.819999999999993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SUM(TABELA22[[#This Row],[T1]:[T7]])</f>
        <v>0</v>
      </c>
      <c r="P533" s="46">
        <f>TABELA22[[#This Row],[QTDE]]*TABELA22[[#This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71.819999999999993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SUM(TABELA22[[#This Row],[T1]:[T7]])</f>
        <v>0</v>
      </c>
      <c r="P534" s="46">
        <f>TABELA22[[#This Row],[QTDE]]*TABELA22[[#This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71.819999999999993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SUM(TABELA22[[#This Row],[T1]:[T7]])</f>
        <v>0</v>
      </c>
      <c r="P535" s="46">
        <f>TABELA22[[#This Row],[QTDE]]*TABELA22[[#This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112.73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SUM(TABELA22[[#This Row],[T1]:[T7]])</f>
        <v>0</v>
      </c>
      <c r="P536" s="46">
        <f>TABELA22[[#This Row],[QTDE]]*TABELA22[[#This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112.73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SUM(TABELA22[[#This Row],[T1]:[T7]])</f>
        <v>0</v>
      </c>
      <c r="P537" s="46">
        <f>TABELA22[[#This Row],[QTDE]]*TABELA22[[#This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80.91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SUM(TABELA22[[#This Row],[T1]:[T7]])</f>
        <v>0</v>
      </c>
      <c r="P538" s="46">
        <f>TABELA22[[#This Row],[QTDE]]*TABELA22[[#This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80.91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SUM(TABELA22[[#This Row],[T1]:[T7]])</f>
        <v>0</v>
      </c>
      <c r="P539" s="46">
        <f>TABELA22[[#This Row],[QTDE]]*TABELA22[[#This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71.819999999999993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SUM(TABELA22[[#This Row],[T1]:[T7]])</f>
        <v>0</v>
      </c>
      <c r="P540" s="46">
        <f>TABELA22[[#This Row],[QTDE]]*TABELA22[[#This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71.819999999999993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SUM(TABELA22[[#This Row],[T1]:[T7]])</f>
        <v>0</v>
      </c>
      <c r="P541" s="46">
        <f>TABELA22[[#This Row],[QTDE]]*TABELA22[[#This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71.819999999999993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SUM(TABELA22[[#This Row],[T1]:[T7]])</f>
        <v>0</v>
      </c>
      <c r="P542" s="46">
        <f>TABELA22[[#This Row],[QTDE]]*TABELA22[[#This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58.18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SUM(TABELA22[[#This Row],[T1]:[T7]])</f>
        <v>0</v>
      </c>
      <c r="P543" s="46">
        <f>TABELA22[[#This Row],[QTDE]]*TABELA22[[#This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226.36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SUM(TABELA22[[#This Row],[T1]:[T7]])</f>
        <v>0</v>
      </c>
      <c r="P544" s="46">
        <f>TABELA22[[#This Row],[QTDE]]*TABELA22[[#This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149.09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SUM(TABELA22[[#This Row],[T1]:[T7]])</f>
        <v>0</v>
      </c>
      <c r="P545" s="46">
        <f>TABELA22[[#This Row],[QTDE]]*TABELA22[[#This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149.09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SUM(TABELA22[[#This Row],[T1]:[T7]])</f>
        <v>0</v>
      </c>
      <c r="P546" s="46">
        <f>TABELA22[[#This Row],[QTDE]]*TABELA22[[#This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117.27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SUM(TABELA22[[#This Row],[T1]:[T7]])</f>
        <v>0</v>
      </c>
      <c r="P547" s="46">
        <f>TABELA22[[#This Row],[QTDE]]*TABELA22[[#This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117.27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SUM(TABELA22[[#This Row],[T1]:[T7]])</f>
        <v>0</v>
      </c>
      <c r="P548" s="46">
        <f>TABELA22[[#This Row],[QTDE]]*TABELA22[[#This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135.44999999999999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SUM(TABELA22[[#This Row],[T1]:[T7]])</f>
        <v>0</v>
      </c>
      <c r="P549" s="46">
        <f>TABELA22[[#This Row],[QTDE]]*TABELA22[[#This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135.44999999999999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SUM(TABELA22[[#This Row],[T1]:[T7]])</f>
        <v>0</v>
      </c>
      <c r="P550" s="46">
        <f>TABELA22[[#This Row],[QTDE]]*TABELA22[[#This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121.82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SUM(TABELA22[[#This Row],[T1]:[T7]])</f>
        <v>0</v>
      </c>
      <c r="P551" s="46">
        <f>TABELA22[[#This Row],[QTDE]]*TABELA22[[#This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121.82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SUM(TABELA22[[#This Row],[T1]:[T7]])</f>
        <v>0</v>
      </c>
      <c r="P552" s="46">
        <f>TABELA22[[#This Row],[QTDE]]*TABELA22[[#This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121.82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SUM(TABELA22[[#This Row],[T1]:[T7]])</f>
        <v>0</v>
      </c>
      <c r="P553" s="46">
        <f>TABELA22[[#This Row],[QTDE]]*TABELA22[[#This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80.91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SUM(TABELA22[[#This Row],[T1]:[T7]])</f>
        <v>0</v>
      </c>
      <c r="P554" s="46">
        <f>TABELA22[[#This Row],[QTDE]]*TABELA22[[#This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80.91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SUM(TABELA22[[#This Row],[T1]:[T7]])</f>
        <v>0</v>
      </c>
      <c r="P555" s="46">
        <f>TABELA22[[#This Row],[QTDE]]*TABELA22[[#This Row],[PREÇO]]</f>
        <v>0</v>
      </c>
    </row>
  </sheetData>
  <mergeCells count="10">
    <mergeCell ref="B2:P2"/>
    <mergeCell ref="B10:B14"/>
    <mergeCell ref="P10:P14"/>
    <mergeCell ref="O10:O14"/>
    <mergeCell ref="H14:N14"/>
    <mergeCell ref="G10:G14"/>
    <mergeCell ref="F10:F14"/>
    <mergeCell ref="E10:E14"/>
    <mergeCell ref="D10:D14"/>
    <mergeCell ref="C10:C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2C97-32B8-44A9-8825-1BEE56B6FC15}">
  <dimension ref="B2:Q54"/>
  <sheetViews>
    <sheetView tabSelected="1" topLeftCell="A40" workbookViewId="0">
      <selection activeCell="Q63" sqref="Q63"/>
    </sheetView>
  </sheetViews>
  <sheetFormatPr defaultRowHeight="15" x14ac:dyDescent="0.25"/>
  <cols>
    <col min="2" max="2" width="12.28515625" bestFit="1" customWidth="1"/>
    <col min="3" max="3" width="34.85546875" bestFit="1" customWidth="1"/>
    <col min="4" max="4" width="6" bestFit="1" customWidth="1"/>
    <col min="5" max="5" width="28.28515625" bestFit="1" customWidth="1"/>
    <col min="6" max="6" width="10" bestFit="1" customWidth="1"/>
    <col min="7" max="7" width="6.28515625" bestFit="1" customWidth="1"/>
    <col min="8" max="9" width="5.42578125" bestFit="1" customWidth="1"/>
    <col min="10" max="10" width="4.42578125" bestFit="1" customWidth="1"/>
    <col min="11" max="14" width="3" bestFit="1" customWidth="1"/>
    <col min="15" max="15" width="7.42578125" bestFit="1" customWidth="1"/>
    <col min="16" max="16" width="12.42578125" bestFit="1" customWidth="1"/>
  </cols>
  <sheetData>
    <row r="2" spans="2:16" s="1" customFormat="1" ht="18.75" x14ac:dyDescent="0.3">
      <c r="B2" s="60" t="str">
        <f>CONCATENATE("PEDIDO MANUAL: ",Parâmetros!C22)</f>
        <v xml:space="preserve">PEDIDO MANUAL: 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s="1" customFormat="1" ht="12.75" x14ac:dyDescent="0.2">
      <c r="C3" s="7"/>
      <c r="F3" s="2"/>
      <c r="G3" s="4"/>
      <c r="P3" s="2"/>
    </row>
    <row r="4" spans="2:16" s="1" customFormat="1" ht="12.75" x14ac:dyDescent="0.2">
      <c r="B4" s="3" t="s">
        <v>21</v>
      </c>
      <c r="C4" s="8" t="s">
        <v>1731</v>
      </c>
      <c r="F4" s="9"/>
      <c r="G4" s="11"/>
      <c r="P4" s="2"/>
    </row>
    <row r="5" spans="2:16" s="1" customFormat="1" ht="12.75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SUM(TABELA22[VALOR])</f>
        <v>12231.9</v>
      </c>
      <c r="P5" s="2"/>
    </row>
    <row r="6" spans="2:16" s="1" customFormat="1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  <c r="P6" s="2"/>
    </row>
    <row r="7" spans="2:16" s="1" customFormat="1" ht="12.75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  <c r="P7" s="2"/>
    </row>
    <row r="8" spans="2:16" s="1" customFormat="1" ht="12.75" x14ac:dyDescent="0.2">
      <c r="B8" s="14"/>
      <c r="C8" s="14"/>
      <c r="D8" s="14"/>
      <c r="E8" s="14"/>
      <c r="F8" s="15"/>
      <c r="G8" s="14"/>
      <c r="H8" s="17"/>
      <c r="N8" s="5"/>
      <c r="O8" s="15"/>
      <c r="P8" s="14"/>
    </row>
    <row r="10" spans="2:16" x14ac:dyDescent="0.25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5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5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5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x14ac:dyDescent="0.25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x14ac:dyDescent="0.25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5">
      <c r="B16">
        <v>443203440</v>
      </c>
      <c r="C16" s="19" t="s">
        <v>658</v>
      </c>
      <c r="D16" s="56" t="s">
        <v>1639</v>
      </c>
      <c r="E16" s="19" t="s">
        <v>35</v>
      </c>
      <c r="F16" s="20">
        <v>271.82</v>
      </c>
      <c r="G16" s="19" t="s">
        <v>44</v>
      </c>
      <c r="H16" s="19"/>
      <c r="I16" s="19" t="s">
        <v>1732</v>
      </c>
      <c r="J16" s="19">
        <v>10</v>
      </c>
      <c r="K16" s="19">
        <v>12</v>
      </c>
      <c r="L16" s="19">
        <v>3</v>
      </c>
      <c r="M16" s="19"/>
      <c r="N16" s="19">
        <v>10</v>
      </c>
      <c r="O16" s="19">
        <f>SUM(TABELA22[[#This Row],[T1]:[T7]])</f>
        <v>45</v>
      </c>
      <c r="P16" s="21">
        <f>TABELA22[[#This Row],[QTDE]]*TABELA22[[#This Row],[PREÇO]]</f>
        <v>12231.9</v>
      </c>
    </row>
    <row r="17" spans="2:17" x14ac:dyDescent="0.25">
      <c r="B17">
        <v>443203440</v>
      </c>
      <c r="C17" s="19" t="s">
        <v>660</v>
      </c>
      <c r="D17" s="55">
        <v>44259</v>
      </c>
      <c r="E17" s="19" t="s">
        <v>662</v>
      </c>
      <c r="F17" s="20">
        <v>194.55</v>
      </c>
      <c r="G17" s="19" t="s">
        <v>31</v>
      </c>
      <c r="H17" s="19">
        <v>3</v>
      </c>
      <c r="I17" s="19"/>
      <c r="J17" s="19">
        <v>4</v>
      </c>
      <c r="K17" s="19">
        <v>1</v>
      </c>
      <c r="L17" s="19"/>
      <c r="M17" s="19">
        <v>6</v>
      </c>
      <c r="N17" s="19"/>
      <c r="O17" s="19">
        <f>SUM(TABELA22[[#This Row],[T1]:[T7]])</f>
        <v>0</v>
      </c>
      <c r="P17" s="21">
        <f>TABELA22[[#This Row],[QTDE]]*TABELA22[[#This Row],[PREÇO]]</f>
        <v>0</v>
      </c>
    </row>
    <row r="18" spans="2:17" x14ac:dyDescent="0.25">
      <c r="B18" s="58">
        <v>1383200035</v>
      </c>
      <c r="C18" s="19" t="s">
        <v>664</v>
      </c>
      <c r="D18" s="59">
        <v>48363</v>
      </c>
      <c r="E18" s="19" t="s">
        <v>666</v>
      </c>
      <c r="F18" s="20">
        <v>385.45</v>
      </c>
      <c r="G18" s="19" t="s">
        <v>44</v>
      </c>
      <c r="H18" s="19"/>
      <c r="I18" s="19">
        <v>4</v>
      </c>
      <c r="J18" s="19"/>
      <c r="K18" s="19">
        <v>6</v>
      </c>
      <c r="L18" s="19"/>
      <c r="M18" s="19"/>
      <c r="N18" s="19"/>
      <c r="O18" s="19">
        <f>SUM(TABELA22[[#This Row],[T1]:[T7]])</f>
        <v>0</v>
      </c>
      <c r="P18" s="21">
        <f>TABELA22[[#This Row],[QTDE]]*TABELA22[[#This Row],[PREÇO]]</f>
        <v>0</v>
      </c>
    </row>
    <row r="19" spans="2:17" x14ac:dyDescent="0.25">
      <c r="B19" s="58">
        <v>1383200035</v>
      </c>
      <c r="C19" s="19" t="s">
        <v>668</v>
      </c>
      <c r="D19" s="59" t="s">
        <v>1639</v>
      </c>
      <c r="E19" s="19" t="s">
        <v>670</v>
      </c>
      <c r="F19" s="20">
        <v>203.64</v>
      </c>
      <c r="G19" s="19" t="s">
        <v>44</v>
      </c>
      <c r="H19" s="19">
        <v>1</v>
      </c>
      <c r="I19" s="19">
        <v>2</v>
      </c>
      <c r="J19" s="19">
        <v>3</v>
      </c>
      <c r="K19" s="19">
        <v>11</v>
      </c>
      <c r="L19" s="19">
        <v>5</v>
      </c>
      <c r="M19" s="19"/>
      <c r="N19" s="19"/>
      <c r="O19" s="19">
        <f>SUM(TABELA22[[#This Row],[T1]:[T7]])</f>
        <v>0</v>
      </c>
      <c r="P19" s="21">
        <f>TABELA22[[#This Row],[QTDE]]*TABELA22[[#This Row],[PREÇO]]</f>
        <v>0</v>
      </c>
    </row>
    <row r="20" spans="2:17" x14ac:dyDescent="0.25">
      <c r="B20" s="58">
        <v>593200057</v>
      </c>
      <c r="C20" s="19" t="s">
        <v>672</v>
      </c>
      <c r="D20" s="59">
        <v>63007</v>
      </c>
      <c r="E20" s="19" t="s">
        <v>673</v>
      </c>
      <c r="F20" s="20">
        <v>590</v>
      </c>
      <c r="G20" s="19" t="s">
        <v>31</v>
      </c>
      <c r="H20" s="19">
        <v>1</v>
      </c>
      <c r="I20" s="19">
        <v>2</v>
      </c>
      <c r="J20" s="19">
        <v>3</v>
      </c>
      <c r="K20" s="19">
        <v>4</v>
      </c>
      <c r="L20" s="19">
        <v>5</v>
      </c>
      <c r="M20" s="19">
        <v>6</v>
      </c>
      <c r="N20" s="19"/>
      <c r="O20" s="19">
        <f>SUM(TABELA22[[#This Row],[T1]:[T7]])</f>
        <v>0</v>
      </c>
      <c r="P20" s="21">
        <f>TABELA22[[#This Row],[QTDE]]*TABELA22[[#This Row],[PREÇO]]</f>
        <v>0</v>
      </c>
    </row>
    <row r="21" spans="2:17" x14ac:dyDescent="0.25">
      <c r="B21">
        <v>583200081</v>
      </c>
      <c r="D21" s="55">
        <v>53693</v>
      </c>
      <c r="H21" s="19">
        <v>9</v>
      </c>
      <c r="I21" s="19">
        <v>10</v>
      </c>
      <c r="J21" s="19"/>
      <c r="K21" s="19">
        <v>4</v>
      </c>
      <c r="L21" s="19"/>
      <c r="M21" s="19"/>
      <c r="N21" s="19"/>
    </row>
    <row r="22" spans="2:17" x14ac:dyDescent="0.25">
      <c r="B22">
        <v>583200080</v>
      </c>
      <c r="D22" s="55" t="s">
        <v>1678</v>
      </c>
      <c r="H22" s="19">
        <v>1</v>
      </c>
      <c r="I22" s="19"/>
      <c r="J22" s="19">
        <v>3</v>
      </c>
      <c r="K22" s="19">
        <v>5</v>
      </c>
      <c r="L22" s="19">
        <v>5</v>
      </c>
      <c r="M22" s="19"/>
      <c r="N22" s="19"/>
    </row>
    <row r="23" spans="2:17" x14ac:dyDescent="0.25">
      <c r="B23">
        <v>583200079</v>
      </c>
      <c r="D23" s="55">
        <v>44142</v>
      </c>
      <c r="H23" s="19">
        <v>4</v>
      </c>
      <c r="I23" s="19">
        <v>4</v>
      </c>
      <c r="J23" s="19"/>
      <c r="K23" s="19"/>
      <c r="L23" s="19">
        <v>5</v>
      </c>
      <c r="M23" s="19"/>
      <c r="N23" s="19"/>
    </row>
    <row r="24" spans="2:17" x14ac:dyDescent="0.25">
      <c r="B24">
        <v>583200079</v>
      </c>
      <c r="D24" s="56" t="s">
        <v>1639</v>
      </c>
      <c r="H24" s="19">
        <v>5</v>
      </c>
      <c r="I24" s="19">
        <v>2</v>
      </c>
      <c r="J24" s="19">
        <v>3</v>
      </c>
      <c r="K24" s="19">
        <v>4</v>
      </c>
      <c r="L24" s="19">
        <v>5</v>
      </c>
      <c r="M24" s="19"/>
      <c r="N24" s="19"/>
    </row>
    <row r="25" spans="2:17" x14ac:dyDescent="0.25">
      <c r="B25">
        <v>543200355</v>
      </c>
      <c r="D25" s="55" t="s">
        <v>1649</v>
      </c>
      <c r="H25" s="19">
        <v>6</v>
      </c>
      <c r="I25" s="19"/>
      <c r="J25" s="19">
        <v>2</v>
      </c>
      <c r="K25" s="19">
        <v>6</v>
      </c>
      <c r="L25" s="19">
        <v>5</v>
      </c>
      <c r="M25" s="19"/>
      <c r="N25" s="19"/>
    </row>
    <row r="26" spans="2:17" s="1" customFormat="1" x14ac:dyDescent="0.25">
      <c r="B26">
        <v>543200354</v>
      </c>
      <c r="D26" s="55" t="s">
        <v>1642</v>
      </c>
      <c r="G26" s="2"/>
      <c r="H26" s="19">
        <v>7</v>
      </c>
      <c r="I26" s="19">
        <v>2</v>
      </c>
      <c r="J26" s="19"/>
      <c r="K26" s="19">
        <v>4</v>
      </c>
      <c r="L26" s="19"/>
      <c r="M26" s="19"/>
      <c r="N26" s="19"/>
      <c r="Q26" s="2"/>
    </row>
    <row r="27" spans="2:17" x14ac:dyDescent="0.25">
      <c r="B27">
        <v>503200146</v>
      </c>
      <c r="D27" s="55">
        <v>600</v>
      </c>
      <c r="H27" s="19"/>
      <c r="I27" s="19">
        <v>2</v>
      </c>
      <c r="J27" s="19"/>
      <c r="K27" s="19">
        <v>4</v>
      </c>
      <c r="L27" s="19"/>
      <c r="M27" s="19"/>
      <c r="N27" s="19"/>
    </row>
    <row r="28" spans="2:17" x14ac:dyDescent="0.25">
      <c r="B28">
        <v>483200243</v>
      </c>
      <c r="D28" s="55" t="s">
        <v>1678</v>
      </c>
      <c r="H28" s="19"/>
      <c r="I28" s="19">
        <v>2</v>
      </c>
      <c r="J28" s="19"/>
      <c r="K28" s="19">
        <v>12</v>
      </c>
      <c r="L28" s="19"/>
      <c r="M28" s="19"/>
      <c r="N28" s="19"/>
    </row>
    <row r="29" spans="2:17" x14ac:dyDescent="0.25">
      <c r="B29">
        <v>483200242</v>
      </c>
      <c r="D29" s="55">
        <v>58762</v>
      </c>
      <c r="H29" s="19"/>
      <c r="I29" s="19">
        <v>2</v>
      </c>
      <c r="J29" s="19"/>
      <c r="K29" s="19">
        <v>4</v>
      </c>
      <c r="L29" s="19"/>
      <c r="M29" s="19"/>
      <c r="N29" s="19"/>
    </row>
    <row r="30" spans="2:17" x14ac:dyDescent="0.25">
      <c r="B30">
        <v>463200228</v>
      </c>
      <c r="D30" s="55" t="s">
        <v>1665</v>
      </c>
      <c r="H30" s="19"/>
      <c r="I30" s="19">
        <v>2</v>
      </c>
      <c r="J30" s="19"/>
      <c r="K30" s="19">
        <v>4</v>
      </c>
      <c r="L30" s="19"/>
      <c r="M30" s="19"/>
      <c r="N30" s="19"/>
    </row>
    <row r="31" spans="2:17" x14ac:dyDescent="0.25">
      <c r="B31">
        <v>463200227</v>
      </c>
      <c r="D31" s="55">
        <v>39103</v>
      </c>
      <c r="H31" s="19"/>
      <c r="I31" s="19">
        <v>2</v>
      </c>
      <c r="J31" s="19"/>
      <c r="K31" s="19">
        <v>4</v>
      </c>
      <c r="L31" s="19"/>
      <c r="M31" s="19"/>
      <c r="N31" s="19"/>
    </row>
    <row r="32" spans="2:17" x14ac:dyDescent="0.25">
      <c r="B32">
        <v>353207963</v>
      </c>
      <c r="D32" s="55">
        <v>63443</v>
      </c>
      <c r="H32" s="19">
        <v>7</v>
      </c>
      <c r="I32" s="19">
        <v>10</v>
      </c>
      <c r="J32" s="19"/>
      <c r="K32" s="19">
        <v>4</v>
      </c>
      <c r="L32" s="19"/>
      <c r="M32" s="19"/>
      <c r="N32" s="19">
        <v>10</v>
      </c>
    </row>
    <row r="33" spans="2:14" x14ac:dyDescent="0.25">
      <c r="B33" s="58">
        <v>1953200069</v>
      </c>
      <c r="D33" s="59" t="s">
        <v>1639</v>
      </c>
      <c r="H33" s="19"/>
      <c r="I33" s="19">
        <v>10</v>
      </c>
      <c r="J33" s="19"/>
      <c r="K33" s="19">
        <v>10</v>
      </c>
      <c r="L33" s="19"/>
      <c r="M33" s="19">
        <v>7</v>
      </c>
      <c r="N33" s="19"/>
    </row>
    <row r="34" spans="2:14" x14ac:dyDescent="0.25">
      <c r="B34">
        <v>463200225</v>
      </c>
      <c r="D34" s="56" t="s">
        <v>1639</v>
      </c>
      <c r="H34" s="19">
        <v>7</v>
      </c>
      <c r="I34" s="19">
        <v>2</v>
      </c>
      <c r="J34" s="19"/>
      <c r="K34" s="19">
        <v>4</v>
      </c>
      <c r="L34" s="19"/>
      <c r="M34" s="19"/>
      <c r="N34" s="19"/>
    </row>
    <row r="35" spans="2:14" x14ac:dyDescent="0.25">
      <c r="B35">
        <v>463200225</v>
      </c>
      <c r="D35" s="55">
        <v>38932</v>
      </c>
      <c r="H35" s="19">
        <v>5</v>
      </c>
      <c r="I35" s="19">
        <v>2</v>
      </c>
      <c r="J35" s="19">
        <v>3</v>
      </c>
      <c r="K35" s="19">
        <v>4</v>
      </c>
      <c r="L35" s="19">
        <v>5</v>
      </c>
      <c r="M35" s="19"/>
      <c r="N35" s="19"/>
    </row>
    <row r="36" spans="2:14" x14ac:dyDescent="0.25">
      <c r="B36">
        <v>463200224</v>
      </c>
      <c r="D36" s="55" t="s">
        <v>1649</v>
      </c>
      <c r="H36" s="19">
        <v>6</v>
      </c>
      <c r="I36" s="19"/>
      <c r="J36" s="19">
        <v>2</v>
      </c>
      <c r="K36" s="19">
        <v>6</v>
      </c>
      <c r="L36" s="19">
        <v>5</v>
      </c>
      <c r="M36" s="19"/>
      <c r="N36" s="19"/>
    </row>
    <row r="37" spans="2:14" x14ac:dyDescent="0.25">
      <c r="B37">
        <v>463200224</v>
      </c>
      <c r="D37" s="55" t="s">
        <v>1642</v>
      </c>
      <c r="H37" s="19">
        <v>7</v>
      </c>
      <c r="I37" s="19">
        <v>2</v>
      </c>
      <c r="J37" s="19"/>
      <c r="K37" s="19">
        <v>4</v>
      </c>
      <c r="L37" s="19"/>
      <c r="M37" s="19"/>
      <c r="N37" s="19"/>
    </row>
    <row r="38" spans="2:14" x14ac:dyDescent="0.25">
      <c r="B38">
        <v>443203441</v>
      </c>
      <c r="D38" s="55">
        <v>38932</v>
      </c>
      <c r="H38" s="19"/>
      <c r="I38" s="19">
        <v>2</v>
      </c>
      <c r="J38" s="19"/>
      <c r="K38" s="19">
        <v>4</v>
      </c>
      <c r="L38" s="19"/>
      <c r="M38" s="19"/>
      <c r="N38" s="19"/>
    </row>
    <row r="39" spans="2:14" x14ac:dyDescent="0.25">
      <c r="B39">
        <v>463200226</v>
      </c>
      <c r="D39" s="55" t="s">
        <v>1684</v>
      </c>
      <c r="H39" s="19"/>
      <c r="I39" s="19">
        <v>2</v>
      </c>
      <c r="J39" s="19"/>
      <c r="K39" s="19">
        <v>12</v>
      </c>
      <c r="L39" s="19"/>
      <c r="M39" s="19"/>
      <c r="N39" s="19"/>
    </row>
    <row r="40" spans="2:14" x14ac:dyDescent="0.25">
      <c r="B40">
        <v>463200226</v>
      </c>
      <c r="D40" s="55" t="s">
        <v>1659</v>
      </c>
      <c r="H40" s="19"/>
      <c r="I40" s="19">
        <v>2</v>
      </c>
      <c r="J40" s="19"/>
      <c r="K40" s="19">
        <v>4</v>
      </c>
      <c r="L40" s="19"/>
      <c r="M40" s="19"/>
      <c r="N40" s="19"/>
    </row>
    <row r="41" spans="2:14" x14ac:dyDescent="0.25">
      <c r="B41">
        <v>443203439</v>
      </c>
      <c r="D41" s="55" t="s">
        <v>1649</v>
      </c>
      <c r="H41" s="19"/>
      <c r="I41" s="19">
        <v>2</v>
      </c>
      <c r="J41" s="19"/>
      <c r="K41" s="19">
        <v>4</v>
      </c>
      <c r="L41" s="19"/>
      <c r="M41" s="19"/>
      <c r="N41" s="19"/>
    </row>
    <row r="42" spans="2:14" x14ac:dyDescent="0.25">
      <c r="B42">
        <v>443203438</v>
      </c>
      <c r="D42" s="55" t="s">
        <v>1644</v>
      </c>
      <c r="H42" s="19"/>
      <c r="I42" s="19">
        <v>2</v>
      </c>
      <c r="J42" s="19"/>
      <c r="K42" s="19">
        <v>4</v>
      </c>
      <c r="L42" s="19"/>
      <c r="M42" s="19"/>
      <c r="N42" s="19"/>
    </row>
    <row r="43" spans="2:14" x14ac:dyDescent="0.25">
      <c r="B43">
        <v>443203438</v>
      </c>
      <c r="D43" s="55" t="s">
        <v>1654</v>
      </c>
      <c r="H43" s="19">
        <v>7</v>
      </c>
      <c r="I43" s="19">
        <v>10</v>
      </c>
      <c r="J43" s="19"/>
      <c r="K43" s="19">
        <v>4</v>
      </c>
      <c r="L43" s="19"/>
      <c r="M43" s="19"/>
      <c r="N43" s="19">
        <v>10</v>
      </c>
    </row>
    <row r="44" spans="2:14" x14ac:dyDescent="0.25">
      <c r="B44">
        <v>443203437</v>
      </c>
      <c r="D44" s="55">
        <v>58529</v>
      </c>
      <c r="H44" s="19"/>
      <c r="I44" s="19">
        <v>10</v>
      </c>
      <c r="J44" s="19"/>
      <c r="K44" s="19">
        <v>10</v>
      </c>
      <c r="L44" s="19"/>
      <c r="M44" s="19">
        <v>7</v>
      </c>
      <c r="N44" s="19"/>
    </row>
    <row r="45" spans="2:14" x14ac:dyDescent="0.25">
      <c r="B45">
        <v>443203436</v>
      </c>
      <c r="D45" s="55">
        <v>58529</v>
      </c>
      <c r="H45" s="19">
        <v>7</v>
      </c>
      <c r="I45" s="19">
        <v>2</v>
      </c>
      <c r="J45" s="19"/>
      <c r="K45" s="19">
        <v>4</v>
      </c>
      <c r="L45" s="19"/>
      <c r="M45" s="19"/>
      <c r="N45" s="19"/>
    </row>
    <row r="46" spans="2:14" x14ac:dyDescent="0.25">
      <c r="B46">
        <v>443203434</v>
      </c>
      <c r="D46" s="55">
        <v>39103</v>
      </c>
      <c r="H46" s="19"/>
      <c r="I46" s="19" t="s">
        <v>1732</v>
      </c>
      <c r="J46" s="19">
        <v>10</v>
      </c>
      <c r="K46" s="19">
        <v>12</v>
      </c>
      <c r="L46" s="19">
        <v>3</v>
      </c>
      <c r="M46" s="19"/>
      <c r="N46" s="19">
        <v>10</v>
      </c>
    </row>
    <row r="47" spans="2:14" x14ac:dyDescent="0.25">
      <c r="B47">
        <v>443203433</v>
      </c>
      <c r="D47" s="55">
        <v>43759</v>
      </c>
      <c r="H47" s="19">
        <v>3</v>
      </c>
      <c r="I47" s="19"/>
      <c r="J47" s="19">
        <v>4</v>
      </c>
      <c r="K47" s="19">
        <v>1</v>
      </c>
      <c r="L47" s="19"/>
      <c r="M47" s="19">
        <v>6</v>
      </c>
      <c r="N47" s="19"/>
    </row>
    <row r="48" spans="2:14" x14ac:dyDescent="0.25">
      <c r="B48">
        <v>443203432</v>
      </c>
      <c r="D48" s="55" t="s">
        <v>1642</v>
      </c>
      <c r="H48" s="19"/>
      <c r="I48" s="19">
        <v>4</v>
      </c>
      <c r="J48" s="19"/>
      <c r="K48" s="19">
        <v>6</v>
      </c>
      <c r="L48" s="19"/>
      <c r="M48" s="19"/>
      <c r="N48" s="19"/>
    </row>
    <row r="49" spans="2:14" x14ac:dyDescent="0.25">
      <c r="B49">
        <v>443203431</v>
      </c>
      <c r="D49" s="55" t="s">
        <v>1684</v>
      </c>
      <c r="H49" s="19">
        <v>1</v>
      </c>
      <c r="I49" s="19">
        <v>2</v>
      </c>
      <c r="J49" s="19">
        <v>3</v>
      </c>
      <c r="K49" s="19">
        <v>11</v>
      </c>
      <c r="L49" s="19">
        <v>5</v>
      </c>
      <c r="M49" s="19"/>
      <c r="N49" s="19"/>
    </row>
    <row r="50" spans="2:14" x14ac:dyDescent="0.25">
      <c r="B50">
        <v>443203430</v>
      </c>
      <c r="D50" s="55">
        <v>48359</v>
      </c>
      <c r="H50" s="19">
        <v>1</v>
      </c>
      <c r="I50" s="19">
        <v>2</v>
      </c>
      <c r="J50" s="19">
        <v>3</v>
      </c>
      <c r="K50" s="19">
        <v>4</v>
      </c>
      <c r="L50" s="19">
        <v>5</v>
      </c>
      <c r="M50" s="19">
        <v>6</v>
      </c>
      <c r="N50" s="19"/>
    </row>
    <row r="51" spans="2:14" x14ac:dyDescent="0.25">
      <c r="B51">
        <v>443203430</v>
      </c>
      <c r="D51" s="56" t="s">
        <v>1639</v>
      </c>
      <c r="H51" s="19">
        <v>9</v>
      </c>
      <c r="I51" s="19">
        <v>10</v>
      </c>
      <c r="J51" s="19"/>
      <c r="K51" s="19">
        <v>4</v>
      </c>
      <c r="L51" s="19"/>
      <c r="M51" s="19"/>
      <c r="N51" s="19"/>
    </row>
    <row r="52" spans="2:14" x14ac:dyDescent="0.25">
      <c r="B52">
        <v>443203429</v>
      </c>
      <c r="D52" s="55" t="s">
        <v>1686</v>
      </c>
      <c r="H52" s="19">
        <v>1</v>
      </c>
      <c r="I52" s="19"/>
      <c r="J52" s="19">
        <v>3</v>
      </c>
      <c r="K52" s="19">
        <v>5</v>
      </c>
      <c r="L52" s="19">
        <v>5</v>
      </c>
      <c r="M52" s="19"/>
      <c r="N52" s="19"/>
    </row>
    <row r="53" spans="2:14" x14ac:dyDescent="0.25">
      <c r="B53">
        <v>443203428</v>
      </c>
      <c r="D53" s="55" t="s">
        <v>1665</v>
      </c>
      <c r="H53" s="19">
        <v>4</v>
      </c>
      <c r="I53" s="19">
        <v>4</v>
      </c>
      <c r="J53" s="19"/>
      <c r="K53" s="19"/>
      <c r="L53" s="19">
        <v>5</v>
      </c>
      <c r="M53" s="19"/>
      <c r="N53" s="19"/>
    </row>
    <row r="54" spans="2:14" x14ac:dyDescent="0.25">
      <c r="B54">
        <v>443203427</v>
      </c>
      <c r="D54" s="55">
        <v>48363</v>
      </c>
      <c r="H54" s="19">
        <v>5</v>
      </c>
      <c r="I54" s="19">
        <v>2</v>
      </c>
      <c r="J54" s="19">
        <v>3</v>
      </c>
      <c r="K54" s="19">
        <v>4</v>
      </c>
      <c r="L54" s="19">
        <v>5</v>
      </c>
      <c r="M54" s="19"/>
      <c r="N54" s="19"/>
    </row>
  </sheetData>
  <mergeCells count="10">
    <mergeCell ref="O10:O14"/>
    <mergeCell ref="P10:P14"/>
    <mergeCell ref="H14:N14"/>
    <mergeCell ref="B2:P2"/>
    <mergeCell ref="B10:B14"/>
    <mergeCell ref="C10:C14"/>
    <mergeCell ref="D10:D14"/>
    <mergeCell ref="E10:E14"/>
    <mergeCell ref="F10:F14"/>
    <mergeCell ref="G10:G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B2:P555"/>
  <sheetViews>
    <sheetView showGridLines="0" workbookViewId="0">
      <selection activeCell="D21" sqref="D21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40" style="1" customWidth="1"/>
    <col min="4" max="4" width="6.28515625" style="1" customWidth="1"/>
    <col min="5" max="5" width="37" style="1" bestFit="1" customWidth="1"/>
    <col min="6" max="6" width="15" style="2" customWidth="1"/>
    <col min="7" max="7" width="13.28515625" style="4" customWidth="1"/>
    <col min="8" max="14" width="5.140625" style="1" customWidth="1"/>
    <col min="15" max="15" width="8.5703125" style="1" customWidth="1"/>
    <col min="16" max="16" width="12.42578125" style="2" bestFit="1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3" t="s">
        <v>30</v>
      </c>
      <c r="G5" s="36">
        <f>SUM(TABELA23[VALOR])</f>
        <v>174695.99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70"/>
      <c r="C14" s="70"/>
      <c r="D14" s="70"/>
      <c r="E14" s="72"/>
      <c r="F14" s="71"/>
      <c r="G14" s="72"/>
      <c r="H14" s="73" t="s">
        <v>7</v>
      </c>
      <c r="I14" s="74"/>
      <c r="J14" s="74"/>
      <c r="K14" s="74"/>
      <c r="L14" s="74"/>
      <c r="M14" s="74"/>
      <c r="N14" s="75"/>
      <c r="O14" s="70"/>
      <c r="P14" s="71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4" t="s">
        <v>657</v>
      </c>
      <c r="C16" s="4" t="s">
        <v>658</v>
      </c>
      <c r="D16" s="4" t="s">
        <v>34</v>
      </c>
      <c r="E16" s="4" t="s">
        <v>35</v>
      </c>
      <c r="F16" s="16">
        <v>260</v>
      </c>
      <c r="G16" s="4" t="s">
        <v>44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f>SUM(TABELA23[[#This Row],[T1]:[T7]])</f>
        <v>7</v>
      </c>
      <c r="P16" s="16">
        <f>TABELA23[[#This Row],[QTDE]]*TABELA23[[#This Row],[PREÇO]]</f>
        <v>1820</v>
      </c>
    </row>
    <row r="17" spans="2:16" x14ac:dyDescent="0.2">
      <c r="B17" s="4" t="s">
        <v>659</v>
      </c>
      <c r="C17" s="4" t="s">
        <v>660</v>
      </c>
      <c r="D17" s="4" t="s">
        <v>661</v>
      </c>
      <c r="E17" s="4" t="s">
        <v>662</v>
      </c>
      <c r="F17" s="16">
        <v>186.09</v>
      </c>
      <c r="G17" s="4" t="s">
        <v>31</v>
      </c>
      <c r="H17" s="4">
        <v>2</v>
      </c>
      <c r="I17" s="4">
        <v>2</v>
      </c>
      <c r="J17" s="4">
        <v>2</v>
      </c>
      <c r="K17" s="4">
        <v>2</v>
      </c>
      <c r="L17" s="4">
        <v>2</v>
      </c>
      <c r="M17" s="4">
        <v>2</v>
      </c>
      <c r="N17" s="4">
        <v>2</v>
      </c>
      <c r="O17" s="4">
        <f>SUM(TABELA23[[#This Row],[T1]:[T7]])</f>
        <v>14</v>
      </c>
      <c r="P17" s="16">
        <f>TABELA23[[#This Row],[QTDE]]*TABELA23[[#This Row],[PREÇO]]</f>
        <v>2605.2600000000002</v>
      </c>
    </row>
    <row r="18" spans="2:16" x14ac:dyDescent="0.2">
      <c r="B18" s="4" t="s">
        <v>663</v>
      </c>
      <c r="C18" s="4" t="s">
        <v>664</v>
      </c>
      <c r="D18" s="4" t="s">
        <v>665</v>
      </c>
      <c r="E18" s="4" t="s">
        <v>666</v>
      </c>
      <c r="F18" s="16">
        <v>368.7</v>
      </c>
      <c r="G18" s="4" t="s">
        <v>44</v>
      </c>
      <c r="H18" s="4">
        <v>3</v>
      </c>
      <c r="I18" s="4">
        <v>3</v>
      </c>
      <c r="J18" s="4">
        <v>3</v>
      </c>
      <c r="K18" s="4">
        <v>3</v>
      </c>
      <c r="L18" s="4">
        <v>3</v>
      </c>
      <c r="M18" s="4">
        <v>3</v>
      </c>
      <c r="N18" s="4">
        <v>3</v>
      </c>
      <c r="O18" s="4">
        <f>SUM(TABELA23[[#This Row],[T1]:[T7]])</f>
        <v>21</v>
      </c>
      <c r="P18" s="16">
        <f>TABELA23[[#This Row],[QTDE]]*TABELA23[[#This Row],[PREÇO]]</f>
        <v>7742.7</v>
      </c>
    </row>
    <row r="19" spans="2:16" x14ac:dyDescent="0.2">
      <c r="B19" s="4" t="s">
        <v>667</v>
      </c>
      <c r="C19" s="4" t="s">
        <v>668</v>
      </c>
      <c r="D19" s="4" t="s">
        <v>669</v>
      </c>
      <c r="E19" s="4" t="s">
        <v>670</v>
      </c>
      <c r="F19" s="16">
        <v>194.78</v>
      </c>
      <c r="G19" s="4" t="s">
        <v>44</v>
      </c>
      <c r="H19" s="4">
        <v>4</v>
      </c>
      <c r="I19" s="4">
        <v>4</v>
      </c>
      <c r="J19" s="4">
        <v>4</v>
      </c>
      <c r="K19" s="4">
        <v>4</v>
      </c>
      <c r="L19" s="4">
        <v>4</v>
      </c>
      <c r="M19" s="4">
        <v>4</v>
      </c>
      <c r="N19" s="4">
        <v>4</v>
      </c>
      <c r="O19" s="4">
        <f>SUM(TABELA23[[#This Row],[T1]:[T7]])</f>
        <v>28</v>
      </c>
      <c r="P19" s="16">
        <f>TABELA23[[#This Row],[QTDE]]*TABELA23[[#This Row],[PREÇO]]</f>
        <v>5453.84</v>
      </c>
    </row>
    <row r="20" spans="2:16" x14ac:dyDescent="0.2">
      <c r="B20" s="4" t="s">
        <v>671</v>
      </c>
      <c r="C20" s="4" t="s">
        <v>672</v>
      </c>
      <c r="D20" s="4" t="s">
        <v>48</v>
      </c>
      <c r="E20" s="4" t="s">
        <v>673</v>
      </c>
      <c r="F20" s="16">
        <v>564.35</v>
      </c>
      <c r="G20" s="4" t="s">
        <v>31</v>
      </c>
      <c r="H20" s="4">
        <v>5</v>
      </c>
      <c r="I20" s="4">
        <v>5</v>
      </c>
      <c r="J20" s="4">
        <v>5</v>
      </c>
      <c r="K20" s="4">
        <v>5</v>
      </c>
      <c r="L20" s="4">
        <v>5</v>
      </c>
      <c r="M20" s="4">
        <v>5</v>
      </c>
      <c r="N20" s="4">
        <v>5</v>
      </c>
      <c r="O20" s="4">
        <f>SUM(TABELA23[[#This Row],[T1]:[T7]])</f>
        <v>35</v>
      </c>
      <c r="P20" s="16">
        <f>TABELA23[[#This Row],[QTDE]]*TABELA23[[#This Row],[PREÇO]]</f>
        <v>19752.25</v>
      </c>
    </row>
    <row r="21" spans="2:16" x14ac:dyDescent="0.2">
      <c r="B21" s="4" t="s">
        <v>674</v>
      </c>
      <c r="C21" s="4" t="s">
        <v>675</v>
      </c>
      <c r="D21" s="4" t="s">
        <v>676</v>
      </c>
      <c r="E21" s="4" t="s">
        <v>677</v>
      </c>
      <c r="F21" s="16">
        <v>346.96</v>
      </c>
      <c r="G21" s="4" t="s">
        <v>31</v>
      </c>
      <c r="H21" s="4">
        <v>6</v>
      </c>
      <c r="I21" s="4">
        <v>6</v>
      </c>
      <c r="J21" s="4">
        <v>6</v>
      </c>
      <c r="K21" s="4">
        <v>6</v>
      </c>
      <c r="L21" s="4">
        <v>6</v>
      </c>
      <c r="M21" s="4">
        <v>6</v>
      </c>
      <c r="N21" s="4">
        <v>6</v>
      </c>
      <c r="O21" s="4">
        <f>SUM(TABELA23[[#This Row],[T1]:[T7]])</f>
        <v>42</v>
      </c>
      <c r="P21" s="16">
        <f>TABELA23[[#This Row],[QTDE]]*TABELA23[[#This Row],[PREÇO]]</f>
        <v>14572.32</v>
      </c>
    </row>
    <row r="22" spans="2:16" x14ac:dyDescent="0.2">
      <c r="B22" s="4" t="s">
        <v>678</v>
      </c>
      <c r="C22" s="4" t="s">
        <v>679</v>
      </c>
      <c r="D22" s="4" t="s">
        <v>79</v>
      </c>
      <c r="E22" s="4" t="s">
        <v>680</v>
      </c>
      <c r="F22" s="16">
        <v>433.91</v>
      </c>
      <c r="G22" s="4" t="s">
        <v>31</v>
      </c>
      <c r="H22" s="4">
        <v>7</v>
      </c>
      <c r="I22" s="4">
        <v>7</v>
      </c>
      <c r="J22" s="4">
        <v>7</v>
      </c>
      <c r="K22" s="4">
        <v>7</v>
      </c>
      <c r="L22" s="4">
        <v>7</v>
      </c>
      <c r="M22" s="4">
        <v>7</v>
      </c>
      <c r="N22" s="4">
        <v>7</v>
      </c>
      <c r="O22" s="4">
        <f>SUM(TABELA23[[#This Row],[T1]:[T7]])</f>
        <v>49</v>
      </c>
      <c r="P22" s="16">
        <f>TABELA23[[#This Row],[QTDE]]*TABELA23[[#This Row],[PREÇO]]</f>
        <v>21261.59</v>
      </c>
    </row>
    <row r="23" spans="2:16" x14ac:dyDescent="0.2">
      <c r="B23" s="4" t="s">
        <v>681</v>
      </c>
      <c r="C23" s="4" t="s">
        <v>682</v>
      </c>
      <c r="D23" s="4" t="s">
        <v>249</v>
      </c>
      <c r="E23" s="4" t="s">
        <v>45</v>
      </c>
      <c r="F23" s="16">
        <v>520.87</v>
      </c>
      <c r="G23" s="4" t="s">
        <v>31</v>
      </c>
      <c r="H23" s="4">
        <v>8</v>
      </c>
      <c r="I23" s="4">
        <v>8</v>
      </c>
      <c r="J23" s="4">
        <v>8</v>
      </c>
      <c r="K23" s="4">
        <v>8</v>
      </c>
      <c r="L23" s="4">
        <v>8</v>
      </c>
      <c r="M23" s="4">
        <v>8</v>
      </c>
      <c r="N23" s="4">
        <v>8</v>
      </c>
      <c r="O23" s="4">
        <f>SUM(TABELA23[[#This Row],[T1]:[T7]])</f>
        <v>56</v>
      </c>
      <c r="P23" s="16">
        <f>TABELA23[[#This Row],[QTDE]]*TABELA23[[#This Row],[PREÇO]]</f>
        <v>29168.720000000001</v>
      </c>
    </row>
    <row r="24" spans="2:16" x14ac:dyDescent="0.2">
      <c r="B24" s="4" t="s">
        <v>683</v>
      </c>
      <c r="C24" s="4" t="s">
        <v>684</v>
      </c>
      <c r="D24" s="4" t="s">
        <v>46</v>
      </c>
      <c r="E24" s="4" t="s">
        <v>685</v>
      </c>
      <c r="F24" s="16">
        <v>520.87</v>
      </c>
      <c r="G24" s="4" t="s">
        <v>44</v>
      </c>
      <c r="H24" s="4">
        <v>9</v>
      </c>
      <c r="I24" s="4">
        <v>9</v>
      </c>
      <c r="J24" s="4">
        <v>9</v>
      </c>
      <c r="K24" s="4">
        <v>9</v>
      </c>
      <c r="L24" s="4">
        <v>9</v>
      </c>
      <c r="M24" s="4">
        <v>9</v>
      </c>
      <c r="N24" s="4">
        <v>9</v>
      </c>
      <c r="O24" s="4">
        <f>SUM(TABELA23[[#This Row],[T1]:[T7]])</f>
        <v>63</v>
      </c>
      <c r="P24" s="16">
        <f>TABELA23[[#This Row],[QTDE]]*TABELA23[[#This Row],[PREÇO]]</f>
        <v>32814.81</v>
      </c>
    </row>
    <row r="25" spans="2:16" x14ac:dyDescent="0.2">
      <c r="B25" s="4" t="s">
        <v>686</v>
      </c>
      <c r="C25" s="4" t="s">
        <v>687</v>
      </c>
      <c r="D25" s="4" t="s">
        <v>38</v>
      </c>
      <c r="E25" s="4" t="s">
        <v>688</v>
      </c>
      <c r="F25" s="16">
        <v>564.35</v>
      </c>
      <c r="G25" s="4" t="s">
        <v>44</v>
      </c>
      <c r="H25" s="4">
        <v>10</v>
      </c>
      <c r="I25" s="4">
        <v>10</v>
      </c>
      <c r="J25" s="4">
        <v>10</v>
      </c>
      <c r="K25" s="4">
        <v>10</v>
      </c>
      <c r="L25" s="4">
        <v>10</v>
      </c>
      <c r="M25" s="4">
        <v>10</v>
      </c>
      <c r="N25" s="4">
        <v>10</v>
      </c>
      <c r="O25" s="4">
        <f>SUM(TABELA23[[#This Row],[T1]:[T7]])</f>
        <v>70</v>
      </c>
      <c r="P25" s="16">
        <f>TABELA23[[#This Row],[QTDE]]*TABELA23[[#This Row],[PREÇO]]</f>
        <v>39504.5</v>
      </c>
    </row>
    <row r="26" spans="2:16" x14ac:dyDescent="0.2">
      <c r="B26" s="4" t="s">
        <v>686</v>
      </c>
      <c r="C26" s="4" t="s">
        <v>687</v>
      </c>
      <c r="D26" s="4" t="s">
        <v>689</v>
      </c>
      <c r="E26" s="4" t="s">
        <v>690</v>
      </c>
      <c r="F26" s="16">
        <v>564.35</v>
      </c>
      <c r="G26" s="4" t="s">
        <v>44</v>
      </c>
      <c r="H26" s="4"/>
      <c r="I26" s="4"/>
      <c r="J26" s="4"/>
      <c r="K26" s="4"/>
      <c r="L26" s="4"/>
      <c r="M26" s="4"/>
      <c r="N26" s="4"/>
      <c r="O26" s="4">
        <f>SUM(TABELA23[[#This Row],[T1]:[T7]])</f>
        <v>0</v>
      </c>
      <c r="P26" s="16">
        <f>TABELA23[[#This Row],[QTDE]]*TABELA23[[#This Row],[PREÇO]]</f>
        <v>0</v>
      </c>
    </row>
    <row r="27" spans="2:16" x14ac:dyDescent="0.2">
      <c r="B27" s="4" t="s">
        <v>691</v>
      </c>
      <c r="C27" s="4" t="s">
        <v>692</v>
      </c>
      <c r="D27" s="4" t="s">
        <v>38</v>
      </c>
      <c r="E27" s="4" t="s">
        <v>688</v>
      </c>
      <c r="F27" s="16">
        <v>433.91</v>
      </c>
      <c r="G27" s="4" t="s">
        <v>44</v>
      </c>
      <c r="H27" s="4"/>
      <c r="I27" s="4"/>
      <c r="J27" s="4"/>
      <c r="K27" s="4"/>
      <c r="L27" s="4"/>
      <c r="M27" s="4"/>
      <c r="N27" s="4"/>
      <c r="O27" s="4">
        <f>SUM(TABELA23[[#This Row],[T1]:[T7]])</f>
        <v>0</v>
      </c>
      <c r="P27" s="16">
        <f>TABELA23[[#This Row],[QTDE]]*TABELA23[[#This Row],[PREÇO]]</f>
        <v>0</v>
      </c>
    </row>
    <row r="28" spans="2:16" x14ac:dyDescent="0.2">
      <c r="B28" s="4" t="s">
        <v>693</v>
      </c>
      <c r="C28" s="4" t="s">
        <v>694</v>
      </c>
      <c r="D28" s="4" t="s">
        <v>695</v>
      </c>
      <c r="E28" s="4" t="s">
        <v>696</v>
      </c>
      <c r="F28" s="16">
        <v>520.87</v>
      </c>
      <c r="G28" s="4" t="s">
        <v>31</v>
      </c>
      <c r="H28" s="4"/>
      <c r="I28" s="4"/>
      <c r="J28" s="4"/>
      <c r="K28" s="4"/>
      <c r="L28" s="4"/>
      <c r="M28" s="4"/>
      <c r="N28" s="4"/>
      <c r="O28" s="4">
        <f>SUM(TABELA23[[#This Row],[T1]:[T7]])</f>
        <v>0</v>
      </c>
      <c r="P28" s="16">
        <f>TABELA23[[#This Row],[QTDE]]*TABELA23[[#This Row],[PREÇO]]</f>
        <v>0</v>
      </c>
    </row>
    <row r="29" spans="2:16" x14ac:dyDescent="0.2">
      <c r="B29" s="4" t="s">
        <v>697</v>
      </c>
      <c r="C29" s="4" t="s">
        <v>698</v>
      </c>
      <c r="D29" s="4" t="s">
        <v>699</v>
      </c>
      <c r="E29" s="4" t="s">
        <v>700</v>
      </c>
      <c r="F29" s="16">
        <v>346.96</v>
      </c>
      <c r="G29" s="4" t="s">
        <v>31</v>
      </c>
      <c r="H29" s="4"/>
      <c r="I29" s="4"/>
      <c r="J29" s="4"/>
      <c r="K29" s="4"/>
      <c r="L29" s="4"/>
      <c r="M29" s="4"/>
      <c r="N29" s="4"/>
      <c r="O29" s="4">
        <f>SUM(TABELA23[[#This Row],[T1]:[T7]])</f>
        <v>0</v>
      </c>
      <c r="P29" s="16">
        <f>TABELA23[[#This Row],[QTDE]]*TABELA23[[#This Row],[PREÇO]]</f>
        <v>0</v>
      </c>
    </row>
    <row r="30" spans="2:16" x14ac:dyDescent="0.2">
      <c r="B30" s="4" t="s">
        <v>701</v>
      </c>
      <c r="C30" s="4" t="s">
        <v>702</v>
      </c>
      <c r="D30" s="4" t="s">
        <v>703</v>
      </c>
      <c r="E30" s="4" t="s">
        <v>704</v>
      </c>
      <c r="F30" s="16">
        <v>433.91</v>
      </c>
      <c r="G30" s="4" t="s">
        <v>31</v>
      </c>
      <c r="H30" s="4"/>
      <c r="I30" s="4"/>
      <c r="J30" s="4"/>
      <c r="K30" s="4"/>
      <c r="L30" s="4"/>
      <c r="M30" s="4"/>
      <c r="N30" s="4"/>
      <c r="O30" s="4">
        <f>SUM(TABELA23[[#This Row],[T1]:[T7]])</f>
        <v>0</v>
      </c>
      <c r="P30" s="16">
        <f>TABELA23[[#This Row],[QTDE]]*TABELA23[[#This Row],[PREÇO]]</f>
        <v>0</v>
      </c>
    </row>
    <row r="31" spans="2:16" x14ac:dyDescent="0.2">
      <c r="B31" s="4" t="s">
        <v>705</v>
      </c>
      <c r="C31" s="4" t="s">
        <v>706</v>
      </c>
      <c r="D31" s="4" t="s">
        <v>707</v>
      </c>
      <c r="E31" s="4" t="s">
        <v>708</v>
      </c>
      <c r="F31" s="16">
        <v>229.57</v>
      </c>
      <c r="G31" s="4" t="s">
        <v>44</v>
      </c>
      <c r="H31" s="4"/>
      <c r="I31" s="4"/>
      <c r="J31" s="4"/>
      <c r="K31" s="4"/>
      <c r="L31" s="4"/>
      <c r="M31" s="4"/>
      <c r="N31" s="4"/>
      <c r="O31" s="4">
        <f>SUM(TABELA23[[#This Row],[T1]:[T7]])</f>
        <v>0</v>
      </c>
      <c r="P31" s="16">
        <f>TABELA23[[#This Row],[QTDE]]*TABELA23[[#This Row],[PREÇO]]</f>
        <v>0</v>
      </c>
    </row>
    <row r="32" spans="2:16" x14ac:dyDescent="0.2">
      <c r="B32" s="4" t="s">
        <v>705</v>
      </c>
      <c r="C32" s="4" t="s">
        <v>706</v>
      </c>
      <c r="D32" s="4" t="s">
        <v>709</v>
      </c>
      <c r="E32" s="4" t="s">
        <v>710</v>
      </c>
      <c r="F32" s="16">
        <v>229.57</v>
      </c>
      <c r="G32" s="4" t="s">
        <v>44</v>
      </c>
      <c r="H32" s="4"/>
      <c r="I32" s="4"/>
      <c r="J32" s="4"/>
      <c r="K32" s="4"/>
      <c r="L32" s="4"/>
      <c r="M32" s="4"/>
      <c r="N32" s="4"/>
      <c r="O32" s="4">
        <f>SUM(TABELA23[[#This Row],[T1]:[T7]])</f>
        <v>0</v>
      </c>
      <c r="P32" s="16">
        <f>TABELA23[[#This Row],[QTDE]]*TABELA23[[#This Row],[PREÇO]]</f>
        <v>0</v>
      </c>
    </row>
    <row r="33" spans="2:16" x14ac:dyDescent="0.2">
      <c r="B33" s="4" t="s">
        <v>711</v>
      </c>
      <c r="C33" s="4" t="s">
        <v>712</v>
      </c>
      <c r="D33" s="4" t="s">
        <v>48</v>
      </c>
      <c r="E33" s="4" t="s">
        <v>713</v>
      </c>
      <c r="F33" s="16">
        <v>325.22000000000003</v>
      </c>
      <c r="G33" s="4" t="s">
        <v>44</v>
      </c>
      <c r="H33" s="4"/>
      <c r="I33" s="4"/>
      <c r="J33" s="4"/>
      <c r="K33" s="4"/>
      <c r="L33" s="4"/>
      <c r="M33" s="4"/>
      <c r="N33" s="4"/>
      <c r="O33" s="4">
        <f>SUM(TABELA23[[#This Row],[T1]:[T7]])</f>
        <v>0</v>
      </c>
      <c r="P33" s="16">
        <f>TABELA23[[#This Row],[QTDE]]*TABELA23[[#This Row],[PREÇO]]</f>
        <v>0</v>
      </c>
    </row>
    <row r="34" spans="2:16" x14ac:dyDescent="0.2">
      <c r="B34" s="4" t="s">
        <v>711</v>
      </c>
      <c r="C34" s="4" t="s">
        <v>712</v>
      </c>
      <c r="D34" s="4" t="s">
        <v>714</v>
      </c>
      <c r="E34" s="4" t="s">
        <v>690</v>
      </c>
      <c r="F34" s="16">
        <v>325.22000000000003</v>
      </c>
      <c r="G34" s="4" t="s">
        <v>44</v>
      </c>
      <c r="H34" s="4"/>
      <c r="I34" s="4"/>
      <c r="J34" s="4"/>
      <c r="K34" s="4"/>
      <c r="L34" s="4"/>
      <c r="M34" s="4"/>
      <c r="N34" s="4"/>
      <c r="O34" s="4">
        <f>SUM(TABELA23[[#This Row],[T1]:[T7]])</f>
        <v>0</v>
      </c>
      <c r="P34" s="16">
        <f>TABELA23[[#This Row],[QTDE]]*TABELA23[[#This Row],[PREÇO]]</f>
        <v>0</v>
      </c>
    </row>
    <row r="35" spans="2:16" x14ac:dyDescent="0.2">
      <c r="B35" s="4" t="s">
        <v>715</v>
      </c>
      <c r="C35" s="4" t="s">
        <v>716</v>
      </c>
      <c r="D35" s="4" t="s">
        <v>32</v>
      </c>
      <c r="E35" s="4" t="s">
        <v>33</v>
      </c>
      <c r="F35" s="16">
        <v>433.91</v>
      </c>
      <c r="G35" s="4" t="s">
        <v>44</v>
      </c>
      <c r="H35" s="4"/>
      <c r="I35" s="4"/>
      <c r="J35" s="4"/>
      <c r="K35" s="4"/>
      <c r="L35" s="4"/>
      <c r="M35" s="4"/>
      <c r="N35" s="4"/>
      <c r="O35" s="4">
        <f>SUM(TABELA23[[#This Row],[T1]:[T7]])</f>
        <v>0</v>
      </c>
      <c r="P35" s="16">
        <f>TABELA23[[#This Row],[QTDE]]*TABELA23[[#This Row],[PREÇO]]</f>
        <v>0</v>
      </c>
    </row>
    <row r="36" spans="2:16" x14ac:dyDescent="0.2">
      <c r="B36" s="4" t="s">
        <v>717</v>
      </c>
      <c r="C36" s="4" t="s">
        <v>718</v>
      </c>
      <c r="D36" s="4" t="s">
        <v>34</v>
      </c>
      <c r="E36" s="4" t="s">
        <v>35</v>
      </c>
      <c r="F36" s="16">
        <v>520.87</v>
      </c>
      <c r="G36" s="4" t="s">
        <v>44</v>
      </c>
      <c r="H36" s="4"/>
      <c r="I36" s="4"/>
      <c r="J36" s="4"/>
      <c r="K36" s="4"/>
      <c r="L36" s="4"/>
      <c r="M36" s="4"/>
      <c r="N36" s="4"/>
      <c r="O36" s="4">
        <f>SUM(TABELA23[[#This Row],[T1]:[T7]])</f>
        <v>0</v>
      </c>
      <c r="P36" s="16">
        <f>TABELA23[[#This Row],[QTDE]]*TABELA23[[#This Row],[PREÇO]]</f>
        <v>0</v>
      </c>
    </row>
    <row r="37" spans="2:16" x14ac:dyDescent="0.2">
      <c r="B37" s="4" t="s">
        <v>719</v>
      </c>
      <c r="C37" s="4" t="s">
        <v>720</v>
      </c>
      <c r="D37" s="4" t="s">
        <v>32</v>
      </c>
      <c r="E37" s="4" t="s">
        <v>33</v>
      </c>
      <c r="F37" s="16">
        <v>390.43</v>
      </c>
      <c r="G37" s="4" t="s">
        <v>44</v>
      </c>
      <c r="H37" s="4"/>
      <c r="I37" s="4"/>
      <c r="J37" s="4"/>
      <c r="K37" s="4"/>
      <c r="L37" s="4"/>
      <c r="M37" s="4"/>
      <c r="N37" s="4"/>
      <c r="O37" s="4">
        <f>SUM(TABELA23[[#This Row],[T1]:[T7]])</f>
        <v>0</v>
      </c>
      <c r="P37" s="16">
        <f>TABELA23[[#This Row],[QTDE]]*TABELA23[[#This Row],[PREÇO]]</f>
        <v>0</v>
      </c>
    </row>
    <row r="38" spans="2:16" x14ac:dyDescent="0.2">
      <c r="B38" s="4" t="s">
        <v>721</v>
      </c>
      <c r="C38" s="4" t="s">
        <v>722</v>
      </c>
      <c r="D38" s="4" t="s">
        <v>723</v>
      </c>
      <c r="E38" s="4" t="s">
        <v>724</v>
      </c>
      <c r="F38" s="16">
        <v>346.96</v>
      </c>
      <c r="G38" s="4" t="s">
        <v>44</v>
      </c>
      <c r="H38" s="4"/>
      <c r="I38" s="4"/>
      <c r="J38" s="4"/>
      <c r="K38" s="4"/>
      <c r="L38" s="4"/>
      <c r="M38" s="4"/>
      <c r="N38" s="4"/>
      <c r="O38" s="4">
        <f>SUM(TABELA23[[#This Row],[T1]:[T7]])</f>
        <v>0</v>
      </c>
      <c r="P38" s="16">
        <f>TABELA23[[#This Row],[QTDE]]*TABELA23[[#This Row],[PREÇO]]</f>
        <v>0</v>
      </c>
    </row>
    <row r="39" spans="2:16" x14ac:dyDescent="0.2">
      <c r="B39" s="4" t="s">
        <v>725</v>
      </c>
      <c r="C39" s="4" t="s">
        <v>726</v>
      </c>
      <c r="D39" s="4" t="s">
        <v>32</v>
      </c>
      <c r="E39" s="4" t="s">
        <v>33</v>
      </c>
      <c r="F39" s="16">
        <v>229.57</v>
      </c>
      <c r="G39" s="4" t="s">
        <v>44</v>
      </c>
      <c r="H39" s="4"/>
      <c r="I39" s="4"/>
      <c r="J39" s="4"/>
      <c r="K39" s="4"/>
      <c r="L39" s="4"/>
      <c r="M39" s="4"/>
      <c r="N39" s="4"/>
      <c r="O39" s="4">
        <f>SUM(TABELA23[[#This Row],[T1]:[T7]])</f>
        <v>0</v>
      </c>
      <c r="P39" s="16">
        <f>TABELA23[[#This Row],[QTDE]]*TABELA23[[#This Row],[PREÇO]]</f>
        <v>0</v>
      </c>
    </row>
    <row r="40" spans="2:16" x14ac:dyDescent="0.2">
      <c r="B40" s="4" t="s">
        <v>727</v>
      </c>
      <c r="C40" s="4" t="s">
        <v>728</v>
      </c>
      <c r="D40" s="4" t="s">
        <v>729</v>
      </c>
      <c r="E40" s="4" t="s">
        <v>730</v>
      </c>
      <c r="F40" s="16">
        <v>381.74</v>
      </c>
      <c r="G40" s="4" t="s">
        <v>44</v>
      </c>
      <c r="H40" s="4"/>
      <c r="I40" s="4"/>
      <c r="J40" s="4"/>
      <c r="K40" s="4"/>
      <c r="L40" s="4"/>
      <c r="M40" s="4"/>
      <c r="N40" s="4"/>
      <c r="O40" s="4">
        <f>SUM(TABELA23[[#This Row],[T1]:[T7]])</f>
        <v>0</v>
      </c>
      <c r="P40" s="16">
        <f>TABELA23[[#This Row],[QTDE]]*TABELA23[[#This Row],[PREÇO]]</f>
        <v>0</v>
      </c>
    </row>
    <row r="41" spans="2:16" x14ac:dyDescent="0.2">
      <c r="B41" s="4" t="s">
        <v>731</v>
      </c>
      <c r="C41" s="4" t="s">
        <v>732</v>
      </c>
      <c r="D41" s="4" t="s">
        <v>34</v>
      </c>
      <c r="E41" s="4" t="s">
        <v>35</v>
      </c>
      <c r="F41" s="16">
        <v>390.43</v>
      </c>
      <c r="G41" s="4" t="s">
        <v>44</v>
      </c>
      <c r="H41" s="4"/>
      <c r="I41" s="4"/>
      <c r="J41" s="4"/>
      <c r="K41" s="4"/>
      <c r="L41" s="4"/>
      <c r="M41" s="4"/>
      <c r="N41" s="4"/>
      <c r="O41" s="4">
        <f>SUM(TABELA23[[#This Row],[T1]:[T7]])</f>
        <v>0</v>
      </c>
      <c r="P41" s="16">
        <f>TABELA23[[#This Row],[QTDE]]*TABELA23[[#This Row],[PREÇO]]</f>
        <v>0</v>
      </c>
    </row>
    <row r="42" spans="2:16" x14ac:dyDescent="0.2">
      <c r="B42" s="4" t="s">
        <v>733</v>
      </c>
      <c r="C42" s="4" t="s">
        <v>734</v>
      </c>
      <c r="D42" s="4" t="s">
        <v>735</v>
      </c>
      <c r="E42" s="4" t="s">
        <v>736</v>
      </c>
      <c r="F42" s="16">
        <v>346.96</v>
      </c>
      <c r="G42" s="4" t="s">
        <v>44</v>
      </c>
      <c r="H42" s="4"/>
      <c r="I42" s="4"/>
      <c r="J42" s="4"/>
      <c r="K42" s="4"/>
      <c r="L42" s="4"/>
      <c r="M42" s="4"/>
      <c r="N42" s="4"/>
      <c r="O42" s="4">
        <f>SUM(TABELA23[[#This Row],[T1]:[T7]])</f>
        <v>0</v>
      </c>
      <c r="P42" s="16">
        <f>TABELA23[[#This Row],[QTDE]]*TABELA23[[#This Row],[PREÇO]]</f>
        <v>0</v>
      </c>
    </row>
    <row r="43" spans="2:16" x14ac:dyDescent="0.2">
      <c r="B43" s="4" t="s">
        <v>737</v>
      </c>
      <c r="C43" s="4" t="s">
        <v>738</v>
      </c>
      <c r="D43" s="4" t="s">
        <v>32</v>
      </c>
      <c r="E43" s="4" t="s">
        <v>739</v>
      </c>
      <c r="F43" s="16">
        <v>433.91</v>
      </c>
      <c r="G43" s="4" t="s">
        <v>44</v>
      </c>
      <c r="H43" s="4"/>
      <c r="I43" s="4"/>
      <c r="J43" s="4"/>
      <c r="K43" s="4"/>
      <c r="L43" s="4"/>
      <c r="M43" s="4"/>
      <c r="N43" s="4"/>
      <c r="O43" s="4">
        <f>SUM(TABELA23[[#This Row],[T1]:[T7]])</f>
        <v>0</v>
      </c>
      <c r="P43" s="16">
        <f>TABELA23[[#This Row],[QTDE]]*TABELA23[[#This Row],[PREÇO]]</f>
        <v>0</v>
      </c>
    </row>
    <row r="44" spans="2:16" x14ac:dyDescent="0.2">
      <c r="B44" s="4" t="s">
        <v>740</v>
      </c>
      <c r="C44" s="4" t="s">
        <v>741</v>
      </c>
      <c r="D44" s="4" t="s">
        <v>723</v>
      </c>
      <c r="E44" s="4" t="s">
        <v>724</v>
      </c>
      <c r="F44" s="16">
        <v>303.48</v>
      </c>
      <c r="G44" s="4" t="s">
        <v>44</v>
      </c>
      <c r="H44" s="4"/>
      <c r="I44" s="4"/>
      <c r="J44" s="4"/>
      <c r="K44" s="4"/>
      <c r="L44" s="4"/>
      <c r="M44" s="4"/>
      <c r="N44" s="4"/>
      <c r="O44" s="4">
        <f>SUM(TABELA23[[#This Row],[T1]:[T7]])</f>
        <v>0</v>
      </c>
      <c r="P44" s="16">
        <f>TABELA23[[#This Row],[QTDE]]*TABELA23[[#This Row],[PREÇO]]</f>
        <v>0</v>
      </c>
    </row>
    <row r="45" spans="2:16" x14ac:dyDescent="0.2">
      <c r="B45" s="4" t="s">
        <v>742</v>
      </c>
      <c r="C45" s="4" t="s">
        <v>743</v>
      </c>
      <c r="D45" s="4" t="s">
        <v>32</v>
      </c>
      <c r="E45" s="4" t="s">
        <v>33</v>
      </c>
      <c r="F45" s="16">
        <v>390.43</v>
      </c>
      <c r="G45" s="4" t="s">
        <v>44</v>
      </c>
      <c r="H45" s="4"/>
      <c r="I45" s="4"/>
      <c r="J45" s="4"/>
      <c r="K45" s="4"/>
      <c r="L45" s="4"/>
      <c r="M45" s="4"/>
      <c r="N45" s="4"/>
      <c r="O45" s="4">
        <f>SUM(TABELA23[[#This Row],[T1]:[T7]])</f>
        <v>0</v>
      </c>
      <c r="P45" s="16">
        <f>TABELA23[[#This Row],[QTDE]]*TABELA23[[#This Row],[PREÇO]]</f>
        <v>0</v>
      </c>
    </row>
    <row r="46" spans="2:16" x14ac:dyDescent="0.2">
      <c r="B46" s="4" t="s">
        <v>744</v>
      </c>
      <c r="C46" s="4" t="s">
        <v>745</v>
      </c>
      <c r="D46" s="4" t="s">
        <v>36</v>
      </c>
      <c r="E46" s="4" t="s">
        <v>746</v>
      </c>
      <c r="F46" s="16">
        <v>433.91</v>
      </c>
      <c r="G46" s="4" t="s">
        <v>44</v>
      </c>
      <c r="H46" s="4"/>
      <c r="I46" s="4"/>
      <c r="J46" s="4"/>
      <c r="K46" s="4"/>
      <c r="L46" s="4"/>
      <c r="M46" s="4"/>
      <c r="N46" s="4"/>
      <c r="O46" s="4">
        <f>SUM(TABELA23[[#This Row],[T1]:[T7]])</f>
        <v>0</v>
      </c>
      <c r="P46" s="16">
        <f>TABELA23[[#This Row],[QTDE]]*TABELA23[[#This Row],[PREÇO]]</f>
        <v>0</v>
      </c>
    </row>
    <row r="47" spans="2:16" x14ac:dyDescent="0.2">
      <c r="B47" s="4" t="s">
        <v>747</v>
      </c>
      <c r="C47" s="4" t="s">
        <v>748</v>
      </c>
      <c r="D47" s="4" t="s">
        <v>749</v>
      </c>
      <c r="E47" s="4" t="s">
        <v>750</v>
      </c>
      <c r="F47" s="16">
        <v>325.22000000000003</v>
      </c>
      <c r="G47" s="4" t="s">
        <v>44</v>
      </c>
      <c r="H47" s="4"/>
      <c r="I47" s="4"/>
      <c r="J47" s="4"/>
      <c r="K47" s="4"/>
      <c r="L47" s="4"/>
      <c r="M47" s="4"/>
      <c r="N47" s="4"/>
      <c r="O47" s="4">
        <f>SUM(TABELA23[[#This Row],[T1]:[T7]])</f>
        <v>0</v>
      </c>
      <c r="P47" s="16">
        <f>TABELA23[[#This Row],[QTDE]]*TABELA23[[#This Row],[PREÇO]]</f>
        <v>0</v>
      </c>
    </row>
    <row r="48" spans="2:16" x14ac:dyDescent="0.2">
      <c r="B48" s="4" t="s">
        <v>751</v>
      </c>
      <c r="C48" s="4" t="s">
        <v>752</v>
      </c>
      <c r="D48" s="4" t="s">
        <v>753</v>
      </c>
      <c r="E48" s="4" t="s">
        <v>754</v>
      </c>
      <c r="F48" s="16">
        <v>346.96</v>
      </c>
      <c r="G48" s="4" t="s">
        <v>31</v>
      </c>
      <c r="H48" s="4"/>
      <c r="I48" s="4"/>
      <c r="J48" s="4"/>
      <c r="K48" s="4"/>
      <c r="L48" s="4"/>
      <c r="M48" s="4"/>
      <c r="N48" s="4"/>
      <c r="O48" s="4">
        <f>SUM(TABELA23[[#This Row],[T1]:[T7]])</f>
        <v>0</v>
      </c>
      <c r="P48" s="16">
        <f>TABELA23[[#This Row],[QTDE]]*TABELA23[[#This Row],[PREÇO]]</f>
        <v>0</v>
      </c>
    </row>
    <row r="49" spans="2:16" x14ac:dyDescent="0.2">
      <c r="B49" s="4" t="s">
        <v>755</v>
      </c>
      <c r="C49" s="4" t="s">
        <v>756</v>
      </c>
      <c r="D49" s="4" t="s">
        <v>695</v>
      </c>
      <c r="E49" s="4" t="s">
        <v>696</v>
      </c>
      <c r="F49" s="16">
        <v>346.96</v>
      </c>
      <c r="G49" s="4" t="s">
        <v>44</v>
      </c>
      <c r="H49" s="4"/>
      <c r="I49" s="4"/>
      <c r="J49" s="4"/>
      <c r="K49" s="4"/>
      <c r="L49" s="4"/>
      <c r="M49" s="4"/>
      <c r="N49" s="4"/>
      <c r="O49" s="4">
        <f>SUM(TABELA23[[#This Row],[T1]:[T7]])</f>
        <v>0</v>
      </c>
      <c r="P49" s="16">
        <f>TABELA23[[#This Row],[QTDE]]*TABELA23[[#This Row],[PREÇO]]</f>
        <v>0</v>
      </c>
    </row>
    <row r="50" spans="2:16" x14ac:dyDescent="0.2">
      <c r="B50" s="4" t="s">
        <v>757</v>
      </c>
      <c r="C50" s="4" t="s">
        <v>758</v>
      </c>
      <c r="D50" s="4" t="s">
        <v>32</v>
      </c>
      <c r="E50" s="4" t="s">
        <v>33</v>
      </c>
      <c r="F50" s="16">
        <v>281.74</v>
      </c>
      <c r="G50" s="4" t="s">
        <v>44</v>
      </c>
      <c r="H50" s="4"/>
      <c r="I50" s="4"/>
      <c r="J50" s="4"/>
      <c r="K50" s="4"/>
      <c r="L50" s="4"/>
      <c r="M50" s="4"/>
      <c r="N50" s="4"/>
      <c r="O50" s="4">
        <f>SUM(TABELA23[[#This Row],[T1]:[T7]])</f>
        <v>0</v>
      </c>
      <c r="P50" s="16">
        <f>TABELA23[[#This Row],[QTDE]]*TABELA23[[#This Row],[PREÇO]]</f>
        <v>0</v>
      </c>
    </row>
    <row r="51" spans="2:16" x14ac:dyDescent="0.2">
      <c r="B51" s="4" t="s">
        <v>759</v>
      </c>
      <c r="C51" s="4" t="s">
        <v>760</v>
      </c>
      <c r="D51" s="4" t="s">
        <v>761</v>
      </c>
      <c r="E51" s="4" t="s">
        <v>762</v>
      </c>
      <c r="F51" s="16">
        <v>520.87</v>
      </c>
      <c r="G51" s="4" t="s">
        <v>44</v>
      </c>
      <c r="H51" s="4"/>
      <c r="I51" s="4"/>
      <c r="J51" s="4"/>
      <c r="K51" s="4"/>
      <c r="L51" s="4"/>
      <c r="M51" s="4"/>
      <c r="N51" s="4"/>
      <c r="O51" s="4">
        <f>SUM(TABELA23[[#This Row],[T1]:[T7]])</f>
        <v>0</v>
      </c>
      <c r="P51" s="16">
        <f>TABELA23[[#This Row],[QTDE]]*TABELA23[[#This Row],[PREÇO]]</f>
        <v>0</v>
      </c>
    </row>
    <row r="52" spans="2:16" x14ac:dyDescent="0.2">
      <c r="B52" s="4" t="s">
        <v>763</v>
      </c>
      <c r="C52" s="4" t="s">
        <v>764</v>
      </c>
      <c r="D52" s="4" t="s">
        <v>32</v>
      </c>
      <c r="E52" s="4" t="s">
        <v>33</v>
      </c>
      <c r="F52" s="16">
        <v>368.7</v>
      </c>
      <c r="G52" s="4" t="s">
        <v>44</v>
      </c>
      <c r="H52" s="4"/>
      <c r="I52" s="4"/>
      <c r="J52" s="4"/>
      <c r="K52" s="4"/>
      <c r="L52" s="4"/>
      <c r="M52" s="4"/>
      <c r="N52" s="4"/>
      <c r="O52" s="4">
        <f>SUM(TABELA23[[#This Row],[T1]:[T7]])</f>
        <v>0</v>
      </c>
      <c r="P52" s="16">
        <f>TABELA23[[#This Row],[QTDE]]*TABELA23[[#This Row],[PREÇO]]</f>
        <v>0</v>
      </c>
    </row>
    <row r="53" spans="2:16" x14ac:dyDescent="0.2">
      <c r="B53" s="4" t="s">
        <v>765</v>
      </c>
      <c r="C53" s="4" t="s">
        <v>766</v>
      </c>
      <c r="D53" s="4" t="s">
        <v>767</v>
      </c>
      <c r="E53" s="4" t="s">
        <v>768</v>
      </c>
      <c r="F53" s="16">
        <v>260</v>
      </c>
      <c r="G53" s="4" t="s">
        <v>39</v>
      </c>
      <c r="H53" s="4"/>
      <c r="I53" s="4"/>
      <c r="J53" s="4"/>
      <c r="K53" s="4"/>
      <c r="L53" s="4"/>
      <c r="M53" s="4"/>
      <c r="N53" s="4"/>
      <c r="O53" s="4">
        <f>SUM(TABELA23[[#This Row],[T1]:[T7]])</f>
        <v>0</v>
      </c>
      <c r="P53" s="16">
        <f>TABELA23[[#This Row],[QTDE]]*TABELA23[[#This Row],[PREÇO]]</f>
        <v>0</v>
      </c>
    </row>
    <row r="54" spans="2:16" x14ac:dyDescent="0.2">
      <c r="B54" s="4" t="s">
        <v>769</v>
      </c>
      <c r="C54" s="4" t="s">
        <v>770</v>
      </c>
      <c r="D54" s="4" t="s">
        <v>771</v>
      </c>
      <c r="E54" s="4" t="s">
        <v>772</v>
      </c>
      <c r="F54" s="16">
        <v>416.52</v>
      </c>
      <c r="G54" s="4" t="s">
        <v>31</v>
      </c>
      <c r="H54" s="4"/>
      <c r="I54" s="4"/>
      <c r="J54" s="4"/>
      <c r="K54" s="4"/>
      <c r="L54" s="4"/>
      <c r="M54" s="4"/>
      <c r="N54" s="4"/>
      <c r="O54" s="4">
        <f>SUM(TABELA23[[#This Row],[T1]:[T7]])</f>
        <v>0</v>
      </c>
      <c r="P54" s="16">
        <f>TABELA23[[#This Row],[QTDE]]*TABELA23[[#This Row],[PREÇO]]</f>
        <v>0</v>
      </c>
    </row>
    <row r="55" spans="2:16" x14ac:dyDescent="0.2">
      <c r="B55" s="4" t="s">
        <v>773</v>
      </c>
      <c r="C55" s="4" t="s">
        <v>774</v>
      </c>
      <c r="D55" s="4" t="s">
        <v>48</v>
      </c>
      <c r="E55" s="4" t="s">
        <v>673</v>
      </c>
      <c r="F55" s="16">
        <v>303.48</v>
      </c>
      <c r="G55" s="4" t="s">
        <v>31</v>
      </c>
      <c r="H55" s="4"/>
      <c r="I55" s="4"/>
      <c r="J55" s="4"/>
      <c r="K55" s="4"/>
      <c r="L55" s="4"/>
      <c r="M55" s="4"/>
      <c r="N55" s="4"/>
      <c r="O55" s="4">
        <f>SUM(TABELA23[[#This Row],[T1]:[T7]])</f>
        <v>0</v>
      </c>
      <c r="P55" s="16">
        <f>TABELA23[[#This Row],[QTDE]]*TABELA23[[#This Row],[PREÇO]]</f>
        <v>0</v>
      </c>
    </row>
    <row r="56" spans="2:16" x14ac:dyDescent="0.2">
      <c r="B56" s="4" t="s">
        <v>773</v>
      </c>
      <c r="C56" s="4" t="s">
        <v>774</v>
      </c>
      <c r="D56" s="4" t="s">
        <v>775</v>
      </c>
      <c r="E56" s="4" t="s">
        <v>750</v>
      </c>
      <c r="F56" s="16">
        <v>303.48</v>
      </c>
      <c r="G56" s="4" t="s">
        <v>31</v>
      </c>
      <c r="H56" s="4"/>
      <c r="I56" s="4"/>
      <c r="J56" s="4"/>
      <c r="K56" s="4"/>
      <c r="L56" s="4"/>
      <c r="M56" s="4"/>
      <c r="N56" s="4"/>
      <c r="O56" s="4">
        <f>SUM(TABELA23[[#This Row],[T1]:[T7]])</f>
        <v>0</v>
      </c>
      <c r="P56" s="16">
        <f>TABELA23[[#This Row],[QTDE]]*TABELA23[[#This Row],[PREÇO]]</f>
        <v>0</v>
      </c>
    </row>
    <row r="57" spans="2:16" x14ac:dyDescent="0.2">
      <c r="B57" s="4" t="s">
        <v>776</v>
      </c>
      <c r="C57" s="4" t="s">
        <v>777</v>
      </c>
      <c r="D57" s="4" t="s">
        <v>778</v>
      </c>
      <c r="E57" s="4" t="s">
        <v>779</v>
      </c>
      <c r="F57" s="16">
        <v>194.78</v>
      </c>
      <c r="G57" s="4" t="s">
        <v>44</v>
      </c>
      <c r="H57" s="4"/>
      <c r="I57" s="4"/>
      <c r="J57" s="4"/>
      <c r="K57" s="4"/>
      <c r="L57" s="4"/>
      <c r="M57" s="4"/>
      <c r="N57" s="4"/>
      <c r="O57" s="4">
        <f>SUM(TABELA23[[#This Row],[T1]:[T7]])</f>
        <v>0</v>
      </c>
      <c r="P57" s="16">
        <f>TABELA23[[#This Row],[QTDE]]*TABELA23[[#This Row],[PREÇO]]</f>
        <v>0</v>
      </c>
    </row>
    <row r="58" spans="2:16" x14ac:dyDescent="0.2">
      <c r="B58" s="4" t="s">
        <v>780</v>
      </c>
      <c r="C58" s="4" t="s">
        <v>781</v>
      </c>
      <c r="D58" s="4" t="s">
        <v>665</v>
      </c>
      <c r="E58" s="4" t="s">
        <v>782</v>
      </c>
      <c r="F58" s="16">
        <v>216.52</v>
      </c>
      <c r="G58" s="4" t="s">
        <v>44</v>
      </c>
      <c r="H58" s="4"/>
      <c r="I58" s="4"/>
      <c r="J58" s="4"/>
      <c r="K58" s="4"/>
      <c r="L58" s="4"/>
      <c r="M58" s="4"/>
      <c r="N58" s="4"/>
      <c r="O58" s="4">
        <f>SUM(TABELA23[[#This Row],[T1]:[T7]])</f>
        <v>0</v>
      </c>
      <c r="P58" s="16">
        <f>TABELA23[[#This Row],[QTDE]]*TABELA23[[#This Row],[PREÇO]]</f>
        <v>0</v>
      </c>
    </row>
    <row r="59" spans="2:16" x14ac:dyDescent="0.2">
      <c r="B59" s="4" t="s">
        <v>780</v>
      </c>
      <c r="C59" s="4" t="s">
        <v>781</v>
      </c>
      <c r="D59" s="4" t="s">
        <v>709</v>
      </c>
      <c r="E59" s="4" t="s">
        <v>710</v>
      </c>
      <c r="F59" s="16">
        <v>216.52</v>
      </c>
      <c r="G59" s="4" t="s">
        <v>44</v>
      </c>
      <c r="H59" s="4"/>
      <c r="I59" s="4"/>
      <c r="J59" s="4"/>
      <c r="K59" s="4"/>
      <c r="L59" s="4"/>
      <c r="M59" s="4"/>
      <c r="N59" s="4"/>
      <c r="O59" s="4">
        <f>SUM(TABELA23[[#This Row],[T1]:[T7]])</f>
        <v>0</v>
      </c>
      <c r="P59" s="16">
        <f>TABELA23[[#This Row],[QTDE]]*TABELA23[[#This Row],[PREÇO]]</f>
        <v>0</v>
      </c>
    </row>
    <row r="60" spans="2:16" x14ac:dyDescent="0.2">
      <c r="B60" s="4" t="s">
        <v>783</v>
      </c>
      <c r="C60" s="4" t="s">
        <v>784</v>
      </c>
      <c r="D60" s="4" t="s">
        <v>669</v>
      </c>
      <c r="E60" s="4" t="s">
        <v>670</v>
      </c>
      <c r="F60" s="16">
        <v>346.96</v>
      </c>
      <c r="G60" s="4" t="s">
        <v>31</v>
      </c>
      <c r="H60" s="4"/>
      <c r="I60" s="4"/>
      <c r="J60" s="4"/>
      <c r="K60" s="4"/>
      <c r="L60" s="4"/>
      <c r="M60" s="4"/>
      <c r="N60" s="4"/>
      <c r="O60" s="4">
        <f>SUM(TABELA23[[#This Row],[T1]:[T7]])</f>
        <v>0</v>
      </c>
      <c r="P60" s="16">
        <f>TABELA23[[#This Row],[QTDE]]*TABELA23[[#This Row],[PREÇO]]</f>
        <v>0</v>
      </c>
    </row>
    <row r="61" spans="2:16" x14ac:dyDescent="0.2">
      <c r="B61" s="4" t="s">
        <v>785</v>
      </c>
      <c r="C61" s="4" t="s">
        <v>786</v>
      </c>
      <c r="D61" s="4" t="s">
        <v>32</v>
      </c>
      <c r="E61" s="4" t="s">
        <v>33</v>
      </c>
      <c r="F61" s="16">
        <v>346.96</v>
      </c>
      <c r="G61" s="4" t="s">
        <v>31</v>
      </c>
      <c r="H61" s="4"/>
      <c r="I61" s="4"/>
      <c r="J61" s="4"/>
      <c r="K61" s="4"/>
      <c r="L61" s="4"/>
      <c r="M61" s="4"/>
      <c r="N61" s="4"/>
      <c r="O61" s="4">
        <f>SUM(TABELA23[[#This Row],[T1]:[T7]])</f>
        <v>0</v>
      </c>
      <c r="P61" s="16">
        <f>TABELA23[[#This Row],[QTDE]]*TABELA23[[#This Row],[PREÇO]]</f>
        <v>0</v>
      </c>
    </row>
    <row r="62" spans="2:16" x14ac:dyDescent="0.2">
      <c r="B62" s="4" t="s">
        <v>787</v>
      </c>
      <c r="C62" s="4" t="s">
        <v>788</v>
      </c>
      <c r="D62" s="4" t="s">
        <v>38</v>
      </c>
      <c r="E62" s="4" t="s">
        <v>688</v>
      </c>
      <c r="F62" s="16">
        <v>260</v>
      </c>
      <c r="G62" s="4" t="s">
        <v>44</v>
      </c>
      <c r="H62" s="4"/>
      <c r="I62" s="4"/>
      <c r="J62" s="4"/>
      <c r="K62" s="4"/>
      <c r="L62" s="4"/>
      <c r="M62" s="4"/>
      <c r="N62" s="4"/>
      <c r="O62" s="4">
        <f>SUM(TABELA23[[#This Row],[T1]:[T7]])</f>
        <v>0</v>
      </c>
      <c r="P62" s="16">
        <f>TABELA23[[#This Row],[QTDE]]*TABELA23[[#This Row],[PREÇO]]</f>
        <v>0</v>
      </c>
    </row>
    <row r="63" spans="2:16" x14ac:dyDescent="0.2">
      <c r="B63" s="4" t="s">
        <v>789</v>
      </c>
      <c r="C63" s="4" t="s">
        <v>790</v>
      </c>
      <c r="D63" s="4" t="s">
        <v>791</v>
      </c>
      <c r="E63" s="4" t="s">
        <v>713</v>
      </c>
      <c r="F63" s="16">
        <v>216.52</v>
      </c>
      <c r="G63" s="4" t="s">
        <v>44</v>
      </c>
      <c r="H63" s="4"/>
      <c r="I63" s="4"/>
      <c r="J63" s="4"/>
      <c r="K63" s="4"/>
      <c r="L63" s="4"/>
      <c r="M63" s="4"/>
      <c r="N63" s="4"/>
      <c r="O63" s="4">
        <f>SUM(TABELA23[[#This Row],[T1]:[T7]])</f>
        <v>0</v>
      </c>
      <c r="P63" s="16">
        <f>TABELA23[[#This Row],[QTDE]]*TABELA23[[#This Row],[PREÇO]]</f>
        <v>0</v>
      </c>
    </row>
    <row r="64" spans="2:16" x14ac:dyDescent="0.2">
      <c r="B64" s="4" t="s">
        <v>792</v>
      </c>
      <c r="C64" s="4" t="s">
        <v>793</v>
      </c>
      <c r="D64" s="4" t="s">
        <v>794</v>
      </c>
      <c r="E64" s="4" t="s">
        <v>795</v>
      </c>
      <c r="F64" s="16">
        <v>229.57</v>
      </c>
      <c r="G64" s="4" t="s">
        <v>31</v>
      </c>
      <c r="H64" s="4"/>
      <c r="I64" s="4"/>
      <c r="J64" s="4"/>
      <c r="K64" s="4"/>
      <c r="L64" s="4"/>
      <c r="M64" s="4"/>
      <c r="N64" s="4"/>
      <c r="O64" s="4">
        <f>SUM(TABELA23[[#This Row],[T1]:[T7]])</f>
        <v>0</v>
      </c>
      <c r="P64" s="16">
        <f>TABELA23[[#This Row],[QTDE]]*TABELA23[[#This Row],[PREÇO]]</f>
        <v>0</v>
      </c>
    </row>
    <row r="65" spans="2:16" x14ac:dyDescent="0.2">
      <c r="B65" s="4" t="s">
        <v>796</v>
      </c>
      <c r="C65" s="4" t="s">
        <v>797</v>
      </c>
      <c r="D65" s="4" t="s">
        <v>79</v>
      </c>
      <c r="E65" s="4" t="s">
        <v>680</v>
      </c>
      <c r="F65" s="16">
        <v>173.04</v>
      </c>
      <c r="G65" s="4" t="s">
        <v>798</v>
      </c>
      <c r="H65" s="4"/>
      <c r="I65" s="4"/>
      <c r="J65" s="4"/>
      <c r="K65" s="4"/>
      <c r="L65" s="4"/>
      <c r="M65" s="4"/>
      <c r="N65" s="4"/>
      <c r="O65" s="4">
        <f>SUM(TABELA23[[#This Row],[T1]:[T7]])</f>
        <v>0</v>
      </c>
      <c r="P65" s="16">
        <f>TABELA23[[#This Row],[QTDE]]*TABELA23[[#This Row],[PREÇO]]</f>
        <v>0</v>
      </c>
    </row>
    <row r="66" spans="2:16" x14ac:dyDescent="0.2">
      <c r="B66" s="4" t="s">
        <v>796</v>
      </c>
      <c r="C66" s="4" t="s">
        <v>797</v>
      </c>
      <c r="D66" s="4" t="s">
        <v>771</v>
      </c>
      <c r="E66" s="4" t="s">
        <v>772</v>
      </c>
      <c r="F66" s="16">
        <v>173.04</v>
      </c>
      <c r="G66" s="4" t="s">
        <v>798</v>
      </c>
      <c r="H66" s="4"/>
      <c r="I66" s="4"/>
      <c r="J66" s="4"/>
      <c r="K66" s="4"/>
      <c r="L66" s="4"/>
      <c r="M66" s="4"/>
      <c r="N66" s="4"/>
      <c r="O66" s="4">
        <f>SUM(TABELA23[[#This Row],[T1]:[T7]])</f>
        <v>0</v>
      </c>
      <c r="P66" s="16">
        <f>TABELA23[[#This Row],[QTDE]]*TABELA23[[#This Row],[PREÇO]]</f>
        <v>0</v>
      </c>
    </row>
    <row r="67" spans="2:16" x14ac:dyDescent="0.2">
      <c r="B67" s="4" t="s">
        <v>799</v>
      </c>
      <c r="C67" s="4" t="s">
        <v>800</v>
      </c>
      <c r="D67" s="4" t="s">
        <v>801</v>
      </c>
      <c r="E67" s="4" t="s">
        <v>704</v>
      </c>
      <c r="F67" s="16">
        <v>138.26</v>
      </c>
      <c r="G67" s="4" t="s">
        <v>31</v>
      </c>
      <c r="H67" s="4"/>
      <c r="I67" s="4"/>
      <c r="J67" s="4"/>
      <c r="K67" s="4"/>
      <c r="L67" s="4"/>
      <c r="M67" s="4"/>
      <c r="N67" s="4"/>
      <c r="O67" s="4">
        <f>SUM(TABELA23[[#This Row],[T1]:[T7]])</f>
        <v>0</v>
      </c>
      <c r="P67" s="16">
        <f>TABELA23[[#This Row],[QTDE]]*TABELA23[[#This Row],[PREÇO]]</f>
        <v>0</v>
      </c>
    </row>
    <row r="68" spans="2:16" x14ac:dyDescent="0.2">
      <c r="B68" s="4" t="s">
        <v>802</v>
      </c>
      <c r="C68" s="4" t="s">
        <v>803</v>
      </c>
      <c r="D68" s="4" t="s">
        <v>804</v>
      </c>
      <c r="E68" s="4" t="s">
        <v>805</v>
      </c>
      <c r="F68" s="16">
        <v>142.61000000000001</v>
      </c>
      <c r="G68" s="4" t="s">
        <v>31</v>
      </c>
      <c r="H68" s="4"/>
      <c r="I68" s="4"/>
      <c r="J68" s="4"/>
      <c r="K68" s="4"/>
      <c r="L68" s="4"/>
      <c r="M68" s="4"/>
      <c r="N68" s="4"/>
      <c r="O68" s="4">
        <f>SUM(TABELA23[[#This Row],[T1]:[T7]])</f>
        <v>0</v>
      </c>
      <c r="P68" s="16">
        <f>TABELA23[[#This Row],[QTDE]]*TABELA23[[#This Row],[PREÇO]]</f>
        <v>0</v>
      </c>
    </row>
    <row r="69" spans="2:16" x14ac:dyDescent="0.2">
      <c r="B69" s="4" t="s">
        <v>806</v>
      </c>
      <c r="C69" s="4" t="s">
        <v>807</v>
      </c>
      <c r="D69" s="4" t="s">
        <v>34</v>
      </c>
      <c r="E69" s="4" t="s">
        <v>35</v>
      </c>
      <c r="F69" s="16">
        <v>173.04</v>
      </c>
      <c r="G69" s="4" t="s">
        <v>44</v>
      </c>
      <c r="H69" s="4"/>
      <c r="I69" s="4"/>
      <c r="J69" s="4"/>
      <c r="K69" s="4"/>
      <c r="L69" s="4"/>
      <c r="M69" s="4"/>
      <c r="N69" s="4"/>
      <c r="O69" s="4">
        <f>SUM(TABELA23[[#This Row],[T1]:[T7]])</f>
        <v>0</v>
      </c>
      <c r="P69" s="16">
        <f>TABELA23[[#This Row],[QTDE]]*TABELA23[[#This Row],[PREÇO]]</f>
        <v>0</v>
      </c>
    </row>
    <row r="70" spans="2:16" x14ac:dyDescent="0.2">
      <c r="B70" s="4" t="s">
        <v>806</v>
      </c>
      <c r="C70" s="4" t="s">
        <v>807</v>
      </c>
      <c r="D70" s="4" t="s">
        <v>707</v>
      </c>
      <c r="E70" s="4" t="s">
        <v>808</v>
      </c>
      <c r="F70" s="16">
        <v>173.04</v>
      </c>
      <c r="G70" s="4" t="s">
        <v>44</v>
      </c>
      <c r="H70" s="4"/>
      <c r="I70" s="4"/>
      <c r="J70" s="4"/>
      <c r="K70" s="4"/>
      <c r="L70" s="4"/>
      <c r="M70" s="4"/>
      <c r="N70" s="4"/>
      <c r="O70" s="4">
        <f>SUM(TABELA23[[#This Row],[T1]:[T7]])</f>
        <v>0</v>
      </c>
      <c r="P70" s="16">
        <f>TABELA23[[#This Row],[QTDE]]*TABELA23[[#This Row],[PREÇO]]</f>
        <v>0</v>
      </c>
    </row>
    <row r="71" spans="2:16" x14ac:dyDescent="0.2">
      <c r="B71" s="4" t="s">
        <v>809</v>
      </c>
      <c r="C71" s="4" t="s">
        <v>810</v>
      </c>
      <c r="D71" s="4" t="s">
        <v>791</v>
      </c>
      <c r="E71" s="4" t="s">
        <v>811</v>
      </c>
      <c r="F71" s="16">
        <v>173.04</v>
      </c>
      <c r="G71" s="4" t="s">
        <v>39</v>
      </c>
      <c r="H71" s="4"/>
      <c r="I71" s="4"/>
      <c r="J71" s="4"/>
      <c r="K71" s="4"/>
      <c r="L71" s="4"/>
      <c r="M71" s="4"/>
      <c r="N71" s="4"/>
      <c r="O71" s="4">
        <f>SUM(TABELA23[[#This Row],[T1]:[T7]])</f>
        <v>0</v>
      </c>
      <c r="P71" s="16">
        <f>TABELA23[[#This Row],[QTDE]]*TABELA23[[#This Row],[PREÇO]]</f>
        <v>0</v>
      </c>
    </row>
    <row r="72" spans="2:16" x14ac:dyDescent="0.2">
      <c r="B72" s="4" t="s">
        <v>809</v>
      </c>
      <c r="C72" s="4" t="s">
        <v>810</v>
      </c>
      <c r="D72" s="4" t="s">
        <v>749</v>
      </c>
      <c r="E72" s="4" t="s">
        <v>812</v>
      </c>
      <c r="F72" s="16">
        <v>173.04</v>
      </c>
      <c r="G72" s="4" t="s">
        <v>39</v>
      </c>
      <c r="H72" s="4"/>
      <c r="I72" s="4"/>
      <c r="J72" s="4"/>
      <c r="K72" s="4"/>
      <c r="L72" s="4"/>
      <c r="M72" s="4"/>
      <c r="N72" s="4"/>
      <c r="O72" s="4">
        <f>SUM(TABELA23[[#This Row],[T1]:[T7]])</f>
        <v>0</v>
      </c>
      <c r="P72" s="16">
        <f>TABELA23[[#This Row],[QTDE]]*TABELA23[[#This Row],[PREÇO]]</f>
        <v>0</v>
      </c>
    </row>
    <row r="73" spans="2:16" x14ac:dyDescent="0.2">
      <c r="B73" s="4" t="s">
        <v>813</v>
      </c>
      <c r="C73" s="4" t="s">
        <v>814</v>
      </c>
      <c r="D73" s="4" t="s">
        <v>38</v>
      </c>
      <c r="E73" s="4" t="s">
        <v>688</v>
      </c>
      <c r="F73" s="16">
        <v>203.48</v>
      </c>
      <c r="G73" s="4" t="s">
        <v>44</v>
      </c>
      <c r="H73" s="4"/>
      <c r="I73" s="4"/>
      <c r="J73" s="4"/>
      <c r="K73" s="4"/>
      <c r="L73" s="4"/>
      <c r="M73" s="4"/>
      <c r="N73" s="4"/>
      <c r="O73" s="4">
        <f>SUM(TABELA23[[#This Row],[T1]:[T7]])</f>
        <v>0</v>
      </c>
      <c r="P73" s="16">
        <f>TABELA23[[#This Row],[QTDE]]*TABELA23[[#This Row],[PREÇO]]</f>
        <v>0</v>
      </c>
    </row>
    <row r="74" spans="2:16" x14ac:dyDescent="0.2">
      <c r="B74" s="4" t="s">
        <v>815</v>
      </c>
      <c r="C74" s="4" t="s">
        <v>816</v>
      </c>
      <c r="D74" s="4" t="s">
        <v>791</v>
      </c>
      <c r="E74" s="4" t="s">
        <v>35</v>
      </c>
      <c r="F74" s="16">
        <v>216.52</v>
      </c>
      <c r="G74" s="4" t="s">
        <v>44</v>
      </c>
      <c r="H74" s="4"/>
      <c r="I74" s="4"/>
      <c r="J74" s="4"/>
      <c r="K74" s="4"/>
      <c r="L74" s="4"/>
      <c r="M74" s="4"/>
      <c r="N74" s="4"/>
      <c r="O74" s="4">
        <f>SUM(TABELA23[[#This Row],[T1]:[T7]])</f>
        <v>0</v>
      </c>
      <c r="P74" s="16">
        <f>TABELA23[[#This Row],[QTDE]]*TABELA23[[#This Row],[PREÇO]]</f>
        <v>0</v>
      </c>
    </row>
    <row r="75" spans="2:16" x14ac:dyDescent="0.2">
      <c r="B75" s="4" t="s">
        <v>817</v>
      </c>
      <c r="C75" s="4" t="s">
        <v>818</v>
      </c>
      <c r="D75" s="4" t="s">
        <v>38</v>
      </c>
      <c r="E75" s="4" t="s">
        <v>688</v>
      </c>
      <c r="F75" s="16">
        <v>173.04</v>
      </c>
      <c r="G75" s="4" t="s">
        <v>44</v>
      </c>
      <c r="H75" s="4"/>
      <c r="I75" s="4"/>
      <c r="J75" s="4"/>
      <c r="K75" s="4"/>
      <c r="L75" s="4"/>
      <c r="M75" s="4"/>
      <c r="N75" s="4"/>
      <c r="O75" s="4">
        <f>SUM(TABELA23[[#This Row],[T1]:[T7]])</f>
        <v>0</v>
      </c>
      <c r="P75" s="16">
        <f>TABELA23[[#This Row],[QTDE]]*TABELA23[[#This Row],[PREÇO]]</f>
        <v>0</v>
      </c>
    </row>
    <row r="76" spans="2:16" x14ac:dyDescent="0.2">
      <c r="B76" s="4" t="s">
        <v>819</v>
      </c>
      <c r="C76" s="4" t="s">
        <v>820</v>
      </c>
      <c r="D76" s="4" t="s">
        <v>775</v>
      </c>
      <c r="E76" s="4" t="s">
        <v>750</v>
      </c>
      <c r="F76" s="16">
        <v>194.78</v>
      </c>
      <c r="G76" s="4" t="s">
        <v>239</v>
      </c>
      <c r="H76" s="4"/>
      <c r="I76" s="4"/>
      <c r="J76" s="4"/>
      <c r="K76" s="4"/>
      <c r="L76" s="4"/>
      <c r="M76" s="4"/>
      <c r="N76" s="4"/>
      <c r="O76" s="4">
        <f>SUM(TABELA23[[#This Row],[T1]:[T7]])</f>
        <v>0</v>
      </c>
      <c r="P76" s="16">
        <f>TABELA23[[#This Row],[QTDE]]*TABELA23[[#This Row],[PREÇO]]</f>
        <v>0</v>
      </c>
    </row>
    <row r="77" spans="2:16" x14ac:dyDescent="0.2">
      <c r="B77" s="4" t="s">
        <v>821</v>
      </c>
      <c r="C77" s="4" t="s">
        <v>822</v>
      </c>
      <c r="D77" s="4" t="s">
        <v>761</v>
      </c>
      <c r="E77" s="4" t="s">
        <v>762</v>
      </c>
      <c r="F77" s="16">
        <v>260</v>
      </c>
      <c r="G77" s="4" t="s">
        <v>39</v>
      </c>
      <c r="H77" s="4"/>
      <c r="I77" s="4"/>
      <c r="J77" s="4"/>
      <c r="K77" s="4"/>
      <c r="L77" s="4"/>
      <c r="M77" s="4"/>
      <c r="N77" s="4"/>
      <c r="O77" s="4">
        <f>SUM(TABELA23[[#This Row],[T1]:[T7]])</f>
        <v>0</v>
      </c>
      <c r="P77" s="16">
        <f>TABELA23[[#This Row],[QTDE]]*TABELA23[[#This Row],[PREÇO]]</f>
        <v>0</v>
      </c>
    </row>
    <row r="78" spans="2:16" x14ac:dyDescent="0.2">
      <c r="B78" s="4" t="s">
        <v>823</v>
      </c>
      <c r="C78" s="4" t="s">
        <v>824</v>
      </c>
      <c r="D78" s="4" t="s">
        <v>825</v>
      </c>
      <c r="E78" s="4" t="s">
        <v>826</v>
      </c>
      <c r="F78" s="16">
        <v>186.09</v>
      </c>
      <c r="G78" s="4" t="s">
        <v>31</v>
      </c>
      <c r="H78" s="4"/>
      <c r="I78" s="4"/>
      <c r="J78" s="4"/>
      <c r="K78" s="4"/>
      <c r="L78" s="4"/>
      <c r="M78" s="4"/>
      <c r="N78" s="4"/>
      <c r="O78" s="4">
        <f>SUM(TABELA23[[#This Row],[T1]:[T7]])</f>
        <v>0</v>
      </c>
      <c r="P78" s="16">
        <f>TABELA23[[#This Row],[QTDE]]*TABELA23[[#This Row],[PREÇO]]</f>
        <v>0</v>
      </c>
    </row>
    <row r="79" spans="2:16" x14ac:dyDescent="0.2">
      <c r="B79" s="4" t="s">
        <v>827</v>
      </c>
      <c r="C79" s="4" t="s">
        <v>828</v>
      </c>
      <c r="D79" s="4" t="s">
        <v>829</v>
      </c>
      <c r="E79" s="4" t="s">
        <v>830</v>
      </c>
      <c r="F79" s="16">
        <v>368.7</v>
      </c>
      <c r="G79" s="4" t="s">
        <v>44</v>
      </c>
      <c r="H79" s="4"/>
      <c r="I79" s="4"/>
      <c r="J79" s="4"/>
      <c r="K79" s="4"/>
      <c r="L79" s="4"/>
      <c r="M79" s="4"/>
      <c r="N79" s="4"/>
      <c r="O79" s="4">
        <f>SUM(TABELA23[[#This Row],[T1]:[T7]])</f>
        <v>0</v>
      </c>
      <c r="P79" s="16">
        <f>TABELA23[[#This Row],[QTDE]]*TABELA23[[#This Row],[PREÇO]]</f>
        <v>0</v>
      </c>
    </row>
    <row r="80" spans="2:16" x14ac:dyDescent="0.2">
      <c r="B80" s="4" t="s">
        <v>831</v>
      </c>
      <c r="C80" s="4" t="s">
        <v>832</v>
      </c>
      <c r="D80" s="4" t="s">
        <v>48</v>
      </c>
      <c r="E80" s="4" t="s">
        <v>673</v>
      </c>
      <c r="F80" s="16">
        <v>216.52</v>
      </c>
      <c r="G80" s="4" t="s">
        <v>221</v>
      </c>
      <c r="H80" s="4"/>
      <c r="I80" s="4"/>
      <c r="J80" s="4"/>
      <c r="K80" s="4"/>
      <c r="L80" s="4"/>
      <c r="M80" s="4"/>
      <c r="N80" s="4"/>
      <c r="O80" s="4">
        <f>SUM(TABELA23[[#This Row],[T1]:[T7]])</f>
        <v>0</v>
      </c>
      <c r="P80" s="16">
        <f>TABELA23[[#This Row],[QTDE]]*TABELA23[[#This Row],[PREÇO]]</f>
        <v>0</v>
      </c>
    </row>
    <row r="81" spans="2:16" x14ac:dyDescent="0.2">
      <c r="B81" s="4" t="s">
        <v>833</v>
      </c>
      <c r="C81" s="4" t="s">
        <v>834</v>
      </c>
      <c r="D81" s="4" t="s">
        <v>208</v>
      </c>
      <c r="E81" s="4" t="s">
        <v>835</v>
      </c>
      <c r="F81" s="16">
        <v>129.57</v>
      </c>
      <c r="G81" s="4" t="s">
        <v>271</v>
      </c>
      <c r="H81" s="4"/>
      <c r="I81" s="4"/>
      <c r="J81" s="4"/>
      <c r="K81" s="4"/>
      <c r="L81" s="4"/>
      <c r="M81" s="4"/>
      <c r="N81" s="4"/>
      <c r="O81" s="4">
        <f>SUM(TABELA23[[#This Row],[T1]:[T7]])</f>
        <v>0</v>
      </c>
      <c r="P81" s="16">
        <f>TABELA23[[#This Row],[QTDE]]*TABELA23[[#This Row],[PREÇO]]</f>
        <v>0</v>
      </c>
    </row>
    <row r="82" spans="2:16" x14ac:dyDescent="0.2">
      <c r="B82" s="4" t="s">
        <v>836</v>
      </c>
      <c r="C82" s="4" t="s">
        <v>837</v>
      </c>
      <c r="D82" s="4" t="s">
        <v>838</v>
      </c>
      <c r="E82" s="4" t="s">
        <v>839</v>
      </c>
      <c r="F82" s="16">
        <v>173.04</v>
      </c>
      <c r="G82" s="4" t="s">
        <v>44</v>
      </c>
      <c r="H82" s="4"/>
      <c r="I82" s="4"/>
      <c r="J82" s="4"/>
      <c r="K82" s="4"/>
      <c r="L82" s="4"/>
      <c r="M82" s="4"/>
      <c r="N82" s="4"/>
      <c r="O82" s="4">
        <f>SUM(TABELA23[[#This Row],[T1]:[T7]])</f>
        <v>0</v>
      </c>
      <c r="P82" s="16">
        <f>TABELA23[[#This Row],[QTDE]]*TABELA23[[#This Row],[PREÇO]]</f>
        <v>0</v>
      </c>
    </row>
    <row r="83" spans="2:16" x14ac:dyDescent="0.2">
      <c r="B83" s="4" t="s">
        <v>840</v>
      </c>
      <c r="C83" s="4" t="s">
        <v>841</v>
      </c>
      <c r="D83" s="4" t="s">
        <v>34</v>
      </c>
      <c r="E83" s="4" t="s">
        <v>35</v>
      </c>
      <c r="F83" s="16">
        <v>203.48</v>
      </c>
      <c r="G83" s="4" t="s">
        <v>44</v>
      </c>
      <c r="H83" s="4"/>
      <c r="I83" s="4"/>
      <c r="J83" s="4"/>
      <c r="K83" s="4"/>
      <c r="L83" s="4"/>
      <c r="M83" s="4"/>
      <c r="N83" s="4"/>
      <c r="O83" s="4">
        <f>SUM(TABELA23[[#This Row],[T1]:[T7]])</f>
        <v>0</v>
      </c>
      <c r="P83" s="16">
        <f>TABELA23[[#This Row],[QTDE]]*TABELA23[[#This Row],[PREÇO]]</f>
        <v>0</v>
      </c>
    </row>
    <row r="84" spans="2:16" x14ac:dyDescent="0.2">
      <c r="B84" s="4" t="s">
        <v>842</v>
      </c>
      <c r="C84" s="4" t="s">
        <v>843</v>
      </c>
      <c r="D84" s="4" t="s">
        <v>34</v>
      </c>
      <c r="E84" s="4" t="s">
        <v>35</v>
      </c>
      <c r="F84" s="16">
        <v>173.04</v>
      </c>
      <c r="G84" s="4" t="s">
        <v>44</v>
      </c>
      <c r="H84" s="4"/>
      <c r="I84" s="4"/>
      <c r="J84" s="4"/>
      <c r="K84" s="4"/>
      <c r="L84" s="4"/>
      <c r="M84" s="4"/>
      <c r="N84" s="4"/>
      <c r="O84" s="4">
        <f>SUM(TABELA23[[#This Row],[T1]:[T7]])</f>
        <v>0</v>
      </c>
      <c r="P84" s="16">
        <f>TABELA23[[#This Row],[QTDE]]*TABELA23[[#This Row],[PREÇO]]</f>
        <v>0</v>
      </c>
    </row>
    <row r="85" spans="2:16" x14ac:dyDescent="0.2">
      <c r="B85" s="4" t="s">
        <v>842</v>
      </c>
      <c r="C85" s="4" t="s">
        <v>843</v>
      </c>
      <c r="D85" s="4" t="s">
        <v>829</v>
      </c>
      <c r="E85" s="4" t="s">
        <v>844</v>
      </c>
      <c r="F85" s="16">
        <v>173.04</v>
      </c>
      <c r="G85" s="4" t="s">
        <v>44</v>
      </c>
      <c r="H85" s="4"/>
      <c r="I85" s="4"/>
      <c r="J85" s="4"/>
      <c r="K85" s="4"/>
      <c r="L85" s="4"/>
      <c r="M85" s="4"/>
      <c r="N85" s="4"/>
      <c r="O85" s="4">
        <f>SUM(TABELA23[[#This Row],[T1]:[T7]])</f>
        <v>0</v>
      </c>
      <c r="P85" s="16">
        <f>TABELA23[[#This Row],[QTDE]]*TABELA23[[#This Row],[PREÇO]]</f>
        <v>0</v>
      </c>
    </row>
    <row r="86" spans="2:16" x14ac:dyDescent="0.2">
      <c r="B86" s="4" t="s">
        <v>845</v>
      </c>
      <c r="C86" s="4" t="s">
        <v>846</v>
      </c>
      <c r="D86" s="4" t="s">
        <v>669</v>
      </c>
      <c r="E86" s="4" t="s">
        <v>808</v>
      </c>
      <c r="F86" s="16">
        <v>260</v>
      </c>
      <c r="G86" s="4" t="s">
        <v>44</v>
      </c>
      <c r="H86" s="4"/>
      <c r="I86" s="4"/>
      <c r="J86" s="4"/>
      <c r="K86" s="4"/>
      <c r="L86" s="4"/>
      <c r="M86" s="4"/>
      <c r="N86" s="4"/>
      <c r="O86" s="4">
        <f>SUM(TABELA23[[#This Row],[T1]:[T7]])</f>
        <v>0</v>
      </c>
      <c r="P86" s="16">
        <f>TABELA23[[#This Row],[QTDE]]*TABELA23[[#This Row],[PREÇO]]</f>
        <v>0</v>
      </c>
    </row>
    <row r="87" spans="2:16" x14ac:dyDescent="0.2">
      <c r="B87" s="4" t="s">
        <v>847</v>
      </c>
      <c r="C87" s="4" t="s">
        <v>848</v>
      </c>
      <c r="D87" s="4" t="s">
        <v>775</v>
      </c>
      <c r="E87" s="4" t="s">
        <v>750</v>
      </c>
      <c r="F87" s="16">
        <v>281.74</v>
      </c>
      <c r="G87" s="4" t="s">
        <v>44</v>
      </c>
      <c r="H87" s="4"/>
      <c r="I87" s="4"/>
      <c r="J87" s="4"/>
      <c r="K87" s="4"/>
      <c r="L87" s="4"/>
      <c r="M87" s="4"/>
      <c r="N87" s="4"/>
      <c r="O87" s="4">
        <f>SUM(TABELA23[[#This Row],[T1]:[T7]])</f>
        <v>0</v>
      </c>
      <c r="P87" s="16">
        <f>TABELA23[[#This Row],[QTDE]]*TABELA23[[#This Row],[PREÇO]]</f>
        <v>0</v>
      </c>
    </row>
    <row r="88" spans="2:16" x14ac:dyDescent="0.2">
      <c r="B88" s="4" t="s">
        <v>847</v>
      </c>
      <c r="C88" s="4" t="s">
        <v>848</v>
      </c>
      <c r="D88" s="4" t="s">
        <v>778</v>
      </c>
      <c r="E88" s="4" t="s">
        <v>849</v>
      </c>
      <c r="F88" s="16">
        <v>281.74</v>
      </c>
      <c r="G88" s="4" t="s">
        <v>44</v>
      </c>
      <c r="H88" s="4"/>
      <c r="I88" s="4"/>
      <c r="J88" s="4"/>
      <c r="K88" s="4"/>
      <c r="L88" s="4"/>
      <c r="M88" s="4"/>
      <c r="N88" s="4"/>
      <c r="O88" s="4">
        <f>SUM(TABELA23[[#This Row],[T1]:[T7]])</f>
        <v>0</v>
      </c>
      <c r="P88" s="16">
        <f>TABELA23[[#This Row],[QTDE]]*TABELA23[[#This Row],[PREÇO]]</f>
        <v>0</v>
      </c>
    </row>
    <row r="89" spans="2:16" x14ac:dyDescent="0.2">
      <c r="B89" s="4" t="s">
        <v>850</v>
      </c>
      <c r="C89" s="4" t="s">
        <v>851</v>
      </c>
      <c r="D89" s="4" t="s">
        <v>778</v>
      </c>
      <c r="E89" s="4" t="s">
        <v>852</v>
      </c>
      <c r="F89" s="16">
        <v>260</v>
      </c>
      <c r="G89" s="4" t="s">
        <v>44</v>
      </c>
      <c r="H89" s="4"/>
      <c r="I89" s="4"/>
      <c r="J89" s="4"/>
      <c r="K89" s="4"/>
      <c r="L89" s="4"/>
      <c r="M89" s="4"/>
      <c r="N89" s="4"/>
      <c r="O89" s="4">
        <f>SUM(TABELA23[[#This Row],[T1]:[T7]])</f>
        <v>0</v>
      </c>
      <c r="P89" s="16">
        <f>TABELA23[[#This Row],[QTDE]]*TABELA23[[#This Row],[PREÇO]]</f>
        <v>0</v>
      </c>
    </row>
    <row r="90" spans="2:16" x14ac:dyDescent="0.2">
      <c r="B90" s="4" t="s">
        <v>853</v>
      </c>
      <c r="C90" s="4" t="s">
        <v>854</v>
      </c>
      <c r="D90" s="4" t="s">
        <v>43</v>
      </c>
      <c r="E90" s="4" t="s">
        <v>855</v>
      </c>
      <c r="F90" s="16">
        <v>203.48</v>
      </c>
      <c r="G90" s="4" t="s">
        <v>44</v>
      </c>
      <c r="H90" s="4"/>
      <c r="I90" s="4"/>
      <c r="J90" s="4"/>
      <c r="K90" s="4"/>
      <c r="L90" s="4"/>
      <c r="M90" s="4"/>
      <c r="N90" s="4"/>
      <c r="O90" s="4">
        <f>SUM(TABELA23[[#This Row],[T1]:[T7]])</f>
        <v>0</v>
      </c>
      <c r="P90" s="16">
        <f>TABELA23[[#This Row],[QTDE]]*TABELA23[[#This Row],[PREÇO]]</f>
        <v>0</v>
      </c>
    </row>
    <row r="91" spans="2:16" x14ac:dyDescent="0.2">
      <c r="B91" s="4" t="s">
        <v>853</v>
      </c>
      <c r="C91" s="4" t="s">
        <v>854</v>
      </c>
      <c r="D91" s="4" t="s">
        <v>676</v>
      </c>
      <c r="E91" s="4" t="s">
        <v>677</v>
      </c>
      <c r="F91" s="16">
        <v>203.48</v>
      </c>
      <c r="G91" s="4" t="s">
        <v>44</v>
      </c>
      <c r="H91" s="4"/>
      <c r="I91" s="4"/>
      <c r="J91" s="4"/>
      <c r="K91" s="4"/>
      <c r="L91" s="4"/>
      <c r="M91" s="4"/>
      <c r="N91" s="4"/>
      <c r="O91" s="4">
        <f>SUM(TABELA23[[#This Row],[T1]:[T7]])</f>
        <v>0</v>
      </c>
      <c r="P91" s="16">
        <f>TABELA23[[#This Row],[QTDE]]*TABELA23[[#This Row],[PREÇO]]</f>
        <v>0</v>
      </c>
    </row>
    <row r="92" spans="2:16" x14ac:dyDescent="0.2">
      <c r="B92" s="4" t="s">
        <v>856</v>
      </c>
      <c r="C92" s="4" t="s">
        <v>857</v>
      </c>
      <c r="D92" s="4" t="s">
        <v>699</v>
      </c>
      <c r="E92" s="4" t="s">
        <v>700</v>
      </c>
      <c r="F92" s="16">
        <v>203.48</v>
      </c>
      <c r="G92" s="4" t="s">
        <v>44</v>
      </c>
      <c r="H92" s="4"/>
      <c r="I92" s="4"/>
      <c r="J92" s="4"/>
      <c r="K92" s="4"/>
      <c r="L92" s="4"/>
      <c r="M92" s="4"/>
      <c r="N92" s="4"/>
      <c r="O92" s="4">
        <f>SUM(TABELA23[[#This Row],[T1]:[T7]])</f>
        <v>0</v>
      </c>
      <c r="P92" s="16">
        <f>TABELA23[[#This Row],[QTDE]]*TABELA23[[#This Row],[PREÇO]]</f>
        <v>0</v>
      </c>
    </row>
    <row r="93" spans="2:16" x14ac:dyDescent="0.2">
      <c r="B93" s="4" t="s">
        <v>858</v>
      </c>
      <c r="C93" s="4" t="s">
        <v>859</v>
      </c>
      <c r="D93" s="4" t="s">
        <v>771</v>
      </c>
      <c r="E93" s="4" t="s">
        <v>772</v>
      </c>
      <c r="F93" s="16">
        <v>316.52</v>
      </c>
      <c r="G93" s="4" t="s">
        <v>44</v>
      </c>
      <c r="H93" s="4"/>
      <c r="I93" s="4"/>
      <c r="J93" s="4"/>
      <c r="K93" s="4"/>
      <c r="L93" s="4"/>
      <c r="M93" s="4"/>
      <c r="N93" s="4"/>
      <c r="O93" s="4">
        <f>SUM(TABELA23[[#This Row],[T1]:[T7]])</f>
        <v>0</v>
      </c>
      <c r="P93" s="16">
        <f>TABELA23[[#This Row],[QTDE]]*TABELA23[[#This Row],[PREÇO]]</f>
        <v>0</v>
      </c>
    </row>
    <row r="94" spans="2:16" x14ac:dyDescent="0.2">
      <c r="B94" s="4" t="s">
        <v>860</v>
      </c>
      <c r="C94" s="4" t="s">
        <v>861</v>
      </c>
      <c r="D94" s="4" t="s">
        <v>49</v>
      </c>
      <c r="E94" s="4" t="s">
        <v>862</v>
      </c>
      <c r="F94" s="16">
        <v>186.09</v>
      </c>
      <c r="G94" s="4" t="s">
        <v>44</v>
      </c>
      <c r="H94" s="4"/>
      <c r="I94" s="4"/>
      <c r="J94" s="4"/>
      <c r="K94" s="4"/>
      <c r="L94" s="4"/>
      <c r="M94" s="4"/>
      <c r="N94" s="4"/>
      <c r="O94" s="4">
        <f>SUM(TABELA23[[#This Row],[T1]:[T7]])</f>
        <v>0</v>
      </c>
      <c r="P94" s="16">
        <f>TABELA23[[#This Row],[QTDE]]*TABELA23[[#This Row],[PREÇO]]</f>
        <v>0</v>
      </c>
    </row>
    <row r="95" spans="2:16" x14ac:dyDescent="0.2">
      <c r="B95" s="4" t="s">
        <v>863</v>
      </c>
      <c r="C95" s="4" t="s">
        <v>864</v>
      </c>
      <c r="D95" s="4" t="s">
        <v>49</v>
      </c>
      <c r="E95" s="4" t="s">
        <v>865</v>
      </c>
      <c r="F95" s="16">
        <v>173.04</v>
      </c>
      <c r="G95" s="4" t="s">
        <v>44</v>
      </c>
      <c r="H95" s="4"/>
      <c r="I95" s="4"/>
      <c r="J95" s="4"/>
      <c r="K95" s="4"/>
      <c r="L95" s="4"/>
      <c r="M95" s="4"/>
      <c r="N95" s="4"/>
      <c r="O95" s="4">
        <f>SUM(TABELA23[[#This Row],[T1]:[T7]])</f>
        <v>0</v>
      </c>
      <c r="P95" s="16">
        <f>TABELA23[[#This Row],[QTDE]]*TABELA23[[#This Row],[PREÇO]]</f>
        <v>0</v>
      </c>
    </row>
    <row r="96" spans="2:16" x14ac:dyDescent="0.2">
      <c r="B96" s="4" t="s">
        <v>863</v>
      </c>
      <c r="C96" s="4" t="s">
        <v>864</v>
      </c>
      <c r="D96" s="4" t="s">
        <v>43</v>
      </c>
      <c r="E96" s="4" t="s">
        <v>866</v>
      </c>
      <c r="F96" s="16">
        <v>173.04</v>
      </c>
      <c r="G96" s="4" t="s">
        <v>44</v>
      </c>
      <c r="H96" s="4"/>
      <c r="I96" s="4"/>
      <c r="J96" s="4"/>
      <c r="K96" s="4"/>
      <c r="L96" s="4"/>
      <c r="M96" s="4"/>
      <c r="N96" s="4"/>
      <c r="O96" s="4">
        <f>SUM(TABELA23[[#This Row],[T1]:[T7]])</f>
        <v>0</v>
      </c>
      <c r="P96" s="16">
        <f>TABELA23[[#This Row],[QTDE]]*TABELA23[[#This Row],[PREÇO]]</f>
        <v>0</v>
      </c>
    </row>
    <row r="97" spans="2:16" x14ac:dyDescent="0.2">
      <c r="B97" s="4" t="s">
        <v>867</v>
      </c>
      <c r="C97" s="4" t="s">
        <v>868</v>
      </c>
      <c r="D97" s="4" t="s">
        <v>869</v>
      </c>
      <c r="E97" s="4" t="s">
        <v>870</v>
      </c>
      <c r="F97" s="16">
        <v>346.96</v>
      </c>
      <c r="G97" s="4" t="s">
        <v>31</v>
      </c>
      <c r="H97" s="4"/>
      <c r="I97" s="4"/>
      <c r="J97" s="4"/>
      <c r="K97" s="4"/>
      <c r="L97" s="4"/>
      <c r="M97" s="4"/>
      <c r="N97" s="4"/>
      <c r="O97" s="4">
        <f>SUM(TABELA23[[#This Row],[T1]:[T7]])</f>
        <v>0</v>
      </c>
      <c r="P97" s="16">
        <f>TABELA23[[#This Row],[QTDE]]*TABELA23[[#This Row],[PREÇO]]</f>
        <v>0</v>
      </c>
    </row>
    <row r="98" spans="2:16" x14ac:dyDescent="0.2">
      <c r="B98" s="4" t="s">
        <v>871</v>
      </c>
      <c r="C98" s="4" t="s">
        <v>872</v>
      </c>
      <c r="D98" s="4" t="s">
        <v>49</v>
      </c>
      <c r="E98" s="4" t="s">
        <v>71</v>
      </c>
      <c r="F98" s="16">
        <v>303.48</v>
      </c>
      <c r="G98" s="4" t="s">
        <v>31</v>
      </c>
      <c r="H98" s="4"/>
      <c r="I98" s="4"/>
      <c r="J98" s="4"/>
      <c r="K98" s="4"/>
      <c r="L98" s="4"/>
      <c r="M98" s="4"/>
      <c r="N98" s="4"/>
      <c r="O98" s="4">
        <f>SUM(TABELA23[[#This Row],[T1]:[T7]])</f>
        <v>0</v>
      </c>
      <c r="P98" s="16">
        <f>TABELA23[[#This Row],[QTDE]]*TABELA23[[#This Row],[PREÇO]]</f>
        <v>0</v>
      </c>
    </row>
    <row r="99" spans="2:16" x14ac:dyDescent="0.2">
      <c r="B99" s="4" t="s">
        <v>873</v>
      </c>
      <c r="C99" s="4" t="s">
        <v>874</v>
      </c>
      <c r="D99" s="4" t="s">
        <v>676</v>
      </c>
      <c r="E99" s="4" t="s">
        <v>677</v>
      </c>
      <c r="F99" s="16">
        <v>303.48</v>
      </c>
      <c r="G99" s="4" t="s">
        <v>31</v>
      </c>
      <c r="H99" s="4"/>
      <c r="I99" s="4"/>
      <c r="J99" s="4"/>
      <c r="K99" s="4"/>
      <c r="L99" s="4"/>
      <c r="M99" s="4"/>
      <c r="N99" s="4"/>
      <c r="O99" s="4">
        <f>SUM(TABELA23[[#This Row],[T1]:[T7]])</f>
        <v>0</v>
      </c>
      <c r="P99" s="16">
        <f>TABELA23[[#This Row],[QTDE]]*TABELA23[[#This Row],[PREÇO]]</f>
        <v>0</v>
      </c>
    </row>
    <row r="100" spans="2:16" x14ac:dyDescent="0.2">
      <c r="B100" s="4" t="s">
        <v>875</v>
      </c>
      <c r="C100" s="4" t="s">
        <v>876</v>
      </c>
      <c r="D100" s="4" t="s">
        <v>877</v>
      </c>
      <c r="E100" s="4" t="s">
        <v>878</v>
      </c>
      <c r="F100" s="16">
        <v>238.26</v>
      </c>
      <c r="G100" s="4" t="s">
        <v>31</v>
      </c>
      <c r="H100" s="4"/>
      <c r="I100" s="4"/>
      <c r="J100" s="4"/>
      <c r="K100" s="4"/>
      <c r="L100" s="4"/>
      <c r="M100" s="4"/>
      <c r="N100" s="4"/>
      <c r="O100" s="4">
        <f>SUM(TABELA23[[#This Row],[T1]:[T7]])</f>
        <v>0</v>
      </c>
      <c r="P100" s="16">
        <f>TABELA23[[#This Row],[QTDE]]*TABELA23[[#This Row],[PREÇO]]</f>
        <v>0</v>
      </c>
    </row>
    <row r="101" spans="2:16" x14ac:dyDescent="0.2">
      <c r="B101" s="4" t="s">
        <v>879</v>
      </c>
      <c r="C101" s="4" t="s">
        <v>880</v>
      </c>
      <c r="D101" s="4" t="s">
        <v>825</v>
      </c>
      <c r="E101" s="4" t="s">
        <v>826</v>
      </c>
      <c r="F101" s="16">
        <v>199.13</v>
      </c>
      <c r="G101" s="4" t="s">
        <v>31</v>
      </c>
      <c r="H101" s="4"/>
      <c r="I101" s="4"/>
      <c r="J101" s="4"/>
      <c r="K101" s="4"/>
      <c r="L101" s="4"/>
      <c r="M101" s="4"/>
      <c r="N101" s="4"/>
      <c r="O101" s="4">
        <f>SUM(TABELA23[[#This Row],[T1]:[T7]])</f>
        <v>0</v>
      </c>
      <c r="P101" s="16">
        <f>TABELA23[[#This Row],[QTDE]]*TABELA23[[#This Row],[PREÇO]]</f>
        <v>0</v>
      </c>
    </row>
    <row r="102" spans="2:16" x14ac:dyDescent="0.2">
      <c r="B102" s="4" t="s">
        <v>881</v>
      </c>
      <c r="C102" s="4" t="s">
        <v>882</v>
      </c>
      <c r="D102" s="4" t="s">
        <v>825</v>
      </c>
      <c r="E102" s="4" t="s">
        <v>826</v>
      </c>
      <c r="F102" s="16">
        <v>186.09</v>
      </c>
      <c r="G102" s="4" t="s">
        <v>31</v>
      </c>
      <c r="H102" s="4"/>
      <c r="I102" s="4"/>
      <c r="J102" s="4"/>
      <c r="K102" s="4"/>
      <c r="L102" s="4"/>
      <c r="M102" s="4"/>
      <c r="N102" s="4"/>
      <c r="O102" s="4">
        <f>SUM(TABELA23[[#This Row],[T1]:[T7]])</f>
        <v>0</v>
      </c>
      <c r="P102" s="16">
        <f>TABELA23[[#This Row],[QTDE]]*TABELA23[[#This Row],[PREÇO]]</f>
        <v>0</v>
      </c>
    </row>
    <row r="103" spans="2:16" x14ac:dyDescent="0.2">
      <c r="B103" s="4" t="s">
        <v>883</v>
      </c>
      <c r="C103" s="4" t="s">
        <v>884</v>
      </c>
      <c r="D103" s="4" t="s">
        <v>695</v>
      </c>
      <c r="E103" s="4" t="s">
        <v>885</v>
      </c>
      <c r="F103" s="16">
        <v>142.61000000000001</v>
      </c>
      <c r="G103" s="4" t="s">
        <v>31</v>
      </c>
      <c r="H103" s="4"/>
      <c r="I103" s="4"/>
      <c r="J103" s="4"/>
      <c r="K103" s="4"/>
      <c r="L103" s="4"/>
      <c r="M103" s="4"/>
      <c r="N103" s="4"/>
      <c r="O103" s="4">
        <f>SUM(TABELA23[[#This Row],[T1]:[T7]])</f>
        <v>0</v>
      </c>
      <c r="P103" s="16">
        <f>TABELA23[[#This Row],[QTDE]]*TABELA23[[#This Row],[PREÇO]]</f>
        <v>0</v>
      </c>
    </row>
    <row r="104" spans="2:16" x14ac:dyDescent="0.2">
      <c r="B104" s="4" t="s">
        <v>886</v>
      </c>
      <c r="C104" s="4" t="s">
        <v>887</v>
      </c>
      <c r="D104" s="4" t="s">
        <v>695</v>
      </c>
      <c r="E104" s="4" t="s">
        <v>885</v>
      </c>
      <c r="F104" s="16">
        <v>229.57</v>
      </c>
      <c r="G104" s="4" t="s">
        <v>31</v>
      </c>
      <c r="H104" s="4"/>
      <c r="I104" s="4"/>
      <c r="J104" s="4"/>
      <c r="K104" s="4"/>
      <c r="L104" s="4"/>
      <c r="M104" s="4"/>
      <c r="N104" s="4"/>
      <c r="O104" s="4">
        <f>SUM(TABELA23[[#This Row],[T1]:[T7]])</f>
        <v>0</v>
      </c>
      <c r="P104" s="16">
        <f>TABELA23[[#This Row],[QTDE]]*TABELA23[[#This Row],[PREÇO]]</f>
        <v>0</v>
      </c>
    </row>
    <row r="105" spans="2:16" x14ac:dyDescent="0.2">
      <c r="B105" s="4" t="s">
        <v>888</v>
      </c>
      <c r="C105" s="4" t="s">
        <v>889</v>
      </c>
      <c r="D105" s="4" t="s">
        <v>761</v>
      </c>
      <c r="E105" s="4" t="s">
        <v>762</v>
      </c>
      <c r="F105" s="16">
        <v>229.57</v>
      </c>
      <c r="G105" s="4" t="s">
        <v>31</v>
      </c>
      <c r="H105" s="4"/>
      <c r="I105" s="4"/>
      <c r="J105" s="4"/>
      <c r="K105" s="4"/>
      <c r="L105" s="4"/>
      <c r="M105" s="4"/>
      <c r="N105" s="4"/>
      <c r="O105" s="4">
        <f>SUM(TABELA23[[#This Row],[T1]:[T7]])</f>
        <v>0</v>
      </c>
      <c r="P105" s="16">
        <f>TABELA23[[#This Row],[QTDE]]*TABELA23[[#This Row],[PREÇO]]</f>
        <v>0</v>
      </c>
    </row>
    <row r="106" spans="2:16" x14ac:dyDescent="0.2">
      <c r="B106" s="4" t="s">
        <v>890</v>
      </c>
      <c r="C106" s="4" t="s">
        <v>891</v>
      </c>
      <c r="D106" s="4" t="s">
        <v>761</v>
      </c>
      <c r="E106" s="4" t="s">
        <v>762</v>
      </c>
      <c r="F106" s="16">
        <v>155.65</v>
      </c>
      <c r="G106" s="4" t="s">
        <v>31</v>
      </c>
      <c r="H106" s="4"/>
      <c r="I106" s="4"/>
      <c r="J106" s="4"/>
      <c r="K106" s="4"/>
      <c r="L106" s="4"/>
      <c r="M106" s="4"/>
      <c r="N106" s="4"/>
      <c r="O106" s="4">
        <f>SUM(TABELA23[[#This Row],[T1]:[T7]])</f>
        <v>0</v>
      </c>
      <c r="P106" s="16">
        <f>TABELA23[[#This Row],[QTDE]]*TABELA23[[#This Row],[PREÇO]]</f>
        <v>0</v>
      </c>
    </row>
    <row r="107" spans="2:16" x14ac:dyDescent="0.2">
      <c r="B107" s="4" t="s">
        <v>892</v>
      </c>
      <c r="C107" s="4" t="s">
        <v>893</v>
      </c>
      <c r="D107" s="4" t="s">
        <v>661</v>
      </c>
      <c r="E107" s="4" t="s">
        <v>662</v>
      </c>
      <c r="F107" s="16">
        <v>199.13</v>
      </c>
      <c r="G107" s="4" t="s">
        <v>31</v>
      </c>
      <c r="H107" s="4"/>
      <c r="I107" s="4"/>
      <c r="J107" s="4"/>
      <c r="K107" s="4"/>
      <c r="L107" s="4"/>
      <c r="M107" s="4"/>
      <c r="N107" s="4"/>
      <c r="O107" s="4">
        <f>SUM(TABELA23[[#This Row],[T1]:[T7]])</f>
        <v>0</v>
      </c>
      <c r="P107" s="16">
        <f>TABELA23[[#This Row],[QTDE]]*TABELA23[[#This Row],[PREÇO]]</f>
        <v>0</v>
      </c>
    </row>
    <row r="108" spans="2:16" x14ac:dyDescent="0.2">
      <c r="B108" s="4" t="s">
        <v>894</v>
      </c>
      <c r="C108" s="4" t="s">
        <v>895</v>
      </c>
      <c r="D108" s="4" t="s">
        <v>825</v>
      </c>
      <c r="E108" s="4" t="s">
        <v>826</v>
      </c>
      <c r="F108" s="16">
        <v>142.61000000000001</v>
      </c>
      <c r="G108" s="4" t="s">
        <v>31</v>
      </c>
      <c r="H108" s="4"/>
      <c r="I108" s="4"/>
      <c r="J108" s="4"/>
      <c r="K108" s="4"/>
      <c r="L108" s="4"/>
      <c r="M108" s="4"/>
      <c r="N108" s="4"/>
      <c r="O108" s="4">
        <f>SUM(TABELA23[[#This Row],[T1]:[T7]])</f>
        <v>0</v>
      </c>
      <c r="P108" s="16">
        <f>TABELA23[[#This Row],[QTDE]]*TABELA23[[#This Row],[PREÇO]]</f>
        <v>0</v>
      </c>
    </row>
    <row r="109" spans="2:16" x14ac:dyDescent="0.2">
      <c r="B109" s="4" t="s">
        <v>896</v>
      </c>
      <c r="C109" s="4" t="s">
        <v>897</v>
      </c>
      <c r="D109" s="4" t="s">
        <v>804</v>
      </c>
      <c r="E109" s="4" t="s">
        <v>805</v>
      </c>
      <c r="F109" s="16">
        <v>173.04</v>
      </c>
      <c r="G109" s="4" t="s">
        <v>31</v>
      </c>
      <c r="H109" s="4"/>
      <c r="I109" s="4"/>
      <c r="J109" s="4"/>
      <c r="K109" s="4"/>
      <c r="L109" s="4"/>
      <c r="M109" s="4"/>
      <c r="N109" s="4"/>
      <c r="O109" s="4">
        <f>SUM(TABELA23[[#This Row],[T1]:[T7]])</f>
        <v>0</v>
      </c>
      <c r="P109" s="16">
        <f>TABELA23[[#This Row],[QTDE]]*TABELA23[[#This Row],[PREÇO]]</f>
        <v>0</v>
      </c>
    </row>
    <row r="110" spans="2:16" x14ac:dyDescent="0.2">
      <c r="B110" s="4" t="s">
        <v>898</v>
      </c>
      <c r="C110" s="4" t="s">
        <v>899</v>
      </c>
      <c r="D110" s="4" t="s">
        <v>804</v>
      </c>
      <c r="E110" s="4" t="s">
        <v>805</v>
      </c>
      <c r="F110" s="16">
        <v>199.13</v>
      </c>
      <c r="G110" s="4" t="s">
        <v>31</v>
      </c>
      <c r="H110" s="4"/>
      <c r="I110" s="4"/>
      <c r="J110" s="4"/>
      <c r="K110" s="4"/>
      <c r="L110" s="4"/>
      <c r="M110" s="4"/>
      <c r="N110" s="4"/>
      <c r="O110" s="4">
        <f>SUM(TABELA23[[#This Row],[T1]:[T7]])</f>
        <v>0</v>
      </c>
      <c r="P110" s="16">
        <f>TABELA23[[#This Row],[QTDE]]*TABELA23[[#This Row],[PREÇO]]</f>
        <v>0</v>
      </c>
    </row>
    <row r="111" spans="2:16" x14ac:dyDescent="0.2">
      <c r="B111" s="4" t="s">
        <v>900</v>
      </c>
      <c r="C111" s="4" t="s">
        <v>901</v>
      </c>
      <c r="D111" s="4" t="s">
        <v>753</v>
      </c>
      <c r="E111" s="4" t="s">
        <v>902</v>
      </c>
      <c r="F111" s="16">
        <v>194.78</v>
      </c>
      <c r="G111" s="4" t="s">
        <v>31</v>
      </c>
      <c r="H111" s="4"/>
      <c r="I111" s="4"/>
      <c r="J111" s="4"/>
      <c r="K111" s="4"/>
      <c r="L111" s="4"/>
      <c r="M111" s="4"/>
      <c r="N111" s="4"/>
      <c r="O111" s="4">
        <f>SUM(TABELA23[[#This Row],[T1]:[T7]])</f>
        <v>0</v>
      </c>
      <c r="P111" s="16">
        <f>TABELA23[[#This Row],[QTDE]]*TABELA23[[#This Row],[PREÇO]]</f>
        <v>0</v>
      </c>
    </row>
    <row r="112" spans="2:16" x14ac:dyDescent="0.2">
      <c r="B112" s="4" t="s">
        <v>903</v>
      </c>
      <c r="C112" s="4" t="s">
        <v>904</v>
      </c>
      <c r="D112" s="4" t="s">
        <v>761</v>
      </c>
      <c r="E112" s="4" t="s">
        <v>762</v>
      </c>
      <c r="F112" s="16">
        <v>173.04</v>
      </c>
      <c r="G112" s="4" t="s">
        <v>31</v>
      </c>
      <c r="H112" s="4"/>
      <c r="I112" s="4"/>
      <c r="J112" s="4"/>
      <c r="K112" s="4"/>
      <c r="L112" s="4"/>
      <c r="M112" s="4"/>
      <c r="N112" s="4"/>
      <c r="O112" s="4">
        <f>SUM(TABELA23[[#This Row],[T1]:[T7]])</f>
        <v>0</v>
      </c>
      <c r="P112" s="16">
        <f>TABELA23[[#This Row],[QTDE]]*TABELA23[[#This Row],[PREÇO]]</f>
        <v>0</v>
      </c>
    </row>
    <row r="113" spans="2:16" x14ac:dyDescent="0.2">
      <c r="B113" s="4" t="s">
        <v>905</v>
      </c>
      <c r="C113" s="4" t="s">
        <v>906</v>
      </c>
      <c r="D113" s="4" t="s">
        <v>877</v>
      </c>
      <c r="E113" s="4" t="s">
        <v>878</v>
      </c>
      <c r="F113" s="16">
        <v>155.65</v>
      </c>
      <c r="G113" s="4" t="s">
        <v>31</v>
      </c>
      <c r="H113" s="4"/>
      <c r="I113" s="4"/>
      <c r="J113" s="4"/>
      <c r="K113" s="4"/>
      <c r="L113" s="4"/>
      <c r="M113" s="4"/>
      <c r="N113" s="4"/>
      <c r="O113" s="4">
        <f>SUM(TABELA23[[#This Row],[T1]:[T7]])</f>
        <v>0</v>
      </c>
      <c r="P113" s="16">
        <f>TABELA23[[#This Row],[QTDE]]*TABELA23[[#This Row],[PREÇO]]</f>
        <v>0</v>
      </c>
    </row>
    <row r="114" spans="2:16" x14ac:dyDescent="0.2">
      <c r="B114" s="4" t="s">
        <v>907</v>
      </c>
      <c r="C114" s="4" t="s">
        <v>908</v>
      </c>
      <c r="D114" s="4" t="s">
        <v>794</v>
      </c>
      <c r="E114" s="4" t="s">
        <v>795</v>
      </c>
      <c r="F114" s="16">
        <v>242.61</v>
      </c>
      <c r="G114" s="4" t="s">
        <v>31</v>
      </c>
      <c r="H114" s="4"/>
      <c r="I114" s="4"/>
      <c r="J114" s="4"/>
      <c r="K114" s="4"/>
      <c r="L114" s="4"/>
      <c r="M114" s="4"/>
      <c r="N114" s="4"/>
      <c r="O114" s="4">
        <f>SUM(TABELA23[[#This Row],[T1]:[T7]])</f>
        <v>0</v>
      </c>
      <c r="P114" s="16">
        <f>TABELA23[[#This Row],[QTDE]]*TABELA23[[#This Row],[PREÇO]]</f>
        <v>0</v>
      </c>
    </row>
    <row r="115" spans="2:16" x14ac:dyDescent="0.2">
      <c r="B115" s="4" t="s">
        <v>909</v>
      </c>
      <c r="C115" s="4" t="s">
        <v>910</v>
      </c>
      <c r="D115" s="4" t="s">
        <v>801</v>
      </c>
      <c r="E115" s="4" t="s">
        <v>704</v>
      </c>
      <c r="F115" s="16">
        <v>186.09</v>
      </c>
      <c r="G115" s="4" t="s">
        <v>31</v>
      </c>
      <c r="H115" s="4"/>
      <c r="I115" s="4"/>
      <c r="J115" s="4"/>
      <c r="K115" s="4"/>
      <c r="L115" s="4"/>
      <c r="M115" s="4"/>
      <c r="N115" s="4"/>
      <c r="O115" s="4">
        <f>SUM(TABELA23[[#This Row],[T1]:[T7]])</f>
        <v>0</v>
      </c>
      <c r="P115" s="16">
        <f>TABELA23[[#This Row],[QTDE]]*TABELA23[[#This Row],[PREÇO]]</f>
        <v>0</v>
      </c>
    </row>
    <row r="116" spans="2:16" x14ac:dyDescent="0.2">
      <c r="B116" s="4" t="s">
        <v>911</v>
      </c>
      <c r="C116" s="4" t="s">
        <v>912</v>
      </c>
      <c r="D116" s="4" t="s">
        <v>661</v>
      </c>
      <c r="E116" s="4" t="s">
        <v>662</v>
      </c>
      <c r="F116" s="16">
        <v>173.04</v>
      </c>
      <c r="G116" s="4" t="s">
        <v>31</v>
      </c>
      <c r="H116" s="4"/>
      <c r="I116" s="4"/>
      <c r="J116" s="4"/>
      <c r="K116" s="4"/>
      <c r="L116" s="4"/>
      <c r="M116" s="4"/>
      <c r="N116" s="4"/>
      <c r="O116" s="4">
        <f>SUM(TABELA23[[#This Row],[T1]:[T7]])</f>
        <v>0</v>
      </c>
      <c r="P116" s="16">
        <f>TABELA23[[#This Row],[QTDE]]*TABELA23[[#This Row],[PREÇO]]</f>
        <v>0</v>
      </c>
    </row>
    <row r="117" spans="2:16" x14ac:dyDescent="0.2">
      <c r="B117" s="4" t="s">
        <v>913</v>
      </c>
      <c r="C117" s="4" t="s">
        <v>914</v>
      </c>
      <c r="D117" s="4" t="s">
        <v>753</v>
      </c>
      <c r="E117" s="4" t="s">
        <v>902</v>
      </c>
      <c r="F117" s="16">
        <v>173.04</v>
      </c>
      <c r="G117" s="4" t="s">
        <v>31</v>
      </c>
      <c r="H117" s="4"/>
      <c r="I117" s="4"/>
      <c r="J117" s="4"/>
      <c r="K117" s="4"/>
      <c r="L117" s="4"/>
      <c r="M117" s="4"/>
      <c r="N117" s="4"/>
      <c r="O117" s="4">
        <f>SUM(TABELA23[[#This Row],[T1]:[T7]])</f>
        <v>0</v>
      </c>
      <c r="P117" s="16">
        <f>TABELA23[[#This Row],[QTDE]]*TABELA23[[#This Row],[PREÇO]]</f>
        <v>0</v>
      </c>
    </row>
    <row r="118" spans="2:16" x14ac:dyDescent="0.2">
      <c r="B118" s="4" t="s">
        <v>915</v>
      </c>
      <c r="C118" s="4" t="s">
        <v>916</v>
      </c>
      <c r="D118" s="4" t="s">
        <v>38</v>
      </c>
      <c r="E118" s="4" t="s">
        <v>688</v>
      </c>
      <c r="F118" s="16">
        <v>203.48</v>
      </c>
      <c r="G118" s="4" t="s">
        <v>39</v>
      </c>
      <c r="H118" s="4"/>
      <c r="I118" s="4"/>
      <c r="J118" s="4"/>
      <c r="K118" s="4"/>
      <c r="L118" s="4"/>
      <c r="M118" s="4"/>
      <c r="N118" s="4"/>
      <c r="O118" s="4">
        <f>SUM(TABELA23[[#This Row],[T1]:[T7]])</f>
        <v>0</v>
      </c>
      <c r="P118" s="16">
        <f>TABELA23[[#This Row],[QTDE]]*TABELA23[[#This Row],[PREÇO]]</f>
        <v>0</v>
      </c>
    </row>
    <row r="119" spans="2:16" x14ac:dyDescent="0.2">
      <c r="B119" s="4" t="s">
        <v>917</v>
      </c>
      <c r="C119" s="4" t="s">
        <v>918</v>
      </c>
      <c r="D119" s="4" t="s">
        <v>775</v>
      </c>
      <c r="E119" s="4" t="s">
        <v>750</v>
      </c>
      <c r="F119" s="16">
        <v>216.52</v>
      </c>
      <c r="G119" s="4" t="s">
        <v>39</v>
      </c>
      <c r="H119" s="4"/>
      <c r="I119" s="4"/>
      <c r="J119" s="4"/>
      <c r="K119" s="4"/>
      <c r="L119" s="4"/>
      <c r="M119" s="4"/>
      <c r="N119" s="4"/>
      <c r="O119" s="4">
        <f>SUM(TABELA23[[#This Row],[T1]:[T7]])</f>
        <v>0</v>
      </c>
      <c r="P119" s="16">
        <f>TABELA23[[#This Row],[QTDE]]*TABELA23[[#This Row],[PREÇO]]</f>
        <v>0</v>
      </c>
    </row>
    <row r="120" spans="2:16" x14ac:dyDescent="0.2">
      <c r="B120" s="4" t="s">
        <v>919</v>
      </c>
      <c r="C120" s="4" t="s">
        <v>920</v>
      </c>
      <c r="D120" s="4" t="s">
        <v>707</v>
      </c>
      <c r="E120" s="4" t="s">
        <v>808</v>
      </c>
      <c r="F120" s="16">
        <v>207.83</v>
      </c>
      <c r="G120" s="4" t="s">
        <v>39</v>
      </c>
      <c r="H120" s="4"/>
      <c r="I120" s="4"/>
      <c r="J120" s="4"/>
      <c r="K120" s="4"/>
      <c r="L120" s="4"/>
      <c r="M120" s="4"/>
      <c r="N120" s="4"/>
      <c r="O120" s="4">
        <f>SUM(TABELA23[[#This Row],[T1]:[T7]])</f>
        <v>0</v>
      </c>
      <c r="P120" s="16">
        <f>TABELA23[[#This Row],[QTDE]]*TABELA23[[#This Row],[PREÇO]]</f>
        <v>0</v>
      </c>
    </row>
    <row r="121" spans="2:16" x14ac:dyDescent="0.2">
      <c r="B121" s="4" t="s">
        <v>919</v>
      </c>
      <c r="C121" s="4" t="s">
        <v>920</v>
      </c>
      <c r="D121" s="4" t="s">
        <v>709</v>
      </c>
      <c r="E121" s="4" t="s">
        <v>710</v>
      </c>
      <c r="F121" s="16">
        <v>207.83</v>
      </c>
      <c r="G121" s="4" t="s">
        <v>39</v>
      </c>
      <c r="H121" s="4"/>
      <c r="I121" s="4"/>
      <c r="J121" s="4"/>
      <c r="K121" s="4"/>
      <c r="L121" s="4"/>
      <c r="M121" s="4"/>
      <c r="N121" s="4"/>
      <c r="O121" s="4">
        <f>SUM(TABELA23[[#This Row],[T1]:[T7]])</f>
        <v>0</v>
      </c>
      <c r="P121" s="16">
        <f>TABELA23[[#This Row],[QTDE]]*TABELA23[[#This Row],[PREÇO]]</f>
        <v>0</v>
      </c>
    </row>
    <row r="122" spans="2:16" x14ac:dyDescent="0.2">
      <c r="B122" s="4" t="s">
        <v>921</v>
      </c>
      <c r="C122" s="4" t="s">
        <v>922</v>
      </c>
      <c r="D122" s="4" t="s">
        <v>794</v>
      </c>
      <c r="E122" s="4" t="s">
        <v>795</v>
      </c>
      <c r="F122" s="16">
        <v>186.09</v>
      </c>
      <c r="G122" s="4" t="s">
        <v>31</v>
      </c>
      <c r="H122" s="4"/>
      <c r="I122" s="4"/>
      <c r="J122" s="4"/>
      <c r="K122" s="4"/>
      <c r="L122" s="4"/>
      <c r="M122" s="4"/>
      <c r="N122" s="4"/>
      <c r="O122" s="4">
        <f>SUM(TABELA23[[#This Row],[T1]:[T7]])</f>
        <v>0</v>
      </c>
      <c r="P122" s="16">
        <f>TABELA23[[#This Row],[QTDE]]*TABELA23[[#This Row],[PREÇO]]</f>
        <v>0</v>
      </c>
    </row>
    <row r="123" spans="2:16" x14ac:dyDescent="0.2">
      <c r="B123" s="4" t="s">
        <v>923</v>
      </c>
      <c r="C123" s="4" t="s">
        <v>924</v>
      </c>
      <c r="D123" s="4" t="s">
        <v>804</v>
      </c>
      <c r="E123" s="4" t="s">
        <v>805</v>
      </c>
      <c r="F123" s="16">
        <v>173.04</v>
      </c>
      <c r="G123" s="4" t="s">
        <v>31</v>
      </c>
      <c r="H123" s="4"/>
      <c r="I123" s="4"/>
      <c r="J123" s="4"/>
      <c r="K123" s="4"/>
      <c r="L123" s="4"/>
      <c r="M123" s="4"/>
      <c r="N123" s="4"/>
      <c r="O123" s="4">
        <f>SUM(TABELA23[[#This Row],[T1]:[T7]])</f>
        <v>0</v>
      </c>
      <c r="P123" s="16">
        <f>TABELA23[[#This Row],[QTDE]]*TABELA23[[#This Row],[PREÇO]]</f>
        <v>0</v>
      </c>
    </row>
    <row r="124" spans="2:16" x14ac:dyDescent="0.2">
      <c r="B124" s="4" t="s">
        <v>925</v>
      </c>
      <c r="C124" s="4" t="s">
        <v>926</v>
      </c>
      <c r="D124" s="4" t="s">
        <v>877</v>
      </c>
      <c r="E124" s="4" t="s">
        <v>878</v>
      </c>
      <c r="F124" s="16">
        <v>260</v>
      </c>
      <c r="G124" s="4" t="s">
        <v>31</v>
      </c>
      <c r="H124" s="4"/>
      <c r="I124" s="4"/>
      <c r="J124" s="4"/>
      <c r="K124" s="4"/>
      <c r="L124" s="4"/>
      <c r="M124" s="4"/>
      <c r="N124" s="4"/>
      <c r="O124" s="4">
        <f>SUM(TABELA23[[#This Row],[T1]:[T7]])</f>
        <v>0</v>
      </c>
      <c r="P124" s="16">
        <f>TABELA23[[#This Row],[QTDE]]*TABELA23[[#This Row],[PREÇO]]</f>
        <v>0</v>
      </c>
    </row>
    <row r="125" spans="2:16" x14ac:dyDescent="0.2">
      <c r="B125" s="4" t="s">
        <v>927</v>
      </c>
      <c r="C125" s="4" t="s">
        <v>928</v>
      </c>
      <c r="D125" s="4" t="s">
        <v>661</v>
      </c>
      <c r="E125" s="4" t="s">
        <v>662</v>
      </c>
      <c r="F125" s="16">
        <v>186.09</v>
      </c>
      <c r="G125" s="4" t="s">
        <v>31</v>
      </c>
      <c r="H125" s="4"/>
      <c r="I125" s="4"/>
      <c r="J125" s="4"/>
      <c r="K125" s="4"/>
      <c r="L125" s="4"/>
      <c r="M125" s="4"/>
      <c r="N125" s="4"/>
      <c r="O125" s="4">
        <f>SUM(TABELA23[[#This Row],[T1]:[T7]])</f>
        <v>0</v>
      </c>
      <c r="P125" s="16">
        <f>TABELA23[[#This Row],[QTDE]]*TABELA23[[#This Row],[PREÇO]]</f>
        <v>0</v>
      </c>
    </row>
    <row r="126" spans="2:16" x14ac:dyDescent="0.2">
      <c r="B126" s="4" t="s">
        <v>929</v>
      </c>
      <c r="C126" s="4" t="s">
        <v>930</v>
      </c>
      <c r="D126" s="4" t="s">
        <v>48</v>
      </c>
      <c r="E126" s="4" t="s">
        <v>673</v>
      </c>
      <c r="F126" s="16">
        <v>120.87</v>
      </c>
      <c r="G126" s="4" t="s">
        <v>44</v>
      </c>
      <c r="H126" s="4"/>
      <c r="I126" s="4"/>
      <c r="J126" s="4"/>
      <c r="K126" s="4"/>
      <c r="L126" s="4"/>
      <c r="M126" s="4"/>
      <c r="N126" s="4"/>
      <c r="O126" s="4">
        <f>SUM(TABELA23[[#This Row],[T1]:[T7]])</f>
        <v>0</v>
      </c>
      <c r="P126" s="16">
        <f>TABELA23[[#This Row],[QTDE]]*TABELA23[[#This Row],[PREÇO]]</f>
        <v>0</v>
      </c>
    </row>
    <row r="127" spans="2:16" x14ac:dyDescent="0.2">
      <c r="B127" s="4" t="s">
        <v>929</v>
      </c>
      <c r="C127" s="4" t="s">
        <v>930</v>
      </c>
      <c r="D127" s="4" t="s">
        <v>791</v>
      </c>
      <c r="E127" s="4" t="s">
        <v>713</v>
      </c>
      <c r="F127" s="16">
        <v>120.87</v>
      </c>
      <c r="G127" s="4" t="s">
        <v>44</v>
      </c>
      <c r="H127" s="4"/>
      <c r="I127" s="4"/>
      <c r="J127" s="4"/>
      <c r="K127" s="4"/>
      <c r="L127" s="4"/>
      <c r="M127" s="4"/>
      <c r="N127" s="4"/>
      <c r="O127" s="4">
        <f>SUM(TABELA23[[#This Row],[T1]:[T7]])</f>
        <v>0</v>
      </c>
      <c r="P127" s="16">
        <f>TABELA23[[#This Row],[QTDE]]*TABELA23[[#This Row],[PREÇO]]</f>
        <v>0</v>
      </c>
    </row>
    <row r="128" spans="2:16" x14ac:dyDescent="0.2">
      <c r="B128" s="4" t="s">
        <v>931</v>
      </c>
      <c r="C128" s="4" t="s">
        <v>932</v>
      </c>
      <c r="D128" s="4" t="s">
        <v>38</v>
      </c>
      <c r="E128" s="4" t="s">
        <v>688</v>
      </c>
      <c r="F128" s="16">
        <v>173.04</v>
      </c>
      <c r="G128" s="4" t="s">
        <v>44</v>
      </c>
      <c r="H128" s="4"/>
      <c r="I128" s="4"/>
      <c r="J128" s="4"/>
      <c r="K128" s="4"/>
      <c r="L128" s="4"/>
      <c r="M128" s="4"/>
      <c r="N128" s="4"/>
      <c r="O128" s="4">
        <f>SUM(TABELA23[[#This Row],[T1]:[T7]])</f>
        <v>0</v>
      </c>
      <c r="P128" s="16">
        <f>TABELA23[[#This Row],[QTDE]]*TABELA23[[#This Row],[PREÇO]]</f>
        <v>0</v>
      </c>
    </row>
    <row r="129" spans="2:16" x14ac:dyDescent="0.2">
      <c r="B129" s="4" t="s">
        <v>933</v>
      </c>
      <c r="C129" s="4" t="s">
        <v>934</v>
      </c>
      <c r="D129" s="4" t="s">
        <v>34</v>
      </c>
      <c r="E129" s="4" t="s">
        <v>935</v>
      </c>
      <c r="F129" s="16">
        <v>303.48</v>
      </c>
      <c r="G129" s="4" t="s">
        <v>44</v>
      </c>
      <c r="H129" s="4"/>
      <c r="I129" s="4"/>
      <c r="J129" s="4"/>
      <c r="K129" s="4"/>
      <c r="L129" s="4"/>
      <c r="M129" s="4"/>
      <c r="N129" s="4"/>
      <c r="O129" s="4">
        <f>SUM(TABELA23[[#This Row],[T1]:[T7]])</f>
        <v>0</v>
      </c>
      <c r="P129" s="16">
        <f>TABELA23[[#This Row],[QTDE]]*TABELA23[[#This Row],[PREÇO]]</f>
        <v>0</v>
      </c>
    </row>
    <row r="130" spans="2:16" x14ac:dyDescent="0.2">
      <c r="B130" s="4" t="s">
        <v>936</v>
      </c>
      <c r="C130" s="4" t="s">
        <v>937</v>
      </c>
      <c r="D130" s="4" t="s">
        <v>791</v>
      </c>
      <c r="E130" s="4" t="s">
        <v>713</v>
      </c>
      <c r="F130" s="16">
        <v>333.91</v>
      </c>
      <c r="G130" s="4" t="s">
        <v>31</v>
      </c>
      <c r="H130" s="4"/>
      <c r="I130" s="4"/>
      <c r="J130" s="4"/>
      <c r="K130" s="4"/>
      <c r="L130" s="4"/>
      <c r="M130" s="4"/>
      <c r="N130" s="4"/>
      <c r="O130" s="4">
        <f>SUM(TABELA23[[#This Row],[T1]:[T7]])</f>
        <v>0</v>
      </c>
      <c r="P130" s="16">
        <f>TABELA23[[#This Row],[QTDE]]*TABELA23[[#This Row],[PREÇO]]</f>
        <v>0</v>
      </c>
    </row>
    <row r="131" spans="2:16" x14ac:dyDescent="0.2">
      <c r="B131" s="4" t="s">
        <v>938</v>
      </c>
      <c r="C131" s="4" t="s">
        <v>939</v>
      </c>
      <c r="D131" s="4" t="s">
        <v>38</v>
      </c>
      <c r="E131" s="4" t="s">
        <v>688</v>
      </c>
      <c r="F131" s="16">
        <v>238.26</v>
      </c>
      <c r="G131" s="4" t="s">
        <v>44</v>
      </c>
      <c r="H131" s="4"/>
      <c r="I131" s="4"/>
      <c r="J131" s="4"/>
      <c r="K131" s="4"/>
      <c r="L131" s="4"/>
      <c r="M131" s="4"/>
      <c r="N131" s="4"/>
      <c r="O131" s="4">
        <f>SUM(TABELA23[[#This Row],[T1]:[T7]])</f>
        <v>0</v>
      </c>
      <c r="P131" s="16">
        <f>TABELA23[[#This Row],[QTDE]]*TABELA23[[#This Row],[PREÇO]]</f>
        <v>0</v>
      </c>
    </row>
    <row r="132" spans="2:16" x14ac:dyDescent="0.2">
      <c r="B132" s="4" t="s">
        <v>938</v>
      </c>
      <c r="C132" s="4" t="s">
        <v>939</v>
      </c>
      <c r="D132" s="4" t="s">
        <v>669</v>
      </c>
      <c r="E132" s="4" t="s">
        <v>670</v>
      </c>
      <c r="F132" s="16">
        <v>238.26</v>
      </c>
      <c r="G132" s="4" t="s">
        <v>44</v>
      </c>
      <c r="H132" s="4"/>
      <c r="I132" s="4"/>
      <c r="J132" s="4"/>
      <c r="K132" s="4"/>
      <c r="L132" s="4"/>
      <c r="M132" s="4"/>
      <c r="N132" s="4"/>
      <c r="O132" s="4">
        <f>SUM(TABELA23[[#This Row],[T1]:[T7]])</f>
        <v>0</v>
      </c>
      <c r="P132" s="16">
        <f>TABELA23[[#This Row],[QTDE]]*TABELA23[[#This Row],[PREÇO]]</f>
        <v>0</v>
      </c>
    </row>
    <row r="133" spans="2:16" x14ac:dyDescent="0.2">
      <c r="B133" s="4" t="s">
        <v>940</v>
      </c>
      <c r="C133" s="4" t="s">
        <v>941</v>
      </c>
      <c r="D133" s="4" t="s">
        <v>791</v>
      </c>
      <c r="E133" s="4" t="s">
        <v>713</v>
      </c>
      <c r="F133" s="16">
        <v>238.26</v>
      </c>
      <c r="G133" s="4" t="s">
        <v>44</v>
      </c>
      <c r="H133" s="4"/>
      <c r="I133" s="4"/>
      <c r="J133" s="4"/>
      <c r="K133" s="4"/>
      <c r="L133" s="4"/>
      <c r="M133" s="4"/>
      <c r="N133" s="4"/>
      <c r="O133" s="4">
        <f>SUM(TABELA23[[#This Row],[T1]:[T7]])</f>
        <v>0</v>
      </c>
      <c r="P133" s="16">
        <f>TABELA23[[#This Row],[QTDE]]*TABELA23[[#This Row],[PREÇO]]</f>
        <v>0</v>
      </c>
    </row>
    <row r="134" spans="2:16" x14ac:dyDescent="0.2">
      <c r="B134" s="4" t="s">
        <v>942</v>
      </c>
      <c r="C134" s="4" t="s">
        <v>943</v>
      </c>
      <c r="D134" s="4" t="s">
        <v>32</v>
      </c>
      <c r="E134" s="4" t="s">
        <v>33</v>
      </c>
      <c r="F134" s="16">
        <v>346.96</v>
      </c>
      <c r="G134" s="4" t="s">
        <v>44</v>
      </c>
      <c r="H134" s="4"/>
      <c r="I134" s="4"/>
      <c r="J134" s="4"/>
      <c r="K134" s="4"/>
      <c r="L134" s="4"/>
      <c r="M134" s="4"/>
      <c r="N134" s="4"/>
      <c r="O134" s="4">
        <f>SUM(TABELA23[[#This Row],[T1]:[T7]])</f>
        <v>0</v>
      </c>
      <c r="P134" s="16">
        <f>TABELA23[[#This Row],[QTDE]]*TABELA23[[#This Row],[PREÇO]]</f>
        <v>0</v>
      </c>
    </row>
    <row r="135" spans="2:16" x14ac:dyDescent="0.2">
      <c r="B135" s="4" t="s">
        <v>944</v>
      </c>
      <c r="C135" s="4" t="s">
        <v>945</v>
      </c>
      <c r="D135" s="4" t="s">
        <v>775</v>
      </c>
      <c r="E135" s="4" t="s">
        <v>750</v>
      </c>
      <c r="F135" s="16">
        <v>216.52</v>
      </c>
      <c r="G135" s="4" t="s">
        <v>1616</v>
      </c>
      <c r="H135" s="4"/>
      <c r="I135" s="4"/>
      <c r="J135" s="4"/>
      <c r="K135" s="4"/>
      <c r="L135" s="4"/>
      <c r="M135" s="4"/>
      <c r="N135" s="4"/>
      <c r="O135" s="4">
        <f>SUM(TABELA23[[#This Row],[T1]:[T7]])</f>
        <v>0</v>
      </c>
      <c r="P135" s="16">
        <f>TABELA23[[#This Row],[QTDE]]*TABELA23[[#This Row],[PREÇO]]</f>
        <v>0</v>
      </c>
    </row>
    <row r="136" spans="2:16" x14ac:dyDescent="0.2">
      <c r="B136" s="4" t="s">
        <v>946</v>
      </c>
      <c r="C136" s="4" t="s">
        <v>947</v>
      </c>
      <c r="D136" s="4" t="s">
        <v>49</v>
      </c>
      <c r="E136" s="4" t="s">
        <v>948</v>
      </c>
      <c r="F136" s="16">
        <v>194.78</v>
      </c>
      <c r="G136" s="4" t="s">
        <v>44</v>
      </c>
      <c r="H136" s="4"/>
      <c r="I136" s="4"/>
      <c r="J136" s="4"/>
      <c r="K136" s="4"/>
      <c r="L136" s="4"/>
      <c r="M136" s="4"/>
      <c r="N136" s="4"/>
      <c r="O136" s="4">
        <f>SUM(TABELA23[[#This Row],[T1]:[T7]])</f>
        <v>0</v>
      </c>
      <c r="P136" s="16">
        <f>TABELA23[[#This Row],[QTDE]]*TABELA23[[#This Row],[PREÇO]]</f>
        <v>0</v>
      </c>
    </row>
    <row r="137" spans="2:16" x14ac:dyDescent="0.2">
      <c r="B137" s="4" t="s">
        <v>949</v>
      </c>
      <c r="C137" s="4" t="s">
        <v>950</v>
      </c>
      <c r="D137" s="4" t="s">
        <v>695</v>
      </c>
      <c r="E137" s="4" t="s">
        <v>696</v>
      </c>
      <c r="F137" s="16">
        <v>390.43</v>
      </c>
      <c r="G137" s="4" t="s">
        <v>31</v>
      </c>
      <c r="H137" s="4"/>
      <c r="I137" s="4"/>
      <c r="J137" s="4"/>
      <c r="K137" s="4"/>
      <c r="L137" s="4"/>
      <c r="M137" s="4"/>
      <c r="N137" s="4"/>
      <c r="O137" s="4">
        <f>SUM(TABELA23[[#This Row],[T1]:[T7]])</f>
        <v>0</v>
      </c>
      <c r="P137" s="16">
        <f>TABELA23[[#This Row],[QTDE]]*TABELA23[[#This Row],[PREÇO]]</f>
        <v>0</v>
      </c>
    </row>
    <row r="138" spans="2:16" x14ac:dyDescent="0.2">
      <c r="B138" s="4" t="s">
        <v>951</v>
      </c>
      <c r="C138" s="4" t="s">
        <v>952</v>
      </c>
      <c r="D138" s="4" t="s">
        <v>49</v>
      </c>
      <c r="E138" s="4" t="s">
        <v>953</v>
      </c>
      <c r="F138" s="16">
        <v>173.04</v>
      </c>
      <c r="G138" s="4" t="s">
        <v>44</v>
      </c>
      <c r="H138" s="4"/>
      <c r="I138" s="4"/>
      <c r="J138" s="4"/>
      <c r="K138" s="4"/>
      <c r="L138" s="4"/>
      <c r="M138" s="4"/>
      <c r="N138" s="4"/>
      <c r="O138" s="4">
        <f>SUM(TABELA23[[#This Row],[T1]:[T7]])</f>
        <v>0</v>
      </c>
      <c r="P138" s="16">
        <f>TABELA23[[#This Row],[QTDE]]*TABELA23[[#This Row],[PREÇO]]</f>
        <v>0</v>
      </c>
    </row>
    <row r="139" spans="2:16" x14ac:dyDescent="0.2">
      <c r="B139" s="4" t="s">
        <v>954</v>
      </c>
      <c r="C139" s="4" t="s">
        <v>955</v>
      </c>
      <c r="D139" s="4" t="s">
        <v>801</v>
      </c>
      <c r="E139" s="4" t="s">
        <v>704</v>
      </c>
      <c r="F139" s="16">
        <v>229.57</v>
      </c>
      <c r="G139" s="4" t="s">
        <v>39</v>
      </c>
      <c r="H139" s="4"/>
      <c r="I139" s="4"/>
      <c r="J139" s="4"/>
      <c r="K139" s="4"/>
      <c r="L139" s="4"/>
      <c r="M139" s="4"/>
      <c r="N139" s="4"/>
      <c r="O139" s="4">
        <f>SUM(TABELA23[[#This Row],[T1]:[T7]])</f>
        <v>0</v>
      </c>
      <c r="P139" s="16">
        <f>TABELA23[[#This Row],[QTDE]]*TABELA23[[#This Row],[PREÇO]]</f>
        <v>0</v>
      </c>
    </row>
    <row r="140" spans="2:16" x14ac:dyDescent="0.2">
      <c r="B140" s="4" t="s">
        <v>956</v>
      </c>
      <c r="C140" s="4" t="s">
        <v>957</v>
      </c>
      <c r="D140" s="4" t="s">
        <v>877</v>
      </c>
      <c r="E140" s="4" t="s">
        <v>878</v>
      </c>
      <c r="F140" s="16">
        <v>242.61</v>
      </c>
      <c r="G140" s="4" t="s">
        <v>31</v>
      </c>
      <c r="H140" s="4"/>
      <c r="I140" s="4"/>
      <c r="J140" s="4"/>
      <c r="K140" s="4"/>
      <c r="L140" s="4"/>
      <c r="M140" s="4"/>
      <c r="N140" s="4"/>
      <c r="O140" s="4">
        <f>SUM(TABELA23[[#This Row],[T1]:[T7]])</f>
        <v>0</v>
      </c>
      <c r="P140" s="16">
        <f>TABELA23[[#This Row],[QTDE]]*TABELA23[[#This Row],[PREÇO]]</f>
        <v>0</v>
      </c>
    </row>
    <row r="141" spans="2:16" x14ac:dyDescent="0.2">
      <c r="B141" s="4" t="s">
        <v>958</v>
      </c>
      <c r="C141" s="4" t="s">
        <v>959</v>
      </c>
      <c r="D141" s="4" t="s">
        <v>38</v>
      </c>
      <c r="E141" s="4" t="s">
        <v>688</v>
      </c>
      <c r="F141" s="16">
        <v>186.09</v>
      </c>
      <c r="G141" s="4" t="s">
        <v>39</v>
      </c>
      <c r="H141" s="4"/>
      <c r="I141" s="4"/>
      <c r="J141" s="4"/>
      <c r="K141" s="4"/>
      <c r="L141" s="4"/>
      <c r="M141" s="4"/>
      <c r="N141" s="4"/>
      <c r="O141" s="4">
        <f>SUM(TABELA23[[#This Row],[T1]:[T7]])</f>
        <v>0</v>
      </c>
      <c r="P141" s="16">
        <f>TABELA23[[#This Row],[QTDE]]*TABELA23[[#This Row],[PREÇO]]</f>
        <v>0</v>
      </c>
    </row>
    <row r="142" spans="2:16" x14ac:dyDescent="0.2">
      <c r="B142" s="4" t="s">
        <v>960</v>
      </c>
      <c r="C142" s="4" t="s">
        <v>961</v>
      </c>
      <c r="D142" s="4" t="s">
        <v>794</v>
      </c>
      <c r="E142" s="4" t="s">
        <v>795</v>
      </c>
      <c r="F142" s="16">
        <v>155.65</v>
      </c>
      <c r="G142" s="4" t="s">
        <v>31</v>
      </c>
      <c r="H142" s="4"/>
      <c r="I142" s="4"/>
      <c r="J142" s="4"/>
      <c r="K142" s="4"/>
      <c r="L142" s="4"/>
      <c r="M142" s="4"/>
      <c r="N142" s="4"/>
      <c r="O142" s="4">
        <f>SUM(TABELA23[[#This Row],[T1]:[T7]])</f>
        <v>0</v>
      </c>
      <c r="P142" s="16">
        <f>TABELA23[[#This Row],[QTDE]]*TABELA23[[#This Row],[PREÇO]]</f>
        <v>0</v>
      </c>
    </row>
    <row r="143" spans="2:16" x14ac:dyDescent="0.2">
      <c r="B143" s="4" t="s">
        <v>962</v>
      </c>
      <c r="C143" s="4" t="s">
        <v>963</v>
      </c>
      <c r="D143" s="4" t="s">
        <v>761</v>
      </c>
      <c r="E143" s="4" t="s">
        <v>762</v>
      </c>
      <c r="F143" s="16">
        <v>242.61</v>
      </c>
      <c r="G143" s="4" t="s">
        <v>31</v>
      </c>
      <c r="H143" s="4"/>
      <c r="I143" s="4"/>
      <c r="J143" s="4"/>
      <c r="K143" s="4"/>
      <c r="L143" s="4"/>
      <c r="M143" s="4"/>
      <c r="N143" s="4"/>
      <c r="O143" s="4">
        <f>SUM(TABELA23[[#This Row],[T1]:[T7]])</f>
        <v>0</v>
      </c>
      <c r="P143" s="16">
        <f>TABELA23[[#This Row],[QTDE]]*TABELA23[[#This Row],[PREÇO]]</f>
        <v>0</v>
      </c>
    </row>
    <row r="144" spans="2:16" x14ac:dyDescent="0.2">
      <c r="B144" s="4" t="s">
        <v>964</v>
      </c>
      <c r="C144" s="4" t="s">
        <v>965</v>
      </c>
      <c r="D144" s="4" t="s">
        <v>753</v>
      </c>
      <c r="E144" s="4" t="s">
        <v>902</v>
      </c>
      <c r="F144" s="16">
        <v>216.52</v>
      </c>
      <c r="G144" s="4" t="s">
        <v>31</v>
      </c>
      <c r="H144" s="4"/>
      <c r="I144" s="4"/>
      <c r="J144" s="4"/>
      <c r="K144" s="4"/>
      <c r="L144" s="4"/>
      <c r="M144" s="4"/>
      <c r="N144" s="4"/>
      <c r="O144" s="4">
        <f>SUM(TABELA23[[#This Row],[T1]:[T7]])</f>
        <v>0</v>
      </c>
      <c r="P144" s="16">
        <f>TABELA23[[#This Row],[QTDE]]*TABELA23[[#This Row],[PREÇO]]</f>
        <v>0</v>
      </c>
    </row>
    <row r="145" spans="2:16" x14ac:dyDescent="0.2">
      <c r="B145" s="4" t="s">
        <v>966</v>
      </c>
      <c r="C145" s="4" t="s">
        <v>967</v>
      </c>
      <c r="D145" s="4" t="s">
        <v>695</v>
      </c>
      <c r="E145" s="4" t="s">
        <v>885</v>
      </c>
      <c r="F145" s="16">
        <v>229.57</v>
      </c>
      <c r="G145" s="4" t="s">
        <v>31</v>
      </c>
      <c r="H145" s="4"/>
      <c r="I145" s="4"/>
      <c r="J145" s="4"/>
      <c r="K145" s="4"/>
      <c r="L145" s="4"/>
      <c r="M145" s="4"/>
      <c r="N145" s="4"/>
      <c r="O145" s="4">
        <f>SUM(TABELA23[[#This Row],[T1]:[T7]])</f>
        <v>0</v>
      </c>
      <c r="P145" s="16">
        <f>TABELA23[[#This Row],[QTDE]]*TABELA23[[#This Row],[PREÇO]]</f>
        <v>0</v>
      </c>
    </row>
    <row r="146" spans="2:16" x14ac:dyDescent="0.2">
      <c r="B146" s="4" t="s">
        <v>968</v>
      </c>
      <c r="C146" s="4" t="s">
        <v>969</v>
      </c>
      <c r="D146" s="4" t="s">
        <v>869</v>
      </c>
      <c r="E146" s="4" t="s">
        <v>870</v>
      </c>
      <c r="F146" s="16">
        <v>390.43</v>
      </c>
      <c r="G146" s="4" t="s">
        <v>31</v>
      </c>
      <c r="H146" s="4"/>
      <c r="I146" s="4"/>
      <c r="J146" s="4"/>
      <c r="K146" s="4"/>
      <c r="L146" s="4"/>
      <c r="M146" s="4"/>
      <c r="N146" s="4"/>
      <c r="O146" s="4">
        <f>SUM(TABELA23[[#This Row],[T1]:[T7]])</f>
        <v>0</v>
      </c>
      <c r="P146" s="16">
        <f>TABELA23[[#This Row],[QTDE]]*TABELA23[[#This Row],[PREÇO]]</f>
        <v>0</v>
      </c>
    </row>
    <row r="147" spans="2:16" x14ac:dyDescent="0.2">
      <c r="B147" s="4" t="s">
        <v>970</v>
      </c>
      <c r="C147" s="4" t="s">
        <v>971</v>
      </c>
      <c r="D147" s="4" t="s">
        <v>32</v>
      </c>
      <c r="E147" s="4" t="s">
        <v>33</v>
      </c>
      <c r="F147" s="16">
        <v>390.43</v>
      </c>
      <c r="G147" s="4" t="s">
        <v>44</v>
      </c>
      <c r="H147" s="4"/>
      <c r="I147" s="4"/>
      <c r="J147" s="4"/>
      <c r="K147" s="4"/>
      <c r="L147" s="4"/>
      <c r="M147" s="4"/>
      <c r="N147" s="4"/>
      <c r="O147" s="4">
        <f>SUM(TABELA23[[#This Row],[T1]:[T7]])</f>
        <v>0</v>
      </c>
      <c r="P147" s="16">
        <f>TABELA23[[#This Row],[QTDE]]*TABELA23[[#This Row],[PREÇO]]</f>
        <v>0</v>
      </c>
    </row>
    <row r="148" spans="2:16" x14ac:dyDescent="0.2">
      <c r="B148" s="4" t="s">
        <v>972</v>
      </c>
      <c r="C148" s="4" t="s">
        <v>973</v>
      </c>
      <c r="D148" s="4" t="s">
        <v>714</v>
      </c>
      <c r="E148" s="4" t="s">
        <v>710</v>
      </c>
      <c r="F148" s="16">
        <v>346.96</v>
      </c>
      <c r="G148" s="4" t="s">
        <v>44</v>
      </c>
      <c r="H148" s="4"/>
      <c r="I148" s="4"/>
      <c r="J148" s="4"/>
      <c r="K148" s="4"/>
      <c r="L148" s="4"/>
      <c r="M148" s="4"/>
      <c r="N148" s="4"/>
      <c r="O148" s="4">
        <f>SUM(TABELA23[[#This Row],[T1]:[T7]])</f>
        <v>0</v>
      </c>
      <c r="P148" s="16">
        <f>TABELA23[[#This Row],[QTDE]]*TABELA23[[#This Row],[PREÇO]]</f>
        <v>0</v>
      </c>
    </row>
    <row r="149" spans="2:16" x14ac:dyDescent="0.2">
      <c r="B149" s="4" t="s">
        <v>974</v>
      </c>
      <c r="C149" s="4" t="s">
        <v>975</v>
      </c>
      <c r="D149" s="4" t="s">
        <v>775</v>
      </c>
      <c r="E149" s="4" t="s">
        <v>750</v>
      </c>
      <c r="F149" s="16">
        <v>368.7</v>
      </c>
      <c r="G149" s="4" t="s">
        <v>44</v>
      </c>
      <c r="H149" s="4"/>
      <c r="I149" s="4"/>
      <c r="J149" s="4"/>
      <c r="K149" s="4"/>
      <c r="L149" s="4"/>
      <c r="M149" s="4"/>
      <c r="N149" s="4"/>
      <c r="O149" s="4">
        <f>SUM(TABELA23[[#This Row],[T1]:[T7]])</f>
        <v>0</v>
      </c>
      <c r="P149" s="16">
        <f>TABELA23[[#This Row],[QTDE]]*TABELA23[[#This Row],[PREÇO]]</f>
        <v>0</v>
      </c>
    </row>
    <row r="150" spans="2:16" x14ac:dyDescent="0.2">
      <c r="B150" s="4" t="s">
        <v>976</v>
      </c>
      <c r="C150" s="4" t="s">
        <v>977</v>
      </c>
      <c r="D150" s="4" t="s">
        <v>32</v>
      </c>
      <c r="E150" s="4" t="s">
        <v>33</v>
      </c>
      <c r="F150" s="16">
        <v>329.57</v>
      </c>
      <c r="G150" s="4" t="s">
        <v>44</v>
      </c>
      <c r="H150" s="4"/>
      <c r="I150" s="4"/>
      <c r="J150" s="4"/>
      <c r="K150" s="4"/>
      <c r="L150" s="4"/>
      <c r="M150" s="4"/>
      <c r="N150" s="4"/>
      <c r="O150" s="4">
        <f>SUM(TABELA23[[#This Row],[T1]:[T7]])</f>
        <v>0</v>
      </c>
      <c r="P150" s="16">
        <f>TABELA23[[#This Row],[QTDE]]*TABELA23[[#This Row],[PREÇO]]</f>
        <v>0</v>
      </c>
    </row>
    <row r="151" spans="2:16" x14ac:dyDescent="0.2">
      <c r="B151" s="4" t="s">
        <v>978</v>
      </c>
      <c r="C151" s="4" t="s">
        <v>979</v>
      </c>
      <c r="D151" s="4" t="s">
        <v>32</v>
      </c>
      <c r="E151" s="4" t="s">
        <v>750</v>
      </c>
      <c r="F151" s="16">
        <v>346.97</v>
      </c>
      <c r="G151" s="4" t="s">
        <v>304</v>
      </c>
      <c r="H151" s="4"/>
      <c r="I151" s="4"/>
      <c r="J151" s="4"/>
      <c r="K151" s="4"/>
      <c r="L151" s="4"/>
      <c r="M151" s="4"/>
      <c r="N151" s="4"/>
      <c r="O151" s="4">
        <f>SUM(TABELA23[[#This Row],[T1]:[T7]])</f>
        <v>0</v>
      </c>
      <c r="P151" s="16">
        <f>TABELA23[[#This Row],[QTDE]]*TABELA23[[#This Row],[PREÇO]]</f>
        <v>0</v>
      </c>
    </row>
    <row r="152" spans="2:16" x14ac:dyDescent="0.2">
      <c r="B152" s="4" t="s">
        <v>980</v>
      </c>
      <c r="C152" s="4" t="s">
        <v>981</v>
      </c>
      <c r="D152" s="4" t="s">
        <v>767</v>
      </c>
      <c r="E152" s="4" t="s">
        <v>982</v>
      </c>
      <c r="F152" s="16">
        <v>346.97</v>
      </c>
      <c r="G152" s="4" t="s">
        <v>304</v>
      </c>
      <c r="H152" s="4"/>
      <c r="I152" s="4"/>
      <c r="J152" s="4"/>
      <c r="K152" s="4"/>
      <c r="L152" s="4"/>
      <c r="M152" s="4"/>
      <c r="N152" s="4"/>
      <c r="O152" s="4">
        <f>SUM(TABELA23[[#This Row],[T1]:[T7]])</f>
        <v>0</v>
      </c>
      <c r="P152" s="16">
        <f>TABELA23[[#This Row],[QTDE]]*TABELA23[[#This Row],[PREÇO]]</f>
        <v>0</v>
      </c>
    </row>
    <row r="153" spans="2:16" x14ac:dyDescent="0.2">
      <c r="B153" s="4" t="s">
        <v>983</v>
      </c>
      <c r="C153" s="4" t="s">
        <v>984</v>
      </c>
      <c r="D153" s="4" t="s">
        <v>676</v>
      </c>
      <c r="E153" s="4" t="s">
        <v>985</v>
      </c>
      <c r="F153" s="16">
        <v>260</v>
      </c>
      <c r="G153" s="4" t="s">
        <v>304</v>
      </c>
      <c r="H153" s="4"/>
      <c r="I153" s="4"/>
      <c r="J153" s="4"/>
      <c r="K153" s="4"/>
      <c r="L153" s="4"/>
      <c r="M153" s="4"/>
      <c r="N153" s="4"/>
      <c r="O153" s="4">
        <f>SUM(TABELA23[[#This Row],[T1]:[T7]])</f>
        <v>0</v>
      </c>
      <c r="P153" s="16">
        <f>TABELA23[[#This Row],[QTDE]]*TABELA23[[#This Row],[PREÇO]]</f>
        <v>0</v>
      </c>
    </row>
    <row r="154" spans="2:16" x14ac:dyDescent="0.2">
      <c r="B154" s="4" t="s">
        <v>986</v>
      </c>
      <c r="C154" s="4" t="s">
        <v>987</v>
      </c>
      <c r="D154" s="4" t="s">
        <v>38</v>
      </c>
      <c r="E154" s="4" t="s">
        <v>688</v>
      </c>
      <c r="F154" s="16">
        <v>316.52</v>
      </c>
      <c r="G154" s="4" t="s">
        <v>304</v>
      </c>
      <c r="H154" s="4"/>
      <c r="I154" s="4"/>
      <c r="J154" s="4"/>
      <c r="K154" s="4"/>
      <c r="L154" s="4"/>
      <c r="M154" s="4"/>
      <c r="N154" s="4"/>
      <c r="O154" s="4">
        <f>SUM(TABELA23[[#This Row],[T1]:[T7]])</f>
        <v>0</v>
      </c>
      <c r="P154" s="16">
        <f>TABELA23[[#This Row],[QTDE]]*TABELA23[[#This Row],[PREÇO]]</f>
        <v>0</v>
      </c>
    </row>
    <row r="155" spans="2:16" x14ac:dyDescent="0.2">
      <c r="B155" s="4" t="s">
        <v>986</v>
      </c>
      <c r="C155" s="4" t="s">
        <v>987</v>
      </c>
      <c r="D155" s="4" t="s">
        <v>48</v>
      </c>
      <c r="E155" s="4" t="s">
        <v>700</v>
      </c>
      <c r="F155" s="16">
        <v>316.52</v>
      </c>
      <c r="G155" s="4" t="s">
        <v>304</v>
      </c>
      <c r="H155" s="4"/>
      <c r="I155" s="4"/>
      <c r="J155" s="4"/>
      <c r="K155" s="4"/>
      <c r="L155" s="4"/>
      <c r="M155" s="4"/>
      <c r="N155" s="4"/>
      <c r="O155" s="4">
        <f>SUM(TABELA23[[#This Row],[T1]:[T7]])</f>
        <v>0</v>
      </c>
      <c r="P155" s="16">
        <f>TABELA23[[#This Row],[QTDE]]*TABELA23[[#This Row],[PREÇO]]</f>
        <v>0</v>
      </c>
    </row>
    <row r="156" spans="2:16" x14ac:dyDescent="0.2">
      <c r="B156" s="4" t="s">
        <v>988</v>
      </c>
      <c r="C156" s="4" t="s">
        <v>989</v>
      </c>
      <c r="D156" s="4" t="s">
        <v>38</v>
      </c>
      <c r="E156" s="4" t="s">
        <v>688</v>
      </c>
      <c r="F156" s="16">
        <v>216.52</v>
      </c>
      <c r="G156" s="4" t="s">
        <v>304</v>
      </c>
      <c r="H156" s="4"/>
      <c r="I156" s="4"/>
      <c r="J156" s="4"/>
      <c r="K156" s="4"/>
      <c r="L156" s="4"/>
      <c r="M156" s="4"/>
      <c r="N156" s="4"/>
      <c r="O156" s="4">
        <f>SUM(TABELA23[[#This Row],[T1]:[T7]])</f>
        <v>0</v>
      </c>
      <c r="P156" s="16">
        <f>TABELA23[[#This Row],[QTDE]]*TABELA23[[#This Row],[PREÇO]]</f>
        <v>0</v>
      </c>
    </row>
    <row r="157" spans="2:16" x14ac:dyDescent="0.2">
      <c r="B157" s="4" t="s">
        <v>988</v>
      </c>
      <c r="C157" s="4" t="s">
        <v>989</v>
      </c>
      <c r="D157" s="4" t="s">
        <v>791</v>
      </c>
      <c r="E157" s="4" t="s">
        <v>713</v>
      </c>
      <c r="F157" s="16">
        <v>216.52</v>
      </c>
      <c r="G157" s="4" t="s">
        <v>304</v>
      </c>
      <c r="H157" s="4"/>
      <c r="I157" s="4"/>
      <c r="J157" s="4"/>
      <c r="K157" s="4"/>
      <c r="L157" s="4"/>
      <c r="M157" s="4"/>
      <c r="N157" s="4"/>
      <c r="O157" s="4">
        <f>SUM(TABELA23[[#This Row],[T1]:[T7]])</f>
        <v>0</v>
      </c>
      <c r="P157" s="16">
        <f>TABELA23[[#This Row],[QTDE]]*TABELA23[[#This Row],[PREÇO]]</f>
        <v>0</v>
      </c>
    </row>
    <row r="158" spans="2:16" x14ac:dyDescent="0.2">
      <c r="B158" s="4" t="s">
        <v>990</v>
      </c>
      <c r="C158" s="4" t="s">
        <v>991</v>
      </c>
      <c r="D158" s="4" t="s">
        <v>79</v>
      </c>
      <c r="E158" s="4" t="s">
        <v>992</v>
      </c>
      <c r="F158" s="16">
        <v>216.52</v>
      </c>
      <c r="G158" s="4" t="s">
        <v>304</v>
      </c>
      <c r="H158" s="4"/>
      <c r="I158" s="4"/>
      <c r="J158" s="4"/>
      <c r="K158" s="4"/>
      <c r="L158" s="4"/>
      <c r="M158" s="4"/>
      <c r="N158" s="4"/>
      <c r="O158" s="4">
        <f>SUM(TABELA23[[#This Row],[T1]:[T7]])</f>
        <v>0</v>
      </c>
      <c r="P158" s="16">
        <f>TABELA23[[#This Row],[QTDE]]*TABELA23[[#This Row],[PREÇO]]</f>
        <v>0</v>
      </c>
    </row>
    <row r="159" spans="2:16" x14ac:dyDescent="0.2">
      <c r="B159" s="4" t="s">
        <v>993</v>
      </c>
      <c r="C159" s="4" t="s">
        <v>994</v>
      </c>
      <c r="D159" s="4" t="s">
        <v>208</v>
      </c>
      <c r="E159" s="4" t="s">
        <v>835</v>
      </c>
      <c r="F159" s="16">
        <v>433.91</v>
      </c>
      <c r="G159" s="4" t="s">
        <v>304</v>
      </c>
      <c r="H159" s="4"/>
      <c r="I159" s="4"/>
      <c r="J159" s="4"/>
      <c r="K159" s="4"/>
      <c r="L159" s="4"/>
      <c r="M159" s="4"/>
      <c r="N159" s="4"/>
      <c r="O159" s="4">
        <f>SUM(TABELA23[[#This Row],[T1]:[T7]])</f>
        <v>0</v>
      </c>
      <c r="P159" s="16">
        <f>TABELA23[[#This Row],[QTDE]]*TABELA23[[#This Row],[PREÇO]]</f>
        <v>0</v>
      </c>
    </row>
    <row r="160" spans="2:16" x14ac:dyDescent="0.2">
      <c r="B160" s="4" t="s">
        <v>995</v>
      </c>
      <c r="C160" s="4" t="s">
        <v>996</v>
      </c>
      <c r="D160" s="4" t="s">
        <v>38</v>
      </c>
      <c r="E160" s="4" t="s">
        <v>688</v>
      </c>
      <c r="F160" s="16">
        <v>433.91</v>
      </c>
      <c r="G160" s="4" t="s">
        <v>304</v>
      </c>
      <c r="H160" s="4"/>
      <c r="I160" s="4"/>
      <c r="J160" s="4"/>
      <c r="K160" s="4"/>
      <c r="L160" s="4"/>
      <c r="M160" s="4"/>
      <c r="N160" s="4"/>
      <c r="O160" s="4">
        <f>SUM(TABELA23[[#This Row],[T1]:[T7]])</f>
        <v>0</v>
      </c>
      <c r="P160" s="16">
        <f>TABELA23[[#This Row],[QTDE]]*TABELA23[[#This Row],[PREÇO]]</f>
        <v>0</v>
      </c>
    </row>
    <row r="161" spans="2:16" x14ac:dyDescent="0.2">
      <c r="B161" s="4" t="s">
        <v>995</v>
      </c>
      <c r="C161" s="4" t="s">
        <v>996</v>
      </c>
      <c r="D161" s="4" t="s">
        <v>997</v>
      </c>
      <c r="E161" s="4" t="s">
        <v>998</v>
      </c>
      <c r="F161" s="16">
        <v>433.91</v>
      </c>
      <c r="G161" s="4" t="s">
        <v>304</v>
      </c>
      <c r="H161" s="4"/>
      <c r="I161" s="4"/>
      <c r="J161" s="4"/>
      <c r="K161" s="4"/>
      <c r="L161" s="4"/>
      <c r="M161" s="4"/>
      <c r="N161" s="4"/>
      <c r="O161" s="4">
        <f>SUM(TABELA23[[#This Row],[T1]:[T7]])</f>
        <v>0</v>
      </c>
      <c r="P161" s="16">
        <f>TABELA23[[#This Row],[QTDE]]*TABELA23[[#This Row],[PREÇO]]</f>
        <v>0</v>
      </c>
    </row>
    <row r="162" spans="2:16" x14ac:dyDescent="0.2">
      <c r="B162" s="4" t="s">
        <v>999</v>
      </c>
      <c r="C162" s="4" t="s">
        <v>1000</v>
      </c>
      <c r="D162" s="4" t="s">
        <v>48</v>
      </c>
      <c r="E162" s="4" t="s">
        <v>673</v>
      </c>
      <c r="F162" s="16">
        <v>238.27</v>
      </c>
      <c r="G162" s="4" t="s">
        <v>304</v>
      </c>
      <c r="H162" s="4"/>
      <c r="I162" s="4"/>
      <c r="J162" s="4"/>
      <c r="K162" s="4"/>
      <c r="L162" s="4"/>
      <c r="M162" s="4"/>
      <c r="N162" s="4"/>
      <c r="O162" s="4">
        <f>SUM(TABELA23[[#This Row],[T1]:[T7]])</f>
        <v>0</v>
      </c>
      <c r="P162" s="16">
        <f>TABELA23[[#This Row],[QTDE]]*TABELA23[[#This Row],[PREÇO]]</f>
        <v>0</v>
      </c>
    </row>
    <row r="163" spans="2:16" x14ac:dyDescent="0.2">
      <c r="B163" s="4" t="s">
        <v>1001</v>
      </c>
      <c r="C163" s="4" t="s">
        <v>1002</v>
      </c>
      <c r="D163" s="4" t="s">
        <v>767</v>
      </c>
      <c r="E163" s="4" t="s">
        <v>768</v>
      </c>
      <c r="F163" s="16">
        <v>260</v>
      </c>
      <c r="G163" s="4" t="s">
        <v>271</v>
      </c>
      <c r="H163" s="4"/>
      <c r="I163" s="4"/>
      <c r="J163" s="4"/>
      <c r="K163" s="4"/>
      <c r="L163" s="4"/>
      <c r="M163" s="4"/>
      <c r="N163" s="4"/>
      <c r="O163" s="4">
        <f>SUM(TABELA23[[#This Row],[T1]:[T7]])</f>
        <v>0</v>
      </c>
      <c r="P163" s="16">
        <f>TABELA23[[#This Row],[QTDE]]*TABELA23[[#This Row],[PREÇO]]</f>
        <v>0</v>
      </c>
    </row>
    <row r="164" spans="2:16" x14ac:dyDescent="0.2">
      <c r="B164" s="4" t="s">
        <v>1003</v>
      </c>
      <c r="C164" s="4" t="s">
        <v>1004</v>
      </c>
      <c r="D164" s="4" t="s">
        <v>38</v>
      </c>
      <c r="E164" s="4" t="s">
        <v>688</v>
      </c>
      <c r="F164" s="16">
        <v>303.48</v>
      </c>
      <c r="G164" s="4" t="s">
        <v>271</v>
      </c>
      <c r="H164" s="4"/>
      <c r="I164" s="4"/>
      <c r="J164" s="4"/>
      <c r="K164" s="4"/>
      <c r="L164" s="4"/>
      <c r="M164" s="4"/>
      <c r="N164" s="4"/>
      <c r="O164" s="4">
        <f>SUM(TABELA23[[#This Row],[T1]:[T7]])</f>
        <v>0</v>
      </c>
      <c r="P164" s="16">
        <f>TABELA23[[#This Row],[QTDE]]*TABELA23[[#This Row],[PREÇO]]</f>
        <v>0</v>
      </c>
    </row>
    <row r="165" spans="2:16" x14ac:dyDescent="0.2">
      <c r="B165" s="4" t="s">
        <v>1003</v>
      </c>
      <c r="C165" s="4" t="s">
        <v>1004</v>
      </c>
      <c r="D165" s="4" t="s">
        <v>997</v>
      </c>
      <c r="E165" s="4" t="s">
        <v>998</v>
      </c>
      <c r="F165" s="16">
        <v>303.48</v>
      </c>
      <c r="G165" s="4" t="s">
        <v>271</v>
      </c>
      <c r="H165" s="4"/>
      <c r="I165" s="4"/>
      <c r="J165" s="4"/>
      <c r="K165" s="4"/>
      <c r="L165" s="4"/>
      <c r="M165" s="4"/>
      <c r="N165" s="4"/>
      <c r="O165" s="4">
        <f>SUM(TABELA23[[#This Row],[T1]:[T7]])</f>
        <v>0</v>
      </c>
      <c r="P165" s="16">
        <f>TABELA23[[#This Row],[QTDE]]*TABELA23[[#This Row],[PREÇO]]</f>
        <v>0</v>
      </c>
    </row>
    <row r="166" spans="2:16" x14ac:dyDescent="0.2">
      <c r="B166" s="4" t="s">
        <v>1005</v>
      </c>
      <c r="C166" s="4" t="s">
        <v>318</v>
      </c>
      <c r="D166" s="4" t="s">
        <v>709</v>
      </c>
      <c r="E166" s="4" t="s">
        <v>710</v>
      </c>
      <c r="F166" s="16">
        <v>199.13</v>
      </c>
      <c r="G166" s="4" t="s">
        <v>271</v>
      </c>
      <c r="H166" s="4"/>
      <c r="I166" s="4"/>
      <c r="J166" s="4"/>
      <c r="K166" s="4"/>
      <c r="L166" s="4"/>
      <c r="M166" s="4"/>
      <c r="N166" s="4"/>
      <c r="O166" s="4">
        <f>SUM(TABELA23[[#This Row],[T1]:[T7]])</f>
        <v>0</v>
      </c>
      <c r="P166" s="16">
        <f>TABELA23[[#This Row],[QTDE]]*TABELA23[[#This Row],[PREÇO]]</f>
        <v>0</v>
      </c>
    </row>
    <row r="167" spans="2:16" x14ac:dyDescent="0.2">
      <c r="B167" s="4" t="s">
        <v>1006</v>
      </c>
      <c r="C167" s="4" t="s">
        <v>1007</v>
      </c>
      <c r="D167" s="4" t="s">
        <v>676</v>
      </c>
      <c r="E167" s="4" t="s">
        <v>677</v>
      </c>
      <c r="F167" s="16">
        <v>173.04</v>
      </c>
      <c r="G167" s="4" t="s">
        <v>31</v>
      </c>
      <c r="H167" s="4"/>
      <c r="I167" s="4"/>
      <c r="J167" s="4"/>
      <c r="K167" s="4"/>
      <c r="L167" s="4"/>
      <c r="M167" s="4"/>
      <c r="N167" s="4"/>
      <c r="O167" s="4">
        <f>SUM(TABELA23[[#This Row],[T1]:[T7]])</f>
        <v>0</v>
      </c>
      <c r="P167" s="16">
        <f>TABELA23[[#This Row],[QTDE]]*TABELA23[[#This Row],[PREÇO]]</f>
        <v>0</v>
      </c>
    </row>
    <row r="168" spans="2:16" x14ac:dyDescent="0.2">
      <c r="B168" s="4" t="s">
        <v>1008</v>
      </c>
      <c r="C168" s="4" t="s">
        <v>1009</v>
      </c>
      <c r="D168" s="4" t="s">
        <v>208</v>
      </c>
      <c r="E168" s="4" t="s">
        <v>835</v>
      </c>
      <c r="F168" s="16">
        <v>116.52</v>
      </c>
      <c r="G168" s="4" t="s">
        <v>31</v>
      </c>
      <c r="H168" s="4"/>
      <c r="I168" s="4"/>
      <c r="J168" s="4"/>
      <c r="K168" s="4"/>
      <c r="L168" s="4"/>
      <c r="M168" s="4"/>
      <c r="N168" s="4"/>
      <c r="O168" s="4">
        <f>SUM(TABELA23[[#This Row],[T1]:[T7]])</f>
        <v>0</v>
      </c>
      <c r="P168" s="16">
        <f>TABELA23[[#This Row],[QTDE]]*TABELA23[[#This Row],[PREÇO]]</f>
        <v>0</v>
      </c>
    </row>
    <row r="169" spans="2:16" x14ac:dyDescent="0.2">
      <c r="B169" s="4" t="s">
        <v>1010</v>
      </c>
      <c r="C169" s="4" t="s">
        <v>1011</v>
      </c>
      <c r="D169" s="4" t="s">
        <v>38</v>
      </c>
      <c r="E169" s="4" t="s">
        <v>688</v>
      </c>
      <c r="F169" s="16">
        <v>86.09</v>
      </c>
      <c r="G169" s="4" t="s">
        <v>31</v>
      </c>
      <c r="H169" s="4"/>
      <c r="I169" s="4"/>
      <c r="J169" s="4"/>
      <c r="K169" s="4"/>
      <c r="L169" s="4"/>
      <c r="M169" s="4"/>
      <c r="N169" s="4"/>
      <c r="O169" s="4">
        <f>SUM(TABELA23[[#This Row],[T1]:[T7]])</f>
        <v>0</v>
      </c>
      <c r="P169" s="16">
        <f>TABELA23[[#This Row],[QTDE]]*TABELA23[[#This Row],[PREÇO]]</f>
        <v>0</v>
      </c>
    </row>
    <row r="170" spans="2:16" x14ac:dyDescent="0.2">
      <c r="B170" s="4" t="s">
        <v>1010</v>
      </c>
      <c r="C170" s="4" t="s">
        <v>1011</v>
      </c>
      <c r="D170" s="4" t="s">
        <v>79</v>
      </c>
      <c r="E170" s="4" t="s">
        <v>680</v>
      </c>
      <c r="F170" s="16">
        <v>86.09</v>
      </c>
      <c r="G170" s="4" t="s">
        <v>31</v>
      </c>
      <c r="H170" s="4"/>
      <c r="I170" s="4"/>
      <c r="J170" s="4"/>
      <c r="K170" s="4"/>
      <c r="L170" s="4"/>
      <c r="M170" s="4"/>
      <c r="N170" s="4"/>
      <c r="O170" s="4">
        <f>SUM(TABELA23[[#This Row],[T1]:[T7]])</f>
        <v>0</v>
      </c>
      <c r="P170" s="16">
        <f>TABELA23[[#This Row],[QTDE]]*TABELA23[[#This Row],[PREÇO]]</f>
        <v>0</v>
      </c>
    </row>
    <row r="171" spans="2:16" x14ac:dyDescent="0.2">
      <c r="B171" s="4" t="s">
        <v>1012</v>
      </c>
      <c r="C171" s="4" t="s">
        <v>1013</v>
      </c>
      <c r="D171" s="4" t="s">
        <v>676</v>
      </c>
      <c r="E171" s="4" t="s">
        <v>677</v>
      </c>
      <c r="F171" s="16">
        <v>303.48</v>
      </c>
      <c r="G171" s="4" t="s">
        <v>31</v>
      </c>
      <c r="H171" s="4"/>
      <c r="I171" s="4"/>
      <c r="J171" s="4"/>
      <c r="K171" s="4"/>
      <c r="L171" s="4"/>
      <c r="M171" s="4"/>
      <c r="N171" s="4"/>
      <c r="O171" s="4">
        <f>SUM(TABELA23[[#This Row],[T1]:[T7]])</f>
        <v>0</v>
      </c>
      <c r="P171" s="16">
        <f>TABELA23[[#This Row],[QTDE]]*TABELA23[[#This Row],[PREÇO]]</f>
        <v>0</v>
      </c>
    </row>
    <row r="172" spans="2:16" x14ac:dyDescent="0.2">
      <c r="B172" s="4" t="s">
        <v>1014</v>
      </c>
      <c r="C172" s="4" t="s">
        <v>1015</v>
      </c>
      <c r="D172" s="4" t="s">
        <v>753</v>
      </c>
      <c r="E172" s="4" t="s">
        <v>754</v>
      </c>
      <c r="F172" s="16">
        <v>303.48</v>
      </c>
      <c r="G172" s="4" t="s">
        <v>31</v>
      </c>
      <c r="H172" s="4"/>
      <c r="I172" s="4"/>
      <c r="J172" s="4"/>
      <c r="K172" s="4"/>
      <c r="L172" s="4"/>
      <c r="M172" s="4"/>
      <c r="N172" s="4"/>
      <c r="O172" s="4">
        <f>SUM(TABELA23[[#This Row],[T1]:[T7]])</f>
        <v>0</v>
      </c>
      <c r="P172" s="16">
        <f>TABELA23[[#This Row],[QTDE]]*TABELA23[[#This Row],[PREÇO]]</f>
        <v>0</v>
      </c>
    </row>
    <row r="173" spans="2:16" x14ac:dyDescent="0.2">
      <c r="B173" s="4" t="s">
        <v>1014</v>
      </c>
      <c r="C173" s="4" t="s">
        <v>1015</v>
      </c>
      <c r="D173" s="4" t="s">
        <v>695</v>
      </c>
      <c r="E173" s="4" t="s">
        <v>696</v>
      </c>
      <c r="F173" s="16">
        <v>303.48</v>
      </c>
      <c r="G173" s="4" t="s">
        <v>31</v>
      </c>
      <c r="H173" s="4"/>
      <c r="I173" s="4"/>
      <c r="J173" s="4"/>
      <c r="K173" s="4"/>
      <c r="L173" s="4"/>
      <c r="M173" s="4"/>
      <c r="N173" s="4"/>
      <c r="O173" s="4">
        <f>SUM(TABELA23[[#This Row],[T1]:[T7]])</f>
        <v>0</v>
      </c>
      <c r="P173" s="16">
        <f>TABELA23[[#This Row],[QTDE]]*TABELA23[[#This Row],[PREÇO]]</f>
        <v>0</v>
      </c>
    </row>
    <row r="174" spans="2:16" x14ac:dyDescent="0.2">
      <c r="B174" s="4" t="s">
        <v>1016</v>
      </c>
      <c r="C174" s="4" t="s">
        <v>1017</v>
      </c>
      <c r="D174" s="4" t="s">
        <v>48</v>
      </c>
      <c r="E174" s="4" t="s">
        <v>673</v>
      </c>
      <c r="F174" s="16">
        <v>238.26</v>
      </c>
      <c r="G174" s="4" t="s">
        <v>31</v>
      </c>
      <c r="H174" s="4"/>
      <c r="I174" s="4"/>
      <c r="J174" s="4"/>
      <c r="K174" s="4"/>
      <c r="L174" s="4"/>
      <c r="M174" s="4"/>
      <c r="N174" s="4"/>
      <c r="O174" s="4">
        <f>SUM(TABELA23[[#This Row],[T1]:[T7]])</f>
        <v>0</v>
      </c>
      <c r="P174" s="16">
        <f>TABELA23[[#This Row],[QTDE]]*TABELA23[[#This Row],[PREÇO]]</f>
        <v>0</v>
      </c>
    </row>
    <row r="175" spans="2:16" x14ac:dyDescent="0.2">
      <c r="B175" s="4" t="s">
        <v>1016</v>
      </c>
      <c r="C175" s="4" t="s">
        <v>1017</v>
      </c>
      <c r="D175" s="4" t="s">
        <v>775</v>
      </c>
      <c r="E175" s="4" t="s">
        <v>750</v>
      </c>
      <c r="F175" s="16">
        <v>238.26</v>
      </c>
      <c r="G175" s="4" t="s">
        <v>31</v>
      </c>
      <c r="H175" s="4"/>
      <c r="I175" s="4"/>
      <c r="J175" s="4"/>
      <c r="K175" s="4"/>
      <c r="L175" s="4"/>
      <c r="M175" s="4"/>
      <c r="N175" s="4"/>
      <c r="O175" s="4">
        <f>SUM(TABELA23[[#This Row],[T1]:[T7]])</f>
        <v>0</v>
      </c>
      <c r="P175" s="16">
        <f>TABELA23[[#This Row],[QTDE]]*TABELA23[[#This Row],[PREÇO]]</f>
        <v>0</v>
      </c>
    </row>
    <row r="176" spans="2:16" x14ac:dyDescent="0.2">
      <c r="B176" s="4" t="s">
        <v>1018</v>
      </c>
      <c r="C176" s="4" t="s">
        <v>1019</v>
      </c>
      <c r="D176" s="4" t="s">
        <v>771</v>
      </c>
      <c r="E176" s="4" t="s">
        <v>772</v>
      </c>
      <c r="F176" s="16">
        <v>303.48</v>
      </c>
      <c r="G176" s="4" t="s">
        <v>31</v>
      </c>
      <c r="H176" s="4"/>
      <c r="I176" s="4"/>
      <c r="J176" s="4"/>
      <c r="K176" s="4"/>
      <c r="L176" s="4"/>
      <c r="M176" s="4"/>
      <c r="N176" s="4"/>
      <c r="O176" s="4">
        <f>SUM(TABELA23[[#This Row],[T1]:[T7]])</f>
        <v>0</v>
      </c>
      <c r="P176" s="16">
        <f>TABELA23[[#This Row],[QTDE]]*TABELA23[[#This Row],[PREÇO]]</f>
        <v>0</v>
      </c>
    </row>
    <row r="177" spans="2:16" x14ac:dyDescent="0.2">
      <c r="B177" s="4" t="s">
        <v>1020</v>
      </c>
      <c r="C177" s="4" t="s">
        <v>1021</v>
      </c>
      <c r="D177" s="4" t="s">
        <v>723</v>
      </c>
      <c r="E177" s="4" t="s">
        <v>724</v>
      </c>
      <c r="F177" s="16">
        <v>186.09</v>
      </c>
      <c r="G177" s="4" t="s">
        <v>66</v>
      </c>
      <c r="H177" s="4"/>
      <c r="I177" s="4"/>
      <c r="J177" s="4"/>
      <c r="K177" s="4"/>
      <c r="L177" s="4"/>
      <c r="M177" s="4"/>
      <c r="N177" s="4"/>
      <c r="O177" s="4">
        <f>SUM(TABELA23[[#This Row],[T1]:[T7]])</f>
        <v>0</v>
      </c>
      <c r="P177" s="16">
        <f>TABELA23[[#This Row],[QTDE]]*TABELA23[[#This Row],[PREÇO]]</f>
        <v>0</v>
      </c>
    </row>
    <row r="178" spans="2:16" x14ac:dyDescent="0.2">
      <c r="B178" s="4" t="s">
        <v>1022</v>
      </c>
      <c r="C178" s="4" t="s">
        <v>1023</v>
      </c>
      <c r="D178" s="4" t="s">
        <v>1024</v>
      </c>
      <c r="E178" s="4" t="s">
        <v>1025</v>
      </c>
      <c r="F178" s="16">
        <v>173.04</v>
      </c>
      <c r="G178" s="4" t="s">
        <v>66</v>
      </c>
      <c r="H178" s="4"/>
      <c r="I178" s="4"/>
      <c r="J178" s="4"/>
      <c r="K178" s="4"/>
      <c r="L178" s="4"/>
      <c r="M178" s="4"/>
      <c r="N178" s="4"/>
      <c r="O178" s="4">
        <f>SUM(TABELA23[[#This Row],[T1]:[T7]])</f>
        <v>0</v>
      </c>
      <c r="P178" s="16">
        <f>TABELA23[[#This Row],[QTDE]]*TABELA23[[#This Row],[PREÇO]]</f>
        <v>0</v>
      </c>
    </row>
    <row r="179" spans="2:16" x14ac:dyDescent="0.2">
      <c r="B179" s="4" t="s">
        <v>1026</v>
      </c>
      <c r="C179" s="4" t="s">
        <v>1027</v>
      </c>
      <c r="D179" s="4" t="s">
        <v>723</v>
      </c>
      <c r="E179" s="4" t="s">
        <v>724</v>
      </c>
      <c r="F179" s="16">
        <v>173.04</v>
      </c>
      <c r="G179" s="4" t="s">
        <v>66</v>
      </c>
      <c r="H179" s="4"/>
      <c r="I179" s="4"/>
      <c r="J179" s="4"/>
      <c r="K179" s="4"/>
      <c r="L179" s="4"/>
      <c r="M179" s="4"/>
      <c r="N179" s="4"/>
      <c r="O179" s="4">
        <f>SUM(TABELA23[[#This Row],[T1]:[T7]])</f>
        <v>0</v>
      </c>
      <c r="P179" s="16">
        <f>TABELA23[[#This Row],[QTDE]]*TABELA23[[#This Row],[PREÇO]]</f>
        <v>0</v>
      </c>
    </row>
    <row r="180" spans="2:16" x14ac:dyDescent="0.2">
      <c r="B180" s="4" t="s">
        <v>1028</v>
      </c>
      <c r="C180" s="4" t="s">
        <v>1029</v>
      </c>
      <c r="D180" s="4" t="s">
        <v>32</v>
      </c>
      <c r="E180" s="4" t="s">
        <v>33</v>
      </c>
      <c r="F180" s="16">
        <v>207.83</v>
      </c>
      <c r="G180" s="4" t="s">
        <v>66</v>
      </c>
      <c r="H180" s="4"/>
      <c r="I180" s="4"/>
      <c r="J180" s="4"/>
      <c r="K180" s="4"/>
      <c r="L180" s="4"/>
      <c r="M180" s="4"/>
      <c r="N180" s="4"/>
      <c r="O180" s="4">
        <f>SUM(TABELA23[[#This Row],[T1]:[T7]])</f>
        <v>0</v>
      </c>
      <c r="P180" s="16">
        <f>TABELA23[[#This Row],[QTDE]]*TABELA23[[#This Row],[PREÇO]]</f>
        <v>0</v>
      </c>
    </row>
    <row r="181" spans="2:16" x14ac:dyDescent="0.2">
      <c r="B181" s="4" t="s">
        <v>1030</v>
      </c>
      <c r="C181" s="4" t="s">
        <v>1031</v>
      </c>
      <c r="D181" s="4" t="s">
        <v>829</v>
      </c>
      <c r="E181" s="4" t="s">
        <v>1032</v>
      </c>
      <c r="F181" s="16">
        <v>164.35</v>
      </c>
      <c r="G181" s="4" t="s">
        <v>66</v>
      </c>
      <c r="H181" s="4"/>
      <c r="I181" s="4"/>
      <c r="J181" s="4"/>
      <c r="K181" s="4"/>
      <c r="L181" s="4"/>
      <c r="M181" s="4"/>
      <c r="N181" s="4"/>
      <c r="O181" s="4">
        <f>SUM(TABELA23[[#This Row],[T1]:[T7]])</f>
        <v>0</v>
      </c>
      <c r="P181" s="16">
        <f>TABELA23[[#This Row],[QTDE]]*TABELA23[[#This Row],[PREÇO]]</f>
        <v>0</v>
      </c>
    </row>
    <row r="182" spans="2:16" x14ac:dyDescent="0.2">
      <c r="B182" s="4" t="s">
        <v>1033</v>
      </c>
      <c r="C182" s="4" t="s">
        <v>1034</v>
      </c>
      <c r="D182" s="4" t="s">
        <v>801</v>
      </c>
      <c r="E182" s="4" t="s">
        <v>704</v>
      </c>
      <c r="F182" s="16">
        <v>129.57</v>
      </c>
      <c r="G182" s="4" t="s">
        <v>31</v>
      </c>
      <c r="H182" s="4"/>
      <c r="I182" s="4"/>
      <c r="J182" s="4"/>
      <c r="K182" s="4"/>
      <c r="L182" s="4"/>
      <c r="M182" s="4"/>
      <c r="N182" s="4"/>
      <c r="O182" s="4">
        <f>SUM(TABELA23[[#This Row],[T1]:[T7]])</f>
        <v>0</v>
      </c>
      <c r="P182" s="16">
        <f>TABELA23[[#This Row],[QTDE]]*TABELA23[[#This Row],[PREÇO]]</f>
        <v>0</v>
      </c>
    </row>
    <row r="183" spans="2:16" x14ac:dyDescent="0.2">
      <c r="B183" s="4" t="s">
        <v>1035</v>
      </c>
      <c r="C183" s="4" t="s">
        <v>1036</v>
      </c>
      <c r="D183" s="4" t="s">
        <v>695</v>
      </c>
      <c r="E183" s="4" t="s">
        <v>885</v>
      </c>
      <c r="F183" s="16">
        <v>129.57</v>
      </c>
      <c r="G183" s="4" t="s">
        <v>31</v>
      </c>
      <c r="H183" s="4"/>
      <c r="I183" s="4"/>
      <c r="J183" s="4"/>
      <c r="K183" s="4"/>
      <c r="L183" s="4"/>
      <c r="M183" s="4"/>
      <c r="N183" s="4"/>
      <c r="O183" s="4">
        <f>SUM(TABELA23[[#This Row],[T1]:[T7]])</f>
        <v>0</v>
      </c>
      <c r="P183" s="16">
        <f>TABELA23[[#This Row],[QTDE]]*TABELA23[[#This Row],[PREÇO]]</f>
        <v>0</v>
      </c>
    </row>
    <row r="184" spans="2:16" x14ac:dyDescent="0.2">
      <c r="B184" s="4" t="s">
        <v>1037</v>
      </c>
      <c r="C184" s="4" t="s">
        <v>1038</v>
      </c>
      <c r="D184" s="4" t="s">
        <v>753</v>
      </c>
      <c r="E184" s="4" t="s">
        <v>902</v>
      </c>
      <c r="F184" s="16">
        <v>129.57</v>
      </c>
      <c r="G184" s="4" t="s">
        <v>31</v>
      </c>
      <c r="H184" s="4"/>
      <c r="I184" s="4"/>
      <c r="J184" s="4"/>
      <c r="K184" s="4"/>
      <c r="L184" s="4"/>
      <c r="M184" s="4"/>
      <c r="N184" s="4"/>
      <c r="O184" s="4">
        <f>SUM(TABELA23[[#This Row],[T1]:[T7]])</f>
        <v>0</v>
      </c>
      <c r="P184" s="16">
        <f>TABELA23[[#This Row],[QTDE]]*TABELA23[[#This Row],[PREÇO]]</f>
        <v>0</v>
      </c>
    </row>
    <row r="185" spans="2:16" x14ac:dyDescent="0.2">
      <c r="B185" s="4" t="s">
        <v>1039</v>
      </c>
      <c r="C185" s="4" t="s">
        <v>1040</v>
      </c>
      <c r="D185" s="4" t="s">
        <v>735</v>
      </c>
      <c r="E185" s="4" t="s">
        <v>736</v>
      </c>
      <c r="F185" s="16">
        <v>216.52</v>
      </c>
      <c r="G185" s="4" t="s">
        <v>31</v>
      </c>
      <c r="H185" s="4"/>
      <c r="I185" s="4"/>
      <c r="J185" s="4"/>
      <c r="K185" s="4"/>
      <c r="L185" s="4"/>
      <c r="M185" s="4"/>
      <c r="N185" s="4"/>
      <c r="O185" s="4">
        <f>SUM(TABELA23[[#This Row],[T1]:[T7]])</f>
        <v>0</v>
      </c>
      <c r="P185" s="16">
        <f>TABELA23[[#This Row],[QTDE]]*TABELA23[[#This Row],[PREÇO]]</f>
        <v>0</v>
      </c>
    </row>
    <row r="186" spans="2:16" x14ac:dyDescent="0.2">
      <c r="B186" s="4" t="s">
        <v>1041</v>
      </c>
      <c r="C186" s="4" t="s">
        <v>1042</v>
      </c>
      <c r="D186" s="4" t="s">
        <v>32</v>
      </c>
      <c r="E186" s="4" t="s">
        <v>33</v>
      </c>
      <c r="F186" s="16">
        <v>173.04</v>
      </c>
      <c r="G186" s="4" t="s">
        <v>76</v>
      </c>
      <c r="H186" s="4"/>
      <c r="I186" s="4"/>
      <c r="J186" s="4"/>
      <c r="K186" s="4"/>
      <c r="L186" s="4"/>
      <c r="M186" s="4"/>
      <c r="N186" s="4"/>
      <c r="O186" s="4">
        <f>SUM(TABELA23[[#This Row],[T1]:[T7]])</f>
        <v>0</v>
      </c>
      <c r="P186" s="16">
        <f>TABELA23[[#This Row],[QTDE]]*TABELA23[[#This Row],[PREÇO]]</f>
        <v>0</v>
      </c>
    </row>
    <row r="187" spans="2:16" x14ac:dyDescent="0.2">
      <c r="B187" s="4" t="s">
        <v>1043</v>
      </c>
      <c r="C187" s="4" t="s">
        <v>1044</v>
      </c>
      <c r="D187" s="4" t="s">
        <v>723</v>
      </c>
      <c r="E187" s="4" t="s">
        <v>724</v>
      </c>
      <c r="F187" s="16">
        <v>186.09</v>
      </c>
      <c r="G187" s="4" t="s">
        <v>66</v>
      </c>
      <c r="H187" s="4"/>
      <c r="I187" s="4"/>
      <c r="J187" s="4"/>
      <c r="K187" s="4"/>
      <c r="L187" s="4"/>
      <c r="M187" s="4"/>
      <c r="N187" s="4"/>
      <c r="O187" s="4">
        <f>SUM(TABELA23[[#This Row],[T1]:[T7]])</f>
        <v>0</v>
      </c>
      <c r="P187" s="16">
        <f>TABELA23[[#This Row],[QTDE]]*TABELA23[[#This Row],[PREÇO]]</f>
        <v>0</v>
      </c>
    </row>
    <row r="188" spans="2:16" x14ac:dyDescent="0.2">
      <c r="B188" s="4" t="s">
        <v>1045</v>
      </c>
      <c r="C188" s="4" t="s">
        <v>1046</v>
      </c>
      <c r="D188" s="4" t="s">
        <v>38</v>
      </c>
      <c r="E188" s="4" t="s">
        <v>688</v>
      </c>
      <c r="F188" s="16">
        <v>129.57</v>
      </c>
      <c r="G188" s="4" t="s">
        <v>66</v>
      </c>
      <c r="H188" s="4"/>
      <c r="I188" s="4"/>
      <c r="J188" s="4"/>
      <c r="K188" s="4"/>
      <c r="L188" s="4"/>
      <c r="M188" s="4"/>
      <c r="N188" s="4"/>
      <c r="O188" s="4">
        <f>SUM(TABELA23[[#This Row],[T1]:[T7]])</f>
        <v>0</v>
      </c>
      <c r="P188" s="16">
        <f>TABELA23[[#This Row],[QTDE]]*TABELA23[[#This Row],[PREÇO]]</f>
        <v>0</v>
      </c>
    </row>
    <row r="189" spans="2:16" x14ac:dyDescent="0.2">
      <c r="B189" s="4" t="s">
        <v>1045</v>
      </c>
      <c r="C189" s="4" t="s">
        <v>1046</v>
      </c>
      <c r="D189" s="4" t="s">
        <v>838</v>
      </c>
      <c r="E189" s="4" t="s">
        <v>839</v>
      </c>
      <c r="F189" s="16">
        <v>129.57</v>
      </c>
      <c r="G189" s="4" t="s">
        <v>66</v>
      </c>
      <c r="H189" s="4"/>
      <c r="I189" s="4"/>
      <c r="J189" s="4"/>
      <c r="K189" s="4"/>
      <c r="L189" s="4"/>
      <c r="M189" s="4"/>
      <c r="N189" s="4"/>
      <c r="O189" s="4">
        <f>SUM(TABELA23[[#This Row],[T1]:[T7]])</f>
        <v>0</v>
      </c>
      <c r="P189" s="16">
        <f>TABELA23[[#This Row],[QTDE]]*TABELA23[[#This Row],[PREÇO]]</f>
        <v>0</v>
      </c>
    </row>
    <row r="190" spans="2:16" x14ac:dyDescent="0.2">
      <c r="B190" s="4" t="s">
        <v>1047</v>
      </c>
      <c r="C190" s="4" t="s">
        <v>1048</v>
      </c>
      <c r="D190" s="4" t="s">
        <v>32</v>
      </c>
      <c r="E190" s="4" t="s">
        <v>33</v>
      </c>
      <c r="F190" s="16">
        <v>186.09</v>
      </c>
      <c r="G190" s="4" t="s">
        <v>66</v>
      </c>
      <c r="H190" s="4"/>
      <c r="I190" s="4"/>
      <c r="J190" s="4"/>
      <c r="K190" s="4"/>
      <c r="L190" s="4"/>
      <c r="M190" s="4"/>
      <c r="N190" s="4"/>
      <c r="O190" s="4">
        <f>SUM(TABELA23[[#This Row],[T1]:[T7]])</f>
        <v>0</v>
      </c>
      <c r="P190" s="16">
        <f>TABELA23[[#This Row],[QTDE]]*TABELA23[[#This Row],[PREÇO]]</f>
        <v>0</v>
      </c>
    </row>
    <row r="191" spans="2:16" x14ac:dyDescent="0.2">
      <c r="B191" s="4" t="s">
        <v>1049</v>
      </c>
      <c r="C191" s="4" t="s">
        <v>331</v>
      </c>
      <c r="D191" s="4" t="s">
        <v>791</v>
      </c>
      <c r="E191" s="4" t="s">
        <v>713</v>
      </c>
      <c r="F191" s="16">
        <v>146.96</v>
      </c>
      <c r="G191" s="4" t="s">
        <v>66</v>
      </c>
      <c r="H191" s="4"/>
      <c r="I191" s="4"/>
      <c r="J191" s="4"/>
      <c r="K191" s="4"/>
      <c r="L191" s="4"/>
      <c r="M191" s="4"/>
      <c r="N191" s="4"/>
      <c r="O191" s="4">
        <f>SUM(TABELA23[[#This Row],[T1]:[T7]])</f>
        <v>0</v>
      </c>
      <c r="P191" s="16">
        <f>TABELA23[[#This Row],[QTDE]]*TABELA23[[#This Row],[PREÇO]]</f>
        <v>0</v>
      </c>
    </row>
    <row r="192" spans="2:16" x14ac:dyDescent="0.2">
      <c r="B192" s="4" t="s">
        <v>1049</v>
      </c>
      <c r="C192" s="4" t="s">
        <v>331</v>
      </c>
      <c r="D192" s="4" t="s">
        <v>208</v>
      </c>
      <c r="E192" s="4" t="s">
        <v>835</v>
      </c>
      <c r="F192" s="16">
        <v>146.96</v>
      </c>
      <c r="G192" s="4" t="s">
        <v>66</v>
      </c>
      <c r="H192" s="4"/>
      <c r="I192" s="4"/>
      <c r="J192" s="4"/>
      <c r="K192" s="4"/>
      <c r="L192" s="4"/>
      <c r="M192" s="4"/>
      <c r="N192" s="4"/>
      <c r="O192" s="4">
        <f>SUM(TABELA23[[#This Row],[T1]:[T7]])</f>
        <v>0</v>
      </c>
      <c r="P192" s="16">
        <f>TABELA23[[#This Row],[QTDE]]*TABELA23[[#This Row],[PREÇO]]</f>
        <v>0</v>
      </c>
    </row>
    <row r="193" spans="2:16" x14ac:dyDescent="0.2">
      <c r="B193" s="4" t="s">
        <v>1050</v>
      </c>
      <c r="C193" s="4" t="s">
        <v>1051</v>
      </c>
      <c r="D193" s="4" t="s">
        <v>32</v>
      </c>
      <c r="E193" s="4" t="s">
        <v>33</v>
      </c>
      <c r="F193" s="16">
        <v>155.65</v>
      </c>
      <c r="G193" s="4" t="s">
        <v>66</v>
      </c>
      <c r="H193" s="4"/>
      <c r="I193" s="4"/>
      <c r="J193" s="4"/>
      <c r="K193" s="4"/>
      <c r="L193" s="4"/>
      <c r="M193" s="4"/>
      <c r="N193" s="4"/>
      <c r="O193" s="4">
        <f>SUM(TABELA23[[#This Row],[T1]:[T7]])</f>
        <v>0</v>
      </c>
      <c r="P193" s="16">
        <f>TABELA23[[#This Row],[QTDE]]*TABELA23[[#This Row],[PREÇO]]</f>
        <v>0</v>
      </c>
    </row>
    <row r="194" spans="2:16" x14ac:dyDescent="0.2">
      <c r="B194" s="4" t="s">
        <v>1052</v>
      </c>
      <c r="C194" s="4" t="s">
        <v>1053</v>
      </c>
      <c r="D194" s="4" t="s">
        <v>1024</v>
      </c>
      <c r="E194" s="4" t="s">
        <v>1025</v>
      </c>
      <c r="F194" s="16">
        <v>146.96</v>
      </c>
      <c r="G194" s="4" t="s">
        <v>66</v>
      </c>
      <c r="H194" s="4"/>
      <c r="I194" s="4"/>
      <c r="J194" s="4"/>
      <c r="K194" s="4"/>
      <c r="L194" s="4"/>
      <c r="M194" s="4"/>
      <c r="N194" s="4"/>
      <c r="O194" s="4">
        <f>SUM(TABELA23[[#This Row],[T1]:[T7]])</f>
        <v>0</v>
      </c>
      <c r="P194" s="16">
        <f>TABELA23[[#This Row],[QTDE]]*TABELA23[[#This Row],[PREÇO]]</f>
        <v>0</v>
      </c>
    </row>
    <row r="195" spans="2:16" x14ac:dyDescent="0.2">
      <c r="B195" s="4" t="s">
        <v>1054</v>
      </c>
      <c r="C195" s="4" t="s">
        <v>1055</v>
      </c>
      <c r="D195" s="4" t="s">
        <v>36</v>
      </c>
      <c r="E195" s="4" t="s">
        <v>37</v>
      </c>
      <c r="F195" s="16">
        <v>129.57</v>
      </c>
      <c r="G195" s="4" t="s">
        <v>66</v>
      </c>
      <c r="H195" s="4"/>
      <c r="I195" s="4"/>
      <c r="J195" s="4"/>
      <c r="K195" s="4"/>
      <c r="L195" s="4"/>
      <c r="M195" s="4"/>
      <c r="N195" s="4"/>
      <c r="O195" s="4">
        <f>SUM(TABELA23[[#This Row],[T1]:[T7]])</f>
        <v>0</v>
      </c>
      <c r="P195" s="16">
        <f>TABELA23[[#This Row],[QTDE]]*TABELA23[[#This Row],[PREÇO]]</f>
        <v>0</v>
      </c>
    </row>
    <row r="196" spans="2:16" x14ac:dyDescent="0.2">
      <c r="B196" s="4" t="s">
        <v>1056</v>
      </c>
      <c r="C196" s="4" t="s">
        <v>1057</v>
      </c>
      <c r="D196" s="4" t="s">
        <v>36</v>
      </c>
      <c r="E196" s="4" t="s">
        <v>37</v>
      </c>
      <c r="F196" s="16">
        <v>146.96</v>
      </c>
      <c r="G196" s="4" t="s">
        <v>66</v>
      </c>
      <c r="H196" s="4"/>
      <c r="I196" s="4"/>
      <c r="J196" s="4"/>
      <c r="K196" s="4"/>
      <c r="L196" s="4"/>
      <c r="M196" s="4"/>
      <c r="N196" s="4"/>
      <c r="O196" s="4">
        <f>SUM(TABELA23[[#This Row],[T1]:[T7]])</f>
        <v>0</v>
      </c>
      <c r="P196" s="16">
        <f>TABELA23[[#This Row],[QTDE]]*TABELA23[[#This Row],[PREÇO]]</f>
        <v>0</v>
      </c>
    </row>
    <row r="197" spans="2:16" x14ac:dyDescent="0.2">
      <c r="B197" s="4" t="s">
        <v>1058</v>
      </c>
      <c r="C197" s="4" t="s">
        <v>1059</v>
      </c>
      <c r="D197" s="4" t="s">
        <v>48</v>
      </c>
      <c r="E197" s="4" t="s">
        <v>673</v>
      </c>
      <c r="F197" s="16">
        <v>129.57</v>
      </c>
      <c r="G197" s="4" t="s">
        <v>221</v>
      </c>
      <c r="H197" s="4"/>
      <c r="I197" s="4"/>
      <c r="J197" s="4"/>
      <c r="K197" s="4"/>
      <c r="L197" s="4"/>
      <c r="M197" s="4"/>
      <c r="N197" s="4"/>
      <c r="O197" s="4">
        <f>SUM(TABELA23[[#This Row],[T1]:[T7]])</f>
        <v>0</v>
      </c>
      <c r="P197" s="16">
        <f>TABELA23[[#This Row],[QTDE]]*TABELA23[[#This Row],[PREÇO]]</f>
        <v>0</v>
      </c>
    </row>
    <row r="198" spans="2:16" x14ac:dyDescent="0.2">
      <c r="B198" s="4" t="s">
        <v>1060</v>
      </c>
      <c r="C198" s="4" t="s">
        <v>1061</v>
      </c>
      <c r="D198" s="4" t="s">
        <v>32</v>
      </c>
      <c r="E198" s="4" t="s">
        <v>33</v>
      </c>
      <c r="F198" s="16">
        <v>194.78</v>
      </c>
      <c r="G198" s="4" t="s">
        <v>66</v>
      </c>
      <c r="H198" s="4"/>
      <c r="I198" s="4"/>
      <c r="J198" s="4"/>
      <c r="K198" s="4"/>
      <c r="L198" s="4"/>
      <c r="M198" s="4"/>
      <c r="N198" s="4"/>
      <c r="O198" s="4">
        <f>SUM(TABELA23[[#This Row],[T1]:[T7]])</f>
        <v>0</v>
      </c>
      <c r="P198" s="16">
        <f>TABELA23[[#This Row],[QTDE]]*TABELA23[[#This Row],[PREÇO]]</f>
        <v>0</v>
      </c>
    </row>
    <row r="199" spans="2:16" x14ac:dyDescent="0.2">
      <c r="B199" s="4" t="s">
        <v>1062</v>
      </c>
      <c r="C199" s="4" t="s">
        <v>1063</v>
      </c>
      <c r="D199" s="4" t="s">
        <v>1064</v>
      </c>
      <c r="E199" s="4" t="s">
        <v>33</v>
      </c>
      <c r="F199" s="16">
        <v>173.04</v>
      </c>
      <c r="G199" s="4" t="s">
        <v>66</v>
      </c>
      <c r="H199" s="4"/>
      <c r="I199" s="4"/>
      <c r="J199" s="4"/>
      <c r="K199" s="4"/>
      <c r="L199" s="4"/>
      <c r="M199" s="4"/>
      <c r="N199" s="4"/>
      <c r="O199" s="4">
        <f>SUM(TABELA23[[#This Row],[T1]:[T7]])</f>
        <v>0</v>
      </c>
      <c r="P199" s="16">
        <f>TABELA23[[#This Row],[QTDE]]*TABELA23[[#This Row],[PREÇO]]</f>
        <v>0</v>
      </c>
    </row>
    <row r="200" spans="2:16" x14ac:dyDescent="0.2">
      <c r="B200" s="4" t="s">
        <v>1065</v>
      </c>
      <c r="C200" s="4" t="s">
        <v>1066</v>
      </c>
      <c r="D200" s="4" t="s">
        <v>714</v>
      </c>
      <c r="E200" s="4" t="s">
        <v>710</v>
      </c>
      <c r="F200" s="16">
        <v>216.52</v>
      </c>
      <c r="G200" s="4" t="s">
        <v>66</v>
      </c>
      <c r="H200" s="4"/>
      <c r="I200" s="4"/>
      <c r="J200" s="4"/>
      <c r="K200" s="4"/>
      <c r="L200" s="4"/>
      <c r="M200" s="4"/>
      <c r="N200" s="4"/>
      <c r="O200" s="4">
        <f>SUM(TABELA23[[#This Row],[T1]:[T7]])</f>
        <v>0</v>
      </c>
      <c r="P200" s="16">
        <f>TABELA23[[#This Row],[QTDE]]*TABELA23[[#This Row],[PREÇO]]</f>
        <v>0</v>
      </c>
    </row>
    <row r="201" spans="2:16" x14ac:dyDescent="0.2">
      <c r="B201" s="4" t="s">
        <v>1067</v>
      </c>
      <c r="C201" s="4" t="s">
        <v>1068</v>
      </c>
      <c r="D201" s="4" t="s">
        <v>36</v>
      </c>
      <c r="E201" s="4" t="s">
        <v>1069</v>
      </c>
      <c r="F201" s="16">
        <v>164.35</v>
      </c>
      <c r="G201" s="4" t="s">
        <v>66</v>
      </c>
      <c r="H201" s="4"/>
      <c r="I201" s="4"/>
      <c r="J201" s="4"/>
      <c r="K201" s="4"/>
      <c r="L201" s="4"/>
      <c r="M201" s="4"/>
      <c r="N201" s="4"/>
      <c r="O201" s="4">
        <f>SUM(TABELA23[[#This Row],[T1]:[T7]])</f>
        <v>0</v>
      </c>
      <c r="P201" s="16">
        <f>TABELA23[[#This Row],[QTDE]]*TABELA23[[#This Row],[PREÇO]]</f>
        <v>0</v>
      </c>
    </row>
    <row r="202" spans="2:16" x14ac:dyDescent="0.2">
      <c r="B202" s="4" t="s">
        <v>1070</v>
      </c>
      <c r="C202" s="4" t="s">
        <v>1071</v>
      </c>
      <c r="D202" s="4" t="s">
        <v>665</v>
      </c>
      <c r="E202" s="4" t="s">
        <v>666</v>
      </c>
      <c r="F202" s="16">
        <v>155.65</v>
      </c>
      <c r="G202" s="4" t="s">
        <v>66</v>
      </c>
      <c r="H202" s="4"/>
      <c r="I202" s="4"/>
      <c r="J202" s="4"/>
      <c r="K202" s="4"/>
      <c r="L202" s="4"/>
      <c r="M202" s="4"/>
      <c r="N202" s="4"/>
      <c r="O202" s="4">
        <f>SUM(TABELA23[[#This Row],[T1]:[T7]])</f>
        <v>0</v>
      </c>
      <c r="P202" s="16">
        <f>TABELA23[[#This Row],[QTDE]]*TABELA23[[#This Row],[PREÇO]]</f>
        <v>0</v>
      </c>
    </row>
    <row r="203" spans="2:16" x14ac:dyDescent="0.2">
      <c r="B203" s="4" t="s">
        <v>1070</v>
      </c>
      <c r="C203" s="4" t="s">
        <v>1071</v>
      </c>
      <c r="D203" s="4" t="s">
        <v>669</v>
      </c>
      <c r="E203" s="4" t="s">
        <v>670</v>
      </c>
      <c r="F203" s="16">
        <v>155.65</v>
      </c>
      <c r="G203" s="4" t="s">
        <v>66</v>
      </c>
      <c r="H203" s="4"/>
      <c r="I203" s="4"/>
      <c r="J203" s="4"/>
      <c r="K203" s="4"/>
      <c r="L203" s="4"/>
      <c r="M203" s="4"/>
      <c r="N203" s="4"/>
      <c r="O203" s="4">
        <f>SUM(TABELA23[[#This Row],[T1]:[T7]])</f>
        <v>0</v>
      </c>
      <c r="P203" s="16">
        <f>TABELA23[[#This Row],[QTDE]]*TABELA23[[#This Row],[PREÇO]]</f>
        <v>0</v>
      </c>
    </row>
    <row r="204" spans="2:16" x14ac:dyDescent="0.2">
      <c r="B204" s="4" t="s">
        <v>1072</v>
      </c>
      <c r="C204" s="4" t="s">
        <v>1073</v>
      </c>
      <c r="D204" s="4" t="s">
        <v>775</v>
      </c>
      <c r="E204" s="4" t="s">
        <v>750</v>
      </c>
      <c r="F204" s="16">
        <v>216.52</v>
      </c>
      <c r="G204" s="4" t="s">
        <v>66</v>
      </c>
      <c r="H204" s="4"/>
      <c r="I204" s="4"/>
      <c r="J204" s="4"/>
      <c r="K204" s="4"/>
      <c r="L204" s="4"/>
      <c r="M204" s="4"/>
      <c r="N204" s="4"/>
      <c r="O204" s="4">
        <f>SUM(TABELA23[[#This Row],[T1]:[T7]])</f>
        <v>0</v>
      </c>
      <c r="P204" s="16">
        <f>TABELA23[[#This Row],[QTDE]]*TABELA23[[#This Row],[PREÇO]]</f>
        <v>0</v>
      </c>
    </row>
    <row r="205" spans="2:16" x14ac:dyDescent="0.2">
      <c r="B205" s="4" t="s">
        <v>1074</v>
      </c>
      <c r="C205" s="4" t="s">
        <v>1075</v>
      </c>
      <c r="D205" s="4" t="s">
        <v>32</v>
      </c>
      <c r="E205" s="4" t="s">
        <v>33</v>
      </c>
      <c r="F205" s="16">
        <v>146.96</v>
      </c>
      <c r="G205" s="4" t="s">
        <v>66</v>
      </c>
      <c r="H205" s="4"/>
      <c r="I205" s="4"/>
      <c r="J205" s="4"/>
      <c r="K205" s="4"/>
      <c r="L205" s="4"/>
      <c r="M205" s="4"/>
      <c r="N205" s="4"/>
      <c r="O205" s="4">
        <f>SUM(TABELA23[[#This Row],[T1]:[T7]])</f>
        <v>0</v>
      </c>
      <c r="P205" s="16">
        <f>TABELA23[[#This Row],[QTDE]]*TABELA23[[#This Row],[PREÇO]]</f>
        <v>0</v>
      </c>
    </row>
    <row r="206" spans="2:16" x14ac:dyDescent="0.2">
      <c r="B206" s="4" t="s">
        <v>1076</v>
      </c>
      <c r="C206" s="4" t="s">
        <v>1077</v>
      </c>
      <c r="D206" s="4" t="s">
        <v>723</v>
      </c>
      <c r="E206" s="4" t="s">
        <v>724</v>
      </c>
      <c r="F206" s="16">
        <v>146.96</v>
      </c>
      <c r="G206" s="4" t="s">
        <v>66</v>
      </c>
      <c r="H206" s="4"/>
      <c r="I206" s="4"/>
      <c r="J206" s="4"/>
      <c r="K206" s="4"/>
      <c r="L206" s="4"/>
      <c r="M206" s="4"/>
      <c r="N206" s="4"/>
      <c r="O206" s="4">
        <f>SUM(TABELA23[[#This Row],[T1]:[T7]])</f>
        <v>0</v>
      </c>
      <c r="P206" s="16">
        <f>TABELA23[[#This Row],[QTDE]]*TABELA23[[#This Row],[PREÇO]]</f>
        <v>0</v>
      </c>
    </row>
    <row r="207" spans="2:16" x14ac:dyDescent="0.2">
      <c r="B207" s="4" t="s">
        <v>1078</v>
      </c>
      <c r="C207" s="4" t="s">
        <v>1079</v>
      </c>
      <c r="D207" s="4" t="s">
        <v>32</v>
      </c>
      <c r="E207" s="4" t="s">
        <v>33</v>
      </c>
      <c r="F207" s="16">
        <v>146.96</v>
      </c>
      <c r="G207" s="4" t="s">
        <v>66</v>
      </c>
      <c r="H207" s="4"/>
      <c r="I207" s="4"/>
      <c r="J207" s="4"/>
      <c r="K207" s="4"/>
      <c r="L207" s="4"/>
      <c r="M207" s="4"/>
      <c r="N207" s="4"/>
      <c r="O207" s="4">
        <f>SUM(TABELA23[[#This Row],[T1]:[T7]])</f>
        <v>0</v>
      </c>
      <c r="P207" s="16">
        <f>TABELA23[[#This Row],[QTDE]]*TABELA23[[#This Row],[PREÇO]]</f>
        <v>0</v>
      </c>
    </row>
    <row r="208" spans="2:16" x14ac:dyDescent="0.2">
      <c r="B208" s="4" t="s">
        <v>1080</v>
      </c>
      <c r="C208" s="4" t="s">
        <v>1081</v>
      </c>
      <c r="D208" s="4" t="s">
        <v>707</v>
      </c>
      <c r="E208" s="4" t="s">
        <v>808</v>
      </c>
      <c r="F208" s="16">
        <v>186.09</v>
      </c>
      <c r="G208" s="4" t="s">
        <v>66</v>
      </c>
      <c r="H208" s="4"/>
      <c r="I208" s="4"/>
      <c r="J208" s="4"/>
      <c r="K208" s="4"/>
      <c r="L208" s="4"/>
      <c r="M208" s="4"/>
      <c r="N208" s="4"/>
      <c r="O208" s="4">
        <f>SUM(TABELA23[[#This Row],[T1]:[T7]])</f>
        <v>0</v>
      </c>
      <c r="P208" s="16">
        <f>TABELA23[[#This Row],[QTDE]]*TABELA23[[#This Row],[PREÇO]]</f>
        <v>0</v>
      </c>
    </row>
    <row r="209" spans="2:16" x14ac:dyDescent="0.2">
      <c r="B209" s="4" t="s">
        <v>1080</v>
      </c>
      <c r="C209" s="4" t="s">
        <v>1081</v>
      </c>
      <c r="D209" s="4" t="s">
        <v>709</v>
      </c>
      <c r="E209" s="4" t="s">
        <v>710</v>
      </c>
      <c r="F209" s="16">
        <v>186.09</v>
      </c>
      <c r="G209" s="4" t="s">
        <v>66</v>
      </c>
      <c r="H209" s="4"/>
      <c r="I209" s="4"/>
      <c r="J209" s="4"/>
      <c r="K209" s="4"/>
      <c r="L209" s="4"/>
      <c r="M209" s="4"/>
      <c r="N209" s="4"/>
      <c r="O209" s="4">
        <f>SUM(TABELA23[[#This Row],[T1]:[T7]])</f>
        <v>0</v>
      </c>
      <c r="P209" s="16">
        <f>TABELA23[[#This Row],[QTDE]]*TABELA23[[#This Row],[PREÇO]]</f>
        <v>0</v>
      </c>
    </row>
    <row r="210" spans="2:16" x14ac:dyDescent="0.2">
      <c r="B210" s="4" t="s">
        <v>1082</v>
      </c>
      <c r="C210" s="4" t="s">
        <v>1083</v>
      </c>
      <c r="D210" s="4" t="s">
        <v>1064</v>
      </c>
      <c r="E210" s="4" t="s">
        <v>42</v>
      </c>
      <c r="F210" s="16">
        <v>155.65</v>
      </c>
      <c r="G210" s="4" t="s">
        <v>66</v>
      </c>
      <c r="H210" s="4"/>
      <c r="I210" s="4"/>
      <c r="J210" s="4"/>
      <c r="K210" s="4"/>
      <c r="L210" s="4"/>
      <c r="M210" s="4"/>
      <c r="N210" s="4"/>
      <c r="O210" s="4">
        <f>SUM(TABELA23[[#This Row],[T1]:[T7]])</f>
        <v>0</v>
      </c>
      <c r="P210" s="16">
        <f>TABELA23[[#This Row],[QTDE]]*TABELA23[[#This Row],[PREÇO]]</f>
        <v>0</v>
      </c>
    </row>
    <row r="211" spans="2:16" x14ac:dyDescent="0.2">
      <c r="B211" s="4" t="s">
        <v>1084</v>
      </c>
      <c r="C211" s="4" t="s">
        <v>1085</v>
      </c>
      <c r="D211" s="4" t="s">
        <v>32</v>
      </c>
      <c r="E211" s="4" t="s">
        <v>42</v>
      </c>
      <c r="F211" s="16">
        <v>194.78</v>
      </c>
      <c r="G211" s="4" t="s">
        <v>66</v>
      </c>
      <c r="H211" s="4"/>
      <c r="I211" s="4"/>
      <c r="J211" s="4"/>
      <c r="K211" s="4"/>
      <c r="L211" s="4"/>
      <c r="M211" s="4"/>
      <c r="N211" s="4"/>
      <c r="O211" s="4">
        <f>SUM(TABELA23[[#This Row],[T1]:[T7]])</f>
        <v>0</v>
      </c>
      <c r="P211" s="16">
        <f>TABELA23[[#This Row],[QTDE]]*TABELA23[[#This Row],[PREÇO]]</f>
        <v>0</v>
      </c>
    </row>
    <row r="212" spans="2:16" x14ac:dyDescent="0.2">
      <c r="B212" s="4" t="s">
        <v>1086</v>
      </c>
      <c r="C212" s="4" t="s">
        <v>1087</v>
      </c>
      <c r="D212" s="4" t="s">
        <v>778</v>
      </c>
      <c r="E212" s="4" t="s">
        <v>849</v>
      </c>
      <c r="F212" s="16">
        <v>216.52</v>
      </c>
      <c r="G212" s="4" t="s">
        <v>44</v>
      </c>
      <c r="H212" s="4"/>
      <c r="I212" s="4"/>
      <c r="J212" s="4"/>
      <c r="K212" s="4"/>
      <c r="L212" s="4"/>
      <c r="M212" s="4"/>
      <c r="N212" s="4"/>
      <c r="O212" s="4">
        <f>SUM(TABELA23[[#This Row],[T1]:[T7]])</f>
        <v>0</v>
      </c>
      <c r="P212" s="16">
        <f>TABELA23[[#This Row],[QTDE]]*TABELA23[[#This Row],[PREÇO]]</f>
        <v>0</v>
      </c>
    </row>
    <row r="213" spans="2:16" x14ac:dyDescent="0.2">
      <c r="B213" s="4" t="s">
        <v>1088</v>
      </c>
      <c r="C213" s="4" t="s">
        <v>1089</v>
      </c>
      <c r="D213" s="4" t="s">
        <v>38</v>
      </c>
      <c r="E213" s="4" t="s">
        <v>688</v>
      </c>
      <c r="F213" s="16">
        <v>129.57</v>
      </c>
      <c r="G213" s="4" t="s">
        <v>44</v>
      </c>
      <c r="H213" s="4"/>
      <c r="I213" s="4"/>
      <c r="J213" s="4"/>
      <c r="K213" s="4"/>
      <c r="L213" s="4"/>
      <c r="M213" s="4"/>
      <c r="N213" s="4"/>
      <c r="O213" s="4">
        <f>SUM(TABELA23[[#This Row],[T1]:[T7]])</f>
        <v>0</v>
      </c>
      <c r="P213" s="16">
        <f>TABELA23[[#This Row],[QTDE]]*TABELA23[[#This Row],[PREÇO]]</f>
        <v>0</v>
      </c>
    </row>
    <row r="214" spans="2:16" x14ac:dyDescent="0.2">
      <c r="B214" s="4" t="s">
        <v>1090</v>
      </c>
      <c r="C214" s="4" t="s">
        <v>1091</v>
      </c>
      <c r="D214" s="4" t="s">
        <v>699</v>
      </c>
      <c r="E214" s="4" t="s">
        <v>700</v>
      </c>
      <c r="F214" s="16">
        <v>173.04</v>
      </c>
      <c r="G214" s="4" t="s">
        <v>31</v>
      </c>
      <c r="H214" s="4"/>
      <c r="I214" s="4"/>
      <c r="J214" s="4"/>
      <c r="K214" s="4"/>
      <c r="L214" s="4"/>
      <c r="M214" s="4"/>
      <c r="N214" s="4"/>
      <c r="O214" s="4">
        <f>SUM(TABELA23[[#This Row],[T1]:[T7]])</f>
        <v>0</v>
      </c>
      <c r="P214" s="16">
        <f>TABELA23[[#This Row],[QTDE]]*TABELA23[[#This Row],[PREÇO]]</f>
        <v>0</v>
      </c>
    </row>
    <row r="215" spans="2:16" x14ac:dyDescent="0.2">
      <c r="B215" s="4" t="s">
        <v>1092</v>
      </c>
      <c r="C215" s="4" t="s">
        <v>1093</v>
      </c>
      <c r="D215" s="4" t="s">
        <v>761</v>
      </c>
      <c r="E215" s="4" t="s">
        <v>762</v>
      </c>
      <c r="F215" s="16">
        <v>260</v>
      </c>
      <c r="G215" s="4" t="s">
        <v>66</v>
      </c>
      <c r="H215" s="4"/>
      <c r="I215" s="4"/>
      <c r="J215" s="4"/>
      <c r="K215" s="4"/>
      <c r="L215" s="4"/>
      <c r="M215" s="4"/>
      <c r="N215" s="4"/>
      <c r="O215" s="4">
        <f>SUM(TABELA23[[#This Row],[T1]:[T7]])</f>
        <v>0</v>
      </c>
      <c r="P215" s="16">
        <f>TABELA23[[#This Row],[QTDE]]*TABELA23[[#This Row],[PREÇO]]</f>
        <v>0</v>
      </c>
    </row>
    <row r="216" spans="2:16" x14ac:dyDescent="0.2">
      <c r="B216" s="4" t="s">
        <v>1094</v>
      </c>
      <c r="C216" s="4" t="s">
        <v>1095</v>
      </c>
      <c r="D216" s="4" t="s">
        <v>735</v>
      </c>
      <c r="E216" s="4" t="s">
        <v>736</v>
      </c>
      <c r="F216" s="16">
        <v>129.57</v>
      </c>
      <c r="G216" s="4" t="s">
        <v>66</v>
      </c>
      <c r="H216" s="4"/>
      <c r="I216" s="4"/>
      <c r="J216" s="4"/>
      <c r="K216" s="4"/>
      <c r="L216" s="4"/>
      <c r="M216" s="4"/>
      <c r="N216" s="4"/>
      <c r="O216" s="4">
        <f>SUM(TABELA23[[#This Row],[T1]:[T7]])</f>
        <v>0</v>
      </c>
      <c r="P216" s="16">
        <f>TABELA23[[#This Row],[QTDE]]*TABELA23[[#This Row],[PREÇO]]</f>
        <v>0</v>
      </c>
    </row>
    <row r="217" spans="2:16" x14ac:dyDescent="0.2">
      <c r="B217" s="4" t="s">
        <v>1094</v>
      </c>
      <c r="C217" s="4" t="s">
        <v>1095</v>
      </c>
      <c r="D217" s="4" t="s">
        <v>709</v>
      </c>
      <c r="E217" s="4" t="s">
        <v>710</v>
      </c>
      <c r="F217" s="16">
        <v>129.57</v>
      </c>
      <c r="G217" s="4" t="s">
        <v>66</v>
      </c>
      <c r="H217" s="4"/>
      <c r="I217" s="4"/>
      <c r="J217" s="4"/>
      <c r="K217" s="4"/>
      <c r="L217" s="4"/>
      <c r="M217" s="4"/>
      <c r="N217" s="4"/>
      <c r="O217" s="4">
        <f>SUM(TABELA23[[#This Row],[T1]:[T7]])</f>
        <v>0</v>
      </c>
      <c r="P217" s="16">
        <f>TABELA23[[#This Row],[QTDE]]*TABELA23[[#This Row],[PREÇO]]</f>
        <v>0</v>
      </c>
    </row>
    <row r="218" spans="2:16" x14ac:dyDescent="0.2">
      <c r="B218" s="4" t="s">
        <v>1096</v>
      </c>
      <c r="C218" s="4" t="s">
        <v>1097</v>
      </c>
      <c r="D218" s="4" t="s">
        <v>32</v>
      </c>
      <c r="E218" s="4" t="s">
        <v>33</v>
      </c>
      <c r="F218" s="16">
        <v>207.83</v>
      </c>
      <c r="G218" s="4" t="s">
        <v>66</v>
      </c>
      <c r="H218" s="4"/>
      <c r="I218" s="4"/>
      <c r="J218" s="4"/>
      <c r="K218" s="4"/>
      <c r="L218" s="4"/>
      <c r="M218" s="4"/>
      <c r="N218" s="4"/>
      <c r="O218" s="4">
        <f>SUM(TABELA23[[#This Row],[T1]:[T7]])</f>
        <v>0</v>
      </c>
      <c r="P218" s="16">
        <f>TABELA23[[#This Row],[QTDE]]*TABELA23[[#This Row],[PREÇO]]</f>
        <v>0</v>
      </c>
    </row>
    <row r="219" spans="2:16" x14ac:dyDescent="0.2">
      <c r="B219" s="4" t="s">
        <v>1098</v>
      </c>
      <c r="C219" s="4" t="s">
        <v>1099</v>
      </c>
      <c r="D219" s="4" t="s">
        <v>46</v>
      </c>
      <c r="E219" s="4" t="s">
        <v>685</v>
      </c>
      <c r="F219" s="16">
        <v>194.78</v>
      </c>
      <c r="G219" s="4" t="s">
        <v>66</v>
      </c>
      <c r="H219" s="4"/>
      <c r="I219" s="4"/>
      <c r="J219" s="4"/>
      <c r="K219" s="4"/>
      <c r="L219" s="4"/>
      <c r="M219" s="4"/>
      <c r="N219" s="4"/>
      <c r="O219" s="4">
        <f>SUM(TABELA23[[#This Row],[T1]:[T7]])</f>
        <v>0</v>
      </c>
      <c r="P219" s="16">
        <f>TABELA23[[#This Row],[QTDE]]*TABELA23[[#This Row],[PREÇO]]</f>
        <v>0</v>
      </c>
    </row>
    <row r="220" spans="2:16" x14ac:dyDescent="0.2">
      <c r="B220" s="4" t="s">
        <v>1100</v>
      </c>
      <c r="C220" s="4" t="s">
        <v>1101</v>
      </c>
      <c r="D220" s="4" t="s">
        <v>1064</v>
      </c>
      <c r="E220" s="4" t="s">
        <v>42</v>
      </c>
      <c r="F220" s="16">
        <v>129.57</v>
      </c>
      <c r="G220" s="4" t="s">
        <v>66</v>
      </c>
      <c r="H220" s="4"/>
      <c r="I220" s="4"/>
      <c r="J220" s="4"/>
      <c r="K220" s="4"/>
      <c r="L220" s="4"/>
      <c r="M220" s="4"/>
      <c r="N220" s="4"/>
      <c r="O220" s="4">
        <f>SUM(TABELA23[[#This Row],[T1]:[T7]])</f>
        <v>0</v>
      </c>
      <c r="P220" s="16">
        <f>TABELA23[[#This Row],[QTDE]]*TABELA23[[#This Row],[PREÇO]]</f>
        <v>0</v>
      </c>
    </row>
    <row r="221" spans="2:16" x14ac:dyDescent="0.2">
      <c r="B221" s="4" t="s">
        <v>1102</v>
      </c>
      <c r="C221" s="4" t="s">
        <v>1103</v>
      </c>
      <c r="D221" s="4" t="s">
        <v>735</v>
      </c>
      <c r="E221" s="4" t="s">
        <v>736</v>
      </c>
      <c r="F221" s="16">
        <v>238.26</v>
      </c>
      <c r="G221" s="4" t="s">
        <v>66</v>
      </c>
      <c r="H221" s="4"/>
      <c r="I221" s="4"/>
      <c r="J221" s="4"/>
      <c r="K221" s="4"/>
      <c r="L221" s="4"/>
      <c r="M221" s="4"/>
      <c r="N221" s="4"/>
      <c r="O221" s="4">
        <f>SUM(TABELA23[[#This Row],[T1]:[T7]])</f>
        <v>0</v>
      </c>
      <c r="P221" s="16">
        <f>TABELA23[[#This Row],[QTDE]]*TABELA23[[#This Row],[PREÇO]]</f>
        <v>0</v>
      </c>
    </row>
    <row r="222" spans="2:16" x14ac:dyDescent="0.2">
      <c r="B222" s="4" t="s">
        <v>1104</v>
      </c>
      <c r="C222" s="4" t="s">
        <v>1105</v>
      </c>
      <c r="D222" s="4" t="s">
        <v>723</v>
      </c>
      <c r="E222" s="4" t="s">
        <v>746</v>
      </c>
      <c r="F222" s="16">
        <v>260</v>
      </c>
      <c r="G222" s="4" t="s">
        <v>66</v>
      </c>
      <c r="H222" s="4"/>
      <c r="I222" s="4"/>
      <c r="J222" s="4"/>
      <c r="K222" s="4"/>
      <c r="L222" s="4"/>
      <c r="M222" s="4"/>
      <c r="N222" s="4"/>
      <c r="O222" s="4">
        <f>SUM(TABELA23[[#This Row],[T1]:[T7]])</f>
        <v>0</v>
      </c>
      <c r="P222" s="16">
        <f>TABELA23[[#This Row],[QTDE]]*TABELA23[[#This Row],[PREÇO]]</f>
        <v>0</v>
      </c>
    </row>
    <row r="223" spans="2:16" x14ac:dyDescent="0.2">
      <c r="B223" s="4" t="s">
        <v>1106</v>
      </c>
      <c r="C223" s="4" t="s">
        <v>1107</v>
      </c>
      <c r="D223" s="4" t="s">
        <v>723</v>
      </c>
      <c r="E223" s="4" t="s">
        <v>724</v>
      </c>
      <c r="F223" s="16">
        <v>207.83</v>
      </c>
      <c r="G223" s="4" t="s">
        <v>66</v>
      </c>
      <c r="H223" s="4"/>
      <c r="I223" s="4"/>
      <c r="J223" s="4"/>
      <c r="K223" s="4"/>
      <c r="L223" s="4"/>
      <c r="M223" s="4"/>
      <c r="N223" s="4"/>
      <c r="O223" s="4">
        <f>SUM(TABELA23[[#This Row],[T1]:[T7]])</f>
        <v>0</v>
      </c>
      <c r="P223" s="16">
        <f>TABELA23[[#This Row],[QTDE]]*TABELA23[[#This Row],[PREÇO]]</f>
        <v>0</v>
      </c>
    </row>
    <row r="224" spans="2:16" x14ac:dyDescent="0.2">
      <c r="B224" s="4" t="s">
        <v>1108</v>
      </c>
      <c r="C224" s="4" t="s">
        <v>1109</v>
      </c>
      <c r="D224" s="4" t="s">
        <v>825</v>
      </c>
      <c r="E224" s="4" t="s">
        <v>826</v>
      </c>
      <c r="F224" s="16">
        <v>142.61000000000001</v>
      </c>
      <c r="G224" s="4" t="s">
        <v>31</v>
      </c>
      <c r="H224" s="4"/>
      <c r="I224" s="4"/>
      <c r="J224" s="4"/>
      <c r="K224" s="4"/>
      <c r="L224" s="4"/>
      <c r="M224" s="4"/>
      <c r="N224" s="4"/>
      <c r="O224" s="4">
        <f>SUM(TABELA23[[#This Row],[T1]:[T7]])</f>
        <v>0</v>
      </c>
      <c r="P224" s="16">
        <f>TABELA23[[#This Row],[QTDE]]*TABELA23[[#This Row],[PREÇO]]</f>
        <v>0</v>
      </c>
    </row>
    <row r="225" spans="2:16" x14ac:dyDescent="0.2">
      <c r="B225" s="4" t="s">
        <v>1110</v>
      </c>
      <c r="C225" s="4" t="s">
        <v>1111</v>
      </c>
      <c r="D225" s="4" t="s">
        <v>695</v>
      </c>
      <c r="E225" s="4" t="s">
        <v>885</v>
      </c>
      <c r="F225" s="16">
        <v>151.30000000000001</v>
      </c>
      <c r="G225" s="4" t="s">
        <v>31</v>
      </c>
      <c r="H225" s="4"/>
      <c r="I225" s="4"/>
      <c r="J225" s="4"/>
      <c r="K225" s="4"/>
      <c r="L225" s="4"/>
      <c r="M225" s="4"/>
      <c r="N225" s="4"/>
      <c r="O225" s="4">
        <f>SUM(TABELA23[[#This Row],[T1]:[T7]])</f>
        <v>0</v>
      </c>
      <c r="P225" s="16">
        <f>TABELA23[[#This Row],[QTDE]]*TABELA23[[#This Row],[PREÇO]]</f>
        <v>0</v>
      </c>
    </row>
    <row r="226" spans="2:16" x14ac:dyDescent="0.2">
      <c r="B226" s="4" t="s">
        <v>1112</v>
      </c>
      <c r="C226" s="4" t="s">
        <v>1113</v>
      </c>
      <c r="D226" s="4" t="s">
        <v>661</v>
      </c>
      <c r="E226" s="4" t="s">
        <v>662</v>
      </c>
      <c r="F226" s="16">
        <v>151.30000000000001</v>
      </c>
      <c r="G226" s="4" t="s">
        <v>31</v>
      </c>
      <c r="H226" s="4"/>
      <c r="I226" s="4"/>
      <c r="J226" s="4"/>
      <c r="K226" s="4"/>
      <c r="L226" s="4"/>
      <c r="M226" s="4"/>
      <c r="N226" s="4"/>
      <c r="O226" s="4">
        <f>SUM(TABELA23[[#This Row],[T1]:[T7]])</f>
        <v>0</v>
      </c>
      <c r="P226" s="16">
        <f>TABELA23[[#This Row],[QTDE]]*TABELA23[[#This Row],[PREÇO]]</f>
        <v>0</v>
      </c>
    </row>
    <row r="227" spans="2:16" x14ac:dyDescent="0.2">
      <c r="B227" s="4" t="s">
        <v>1114</v>
      </c>
      <c r="C227" s="4" t="s">
        <v>1115</v>
      </c>
      <c r="D227" s="4" t="s">
        <v>753</v>
      </c>
      <c r="E227" s="4" t="s">
        <v>902</v>
      </c>
      <c r="F227" s="16">
        <v>155.65</v>
      </c>
      <c r="G227" s="4" t="s">
        <v>31</v>
      </c>
      <c r="H227" s="4"/>
      <c r="I227" s="4"/>
      <c r="J227" s="4"/>
      <c r="K227" s="4"/>
      <c r="L227" s="4"/>
      <c r="M227" s="4"/>
      <c r="N227" s="4"/>
      <c r="O227" s="4">
        <f>SUM(TABELA23[[#This Row],[T1]:[T7]])</f>
        <v>0</v>
      </c>
      <c r="P227" s="16">
        <f>TABELA23[[#This Row],[QTDE]]*TABELA23[[#This Row],[PREÇO]]</f>
        <v>0</v>
      </c>
    </row>
    <row r="228" spans="2:16" x14ac:dyDescent="0.2">
      <c r="B228" s="4" t="s">
        <v>1116</v>
      </c>
      <c r="C228" s="4" t="s">
        <v>1117</v>
      </c>
      <c r="D228" s="4" t="s">
        <v>804</v>
      </c>
      <c r="E228" s="4" t="s">
        <v>805</v>
      </c>
      <c r="F228" s="16">
        <v>155.65</v>
      </c>
      <c r="G228" s="4" t="s">
        <v>31</v>
      </c>
      <c r="H228" s="4"/>
      <c r="I228" s="4"/>
      <c r="J228" s="4"/>
      <c r="K228" s="4"/>
      <c r="L228" s="4"/>
      <c r="M228" s="4"/>
      <c r="N228" s="4"/>
      <c r="O228" s="4">
        <f>SUM(TABELA23[[#This Row],[T1]:[T7]])</f>
        <v>0</v>
      </c>
      <c r="P228" s="16">
        <f>TABELA23[[#This Row],[QTDE]]*TABELA23[[#This Row],[PREÇO]]</f>
        <v>0</v>
      </c>
    </row>
    <row r="229" spans="2:16" x14ac:dyDescent="0.2">
      <c r="B229" s="4" t="s">
        <v>1118</v>
      </c>
      <c r="C229" s="4" t="s">
        <v>1119</v>
      </c>
      <c r="D229" s="4" t="s">
        <v>38</v>
      </c>
      <c r="E229" s="4" t="s">
        <v>688</v>
      </c>
      <c r="F229" s="16">
        <v>207.83</v>
      </c>
      <c r="G229" s="4" t="s">
        <v>44</v>
      </c>
      <c r="H229" s="4"/>
      <c r="I229" s="4"/>
      <c r="J229" s="4"/>
      <c r="K229" s="4"/>
      <c r="L229" s="4"/>
      <c r="M229" s="4"/>
      <c r="N229" s="4"/>
      <c r="O229" s="4">
        <f>SUM(TABELA23[[#This Row],[T1]:[T7]])</f>
        <v>0</v>
      </c>
      <c r="P229" s="16">
        <f>TABELA23[[#This Row],[QTDE]]*TABELA23[[#This Row],[PREÇO]]</f>
        <v>0</v>
      </c>
    </row>
    <row r="230" spans="2:16" x14ac:dyDescent="0.2">
      <c r="B230" s="4" t="s">
        <v>1120</v>
      </c>
      <c r="C230" s="4" t="s">
        <v>1121</v>
      </c>
      <c r="D230" s="4" t="s">
        <v>767</v>
      </c>
      <c r="E230" s="4" t="s">
        <v>768</v>
      </c>
      <c r="F230" s="16">
        <v>216.52</v>
      </c>
      <c r="G230" s="4" t="s">
        <v>39</v>
      </c>
      <c r="H230" s="4"/>
      <c r="I230" s="4"/>
      <c r="J230" s="4"/>
      <c r="K230" s="4"/>
      <c r="L230" s="4"/>
      <c r="M230" s="4"/>
      <c r="N230" s="4"/>
      <c r="O230" s="4">
        <f>SUM(TABELA23[[#This Row],[T1]:[T7]])</f>
        <v>0</v>
      </c>
      <c r="P230" s="16">
        <f>TABELA23[[#This Row],[QTDE]]*TABELA23[[#This Row],[PREÇO]]</f>
        <v>0</v>
      </c>
    </row>
    <row r="231" spans="2:16" x14ac:dyDescent="0.2">
      <c r="B231" s="4" t="s">
        <v>1122</v>
      </c>
      <c r="C231" s="4" t="s">
        <v>1123</v>
      </c>
      <c r="D231" s="4" t="s">
        <v>791</v>
      </c>
      <c r="E231" s="4" t="s">
        <v>713</v>
      </c>
      <c r="F231" s="16">
        <v>186.09</v>
      </c>
      <c r="G231" s="4" t="s">
        <v>44</v>
      </c>
      <c r="H231" s="4"/>
      <c r="I231" s="4"/>
      <c r="J231" s="4"/>
      <c r="K231" s="4"/>
      <c r="L231" s="4"/>
      <c r="M231" s="4"/>
      <c r="N231" s="4"/>
      <c r="O231" s="4">
        <f>SUM(TABELA23[[#This Row],[T1]:[T7]])</f>
        <v>0</v>
      </c>
      <c r="P231" s="16">
        <f>TABELA23[[#This Row],[QTDE]]*TABELA23[[#This Row],[PREÇO]]</f>
        <v>0</v>
      </c>
    </row>
    <row r="232" spans="2:16" x14ac:dyDescent="0.2">
      <c r="B232" s="4" t="s">
        <v>1124</v>
      </c>
      <c r="C232" s="4" t="s">
        <v>1125</v>
      </c>
      <c r="D232" s="4" t="s">
        <v>877</v>
      </c>
      <c r="E232" s="4" t="s">
        <v>878</v>
      </c>
      <c r="F232" s="16">
        <v>186.09</v>
      </c>
      <c r="G232" s="4" t="s">
        <v>31</v>
      </c>
      <c r="H232" s="4"/>
      <c r="I232" s="4"/>
      <c r="J232" s="4"/>
      <c r="K232" s="4"/>
      <c r="L232" s="4"/>
      <c r="M232" s="4"/>
      <c r="N232" s="4"/>
      <c r="O232" s="4">
        <f>SUM(TABELA23[[#This Row],[T1]:[T7]])</f>
        <v>0</v>
      </c>
      <c r="P232" s="16">
        <f>TABELA23[[#This Row],[QTDE]]*TABELA23[[#This Row],[PREÇO]]</f>
        <v>0</v>
      </c>
    </row>
    <row r="233" spans="2:16" x14ac:dyDescent="0.2">
      <c r="B233" s="4" t="s">
        <v>1126</v>
      </c>
      <c r="C233" s="4" t="s">
        <v>1127</v>
      </c>
      <c r="D233" s="4" t="s">
        <v>761</v>
      </c>
      <c r="E233" s="4" t="s">
        <v>762</v>
      </c>
      <c r="F233" s="16">
        <v>199.13</v>
      </c>
      <c r="G233" s="4" t="s">
        <v>31</v>
      </c>
      <c r="H233" s="4"/>
      <c r="I233" s="4"/>
      <c r="J233" s="4"/>
      <c r="K233" s="4"/>
      <c r="L233" s="4"/>
      <c r="M233" s="4"/>
      <c r="N233" s="4"/>
      <c r="O233" s="4">
        <f>SUM(TABELA23[[#This Row],[T1]:[T7]])</f>
        <v>0</v>
      </c>
      <c r="P233" s="16">
        <f>TABELA23[[#This Row],[QTDE]]*TABELA23[[#This Row],[PREÇO]]</f>
        <v>0</v>
      </c>
    </row>
    <row r="234" spans="2:16" x14ac:dyDescent="0.2">
      <c r="B234" s="4" t="s">
        <v>1128</v>
      </c>
      <c r="C234" s="4" t="s">
        <v>1129</v>
      </c>
      <c r="D234" s="4" t="s">
        <v>794</v>
      </c>
      <c r="E234" s="4" t="s">
        <v>795</v>
      </c>
      <c r="F234" s="16">
        <v>186.09</v>
      </c>
      <c r="G234" s="4" t="s">
        <v>31</v>
      </c>
      <c r="H234" s="4"/>
      <c r="I234" s="4"/>
      <c r="J234" s="4"/>
      <c r="K234" s="4"/>
      <c r="L234" s="4"/>
      <c r="M234" s="4"/>
      <c r="N234" s="4"/>
      <c r="O234" s="4">
        <f>SUM(TABELA23[[#This Row],[T1]:[T7]])</f>
        <v>0</v>
      </c>
      <c r="P234" s="16">
        <f>TABELA23[[#This Row],[QTDE]]*TABELA23[[#This Row],[PREÇO]]</f>
        <v>0</v>
      </c>
    </row>
    <row r="235" spans="2:16" x14ac:dyDescent="0.2">
      <c r="B235" s="4" t="s">
        <v>1130</v>
      </c>
      <c r="C235" s="4" t="s">
        <v>1131</v>
      </c>
      <c r="D235" s="4" t="s">
        <v>709</v>
      </c>
      <c r="E235" s="4" t="s">
        <v>710</v>
      </c>
      <c r="F235" s="16">
        <v>164.35</v>
      </c>
      <c r="G235" s="4" t="s">
        <v>31</v>
      </c>
      <c r="H235" s="4"/>
      <c r="I235" s="4"/>
      <c r="J235" s="4"/>
      <c r="K235" s="4"/>
      <c r="L235" s="4"/>
      <c r="M235" s="4"/>
      <c r="N235" s="4"/>
      <c r="O235" s="4">
        <f>SUM(TABELA23[[#This Row],[T1]:[T7]])</f>
        <v>0</v>
      </c>
      <c r="P235" s="16">
        <f>TABELA23[[#This Row],[QTDE]]*TABELA23[[#This Row],[PREÇO]]</f>
        <v>0</v>
      </c>
    </row>
    <row r="236" spans="2:16" x14ac:dyDescent="0.2">
      <c r="B236" s="4" t="s">
        <v>1130</v>
      </c>
      <c r="C236" s="4" t="s">
        <v>1131</v>
      </c>
      <c r="D236" s="4" t="s">
        <v>669</v>
      </c>
      <c r="E236" s="4" t="s">
        <v>670</v>
      </c>
      <c r="F236" s="16">
        <v>164.35</v>
      </c>
      <c r="G236" s="4" t="s">
        <v>31</v>
      </c>
      <c r="H236" s="4"/>
      <c r="I236" s="4"/>
      <c r="J236" s="4"/>
      <c r="K236" s="4"/>
      <c r="L236" s="4"/>
      <c r="M236" s="4"/>
      <c r="N236" s="4"/>
      <c r="O236" s="4">
        <f>SUM(TABELA23[[#This Row],[T1]:[T7]])</f>
        <v>0</v>
      </c>
      <c r="P236" s="16">
        <f>TABELA23[[#This Row],[QTDE]]*TABELA23[[#This Row],[PREÇO]]</f>
        <v>0</v>
      </c>
    </row>
    <row r="237" spans="2:16" x14ac:dyDescent="0.2">
      <c r="B237" s="4" t="s">
        <v>1132</v>
      </c>
      <c r="C237" s="4" t="s">
        <v>1133</v>
      </c>
      <c r="D237" s="4" t="s">
        <v>735</v>
      </c>
      <c r="E237" s="4" t="s">
        <v>736</v>
      </c>
      <c r="F237" s="16">
        <v>173.04</v>
      </c>
      <c r="G237" s="4" t="s">
        <v>798</v>
      </c>
      <c r="H237" s="4"/>
      <c r="I237" s="4"/>
      <c r="J237" s="4"/>
      <c r="K237" s="4"/>
      <c r="L237" s="4"/>
      <c r="M237" s="4"/>
      <c r="N237" s="4"/>
      <c r="O237" s="4">
        <f>SUM(TABELA23[[#This Row],[T1]:[T7]])</f>
        <v>0</v>
      </c>
      <c r="P237" s="16">
        <f>TABELA23[[#This Row],[QTDE]]*TABELA23[[#This Row],[PREÇO]]</f>
        <v>0</v>
      </c>
    </row>
    <row r="238" spans="2:16" x14ac:dyDescent="0.2">
      <c r="B238" s="4" t="s">
        <v>1132</v>
      </c>
      <c r="C238" s="4" t="s">
        <v>1133</v>
      </c>
      <c r="D238" s="4" t="s">
        <v>791</v>
      </c>
      <c r="E238" s="4" t="s">
        <v>713</v>
      </c>
      <c r="F238" s="16">
        <v>173.04</v>
      </c>
      <c r="G238" s="4" t="s">
        <v>798</v>
      </c>
      <c r="H238" s="4"/>
      <c r="I238" s="4"/>
      <c r="J238" s="4"/>
      <c r="K238" s="4"/>
      <c r="L238" s="4"/>
      <c r="M238" s="4"/>
      <c r="N238" s="4"/>
      <c r="O238" s="4">
        <f>SUM(TABELA23[[#This Row],[T1]:[T7]])</f>
        <v>0</v>
      </c>
      <c r="P238" s="16">
        <f>TABELA23[[#This Row],[QTDE]]*TABELA23[[#This Row],[PREÇO]]</f>
        <v>0</v>
      </c>
    </row>
    <row r="239" spans="2:16" x14ac:dyDescent="0.2">
      <c r="B239" s="4" t="s">
        <v>1134</v>
      </c>
      <c r="C239" s="4" t="s">
        <v>1135</v>
      </c>
      <c r="D239" s="4" t="s">
        <v>825</v>
      </c>
      <c r="E239" s="4" t="s">
        <v>826</v>
      </c>
      <c r="F239" s="16">
        <v>216.52</v>
      </c>
      <c r="G239" s="4" t="s">
        <v>44</v>
      </c>
      <c r="H239" s="4"/>
      <c r="I239" s="4"/>
      <c r="J239" s="4"/>
      <c r="K239" s="4"/>
      <c r="L239" s="4"/>
      <c r="M239" s="4"/>
      <c r="N239" s="4"/>
      <c r="O239" s="4">
        <f>SUM(TABELA23[[#This Row],[T1]:[T7]])</f>
        <v>0</v>
      </c>
      <c r="P239" s="16">
        <f>TABELA23[[#This Row],[QTDE]]*TABELA23[[#This Row],[PREÇO]]</f>
        <v>0</v>
      </c>
    </row>
    <row r="240" spans="2:16" x14ac:dyDescent="0.2">
      <c r="B240" s="4" t="s">
        <v>1136</v>
      </c>
      <c r="C240" s="4" t="s">
        <v>1137</v>
      </c>
      <c r="D240" s="4" t="s">
        <v>38</v>
      </c>
      <c r="E240" s="4" t="s">
        <v>688</v>
      </c>
      <c r="F240" s="16">
        <v>155.65</v>
      </c>
      <c r="G240" s="4" t="s">
        <v>259</v>
      </c>
      <c r="H240" s="4"/>
      <c r="I240" s="4"/>
      <c r="J240" s="4"/>
      <c r="K240" s="4"/>
      <c r="L240" s="4"/>
      <c r="M240" s="4"/>
      <c r="N240" s="4"/>
      <c r="O240" s="4">
        <f>SUM(TABELA23[[#This Row],[T1]:[T7]])</f>
        <v>0</v>
      </c>
      <c r="P240" s="16">
        <f>TABELA23[[#This Row],[QTDE]]*TABELA23[[#This Row],[PREÇO]]</f>
        <v>0</v>
      </c>
    </row>
    <row r="241" spans="2:16" x14ac:dyDescent="0.2">
      <c r="B241" s="4" t="s">
        <v>1138</v>
      </c>
      <c r="C241" s="4" t="s">
        <v>1139</v>
      </c>
      <c r="D241" s="4" t="s">
        <v>669</v>
      </c>
      <c r="E241" s="4" t="s">
        <v>670</v>
      </c>
      <c r="F241" s="16">
        <v>173.04</v>
      </c>
      <c r="G241" s="4" t="s">
        <v>44</v>
      </c>
      <c r="H241" s="4"/>
      <c r="I241" s="4"/>
      <c r="J241" s="4"/>
      <c r="K241" s="4"/>
      <c r="L241" s="4"/>
      <c r="M241" s="4"/>
      <c r="N241" s="4"/>
      <c r="O241" s="4">
        <f>SUM(TABELA23[[#This Row],[T1]:[T7]])</f>
        <v>0</v>
      </c>
      <c r="P241" s="16">
        <f>TABELA23[[#This Row],[QTDE]]*TABELA23[[#This Row],[PREÇO]]</f>
        <v>0</v>
      </c>
    </row>
    <row r="242" spans="2:16" x14ac:dyDescent="0.2">
      <c r="B242" s="4" t="s">
        <v>1140</v>
      </c>
      <c r="C242" s="4" t="s">
        <v>1141</v>
      </c>
      <c r="D242" s="4" t="s">
        <v>775</v>
      </c>
      <c r="E242" s="4" t="s">
        <v>750</v>
      </c>
      <c r="F242" s="16">
        <v>173.04</v>
      </c>
      <c r="G242" s="4" t="s">
        <v>239</v>
      </c>
      <c r="H242" s="4"/>
      <c r="I242" s="4"/>
      <c r="J242" s="4"/>
      <c r="K242" s="4"/>
      <c r="L242" s="4"/>
      <c r="M242" s="4"/>
      <c r="N242" s="4"/>
      <c r="O242" s="4">
        <f>SUM(TABELA23[[#This Row],[T1]:[T7]])</f>
        <v>0</v>
      </c>
      <c r="P242" s="16">
        <f>TABELA23[[#This Row],[QTDE]]*TABELA23[[#This Row],[PREÇO]]</f>
        <v>0</v>
      </c>
    </row>
    <row r="243" spans="2:16" x14ac:dyDescent="0.2">
      <c r="B243" s="4" t="s">
        <v>1142</v>
      </c>
      <c r="C243" s="4" t="s">
        <v>1143</v>
      </c>
      <c r="D243" s="4" t="s">
        <v>791</v>
      </c>
      <c r="E243" s="4" t="s">
        <v>713</v>
      </c>
      <c r="F243" s="16">
        <v>316.52</v>
      </c>
      <c r="G243" s="4" t="s">
        <v>39</v>
      </c>
      <c r="H243" s="4"/>
      <c r="I243" s="4"/>
      <c r="J243" s="4"/>
      <c r="K243" s="4"/>
      <c r="L243" s="4"/>
      <c r="M243" s="4"/>
      <c r="N243" s="4"/>
      <c r="O243" s="4">
        <f>SUM(TABELA23[[#This Row],[T1]:[T7]])</f>
        <v>0</v>
      </c>
      <c r="P243" s="16">
        <f>TABELA23[[#This Row],[QTDE]]*TABELA23[[#This Row],[PREÇO]]</f>
        <v>0</v>
      </c>
    </row>
    <row r="244" spans="2:16" x14ac:dyDescent="0.2">
      <c r="B244" s="4" t="s">
        <v>1142</v>
      </c>
      <c r="C244" s="4" t="s">
        <v>1143</v>
      </c>
      <c r="D244" s="4" t="s">
        <v>838</v>
      </c>
      <c r="E244" s="4" t="s">
        <v>839</v>
      </c>
      <c r="F244" s="16">
        <v>316.52</v>
      </c>
      <c r="G244" s="4" t="s">
        <v>39</v>
      </c>
      <c r="H244" s="4"/>
      <c r="I244" s="4"/>
      <c r="J244" s="4"/>
      <c r="K244" s="4"/>
      <c r="L244" s="4"/>
      <c r="M244" s="4"/>
      <c r="N244" s="4"/>
      <c r="O244" s="4">
        <f>SUM(TABELA23[[#This Row],[T1]:[T7]])</f>
        <v>0</v>
      </c>
      <c r="P244" s="16">
        <f>TABELA23[[#This Row],[QTDE]]*TABELA23[[#This Row],[PREÇO]]</f>
        <v>0</v>
      </c>
    </row>
    <row r="245" spans="2:16" x14ac:dyDescent="0.2">
      <c r="B245" s="4" t="s">
        <v>1144</v>
      </c>
      <c r="C245" s="4" t="s">
        <v>1145</v>
      </c>
      <c r="D245" s="4" t="s">
        <v>838</v>
      </c>
      <c r="E245" s="4" t="s">
        <v>839</v>
      </c>
      <c r="F245" s="16">
        <v>273.04000000000002</v>
      </c>
      <c r="G245" s="4" t="s">
        <v>39</v>
      </c>
      <c r="H245" s="4"/>
      <c r="I245" s="4"/>
      <c r="J245" s="4"/>
      <c r="K245" s="4"/>
      <c r="L245" s="4"/>
      <c r="M245" s="4"/>
      <c r="N245" s="4"/>
      <c r="O245" s="4">
        <f>SUM(TABELA23[[#This Row],[T1]:[T7]])</f>
        <v>0</v>
      </c>
      <c r="P245" s="16">
        <f>TABELA23[[#This Row],[QTDE]]*TABELA23[[#This Row],[PREÇO]]</f>
        <v>0</v>
      </c>
    </row>
    <row r="246" spans="2:16" x14ac:dyDescent="0.2">
      <c r="B246" s="4" t="s">
        <v>1146</v>
      </c>
      <c r="C246" s="4" t="s">
        <v>1147</v>
      </c>
      <c r="D246" s="4" t="s">
        <v>775</v>
      </c>
      <c r="E246" s="4" t="s">
        <v>750</v>
      </c>
      <c r="F246" s="16">
        <v>273.04000000000002</v>
      </c>
      <c r="G246" s="4" t="s">
        <v>39</v>
      </c>
      <c r="H246" s="4"/>
      <c r="I246" s="4"/>
      <c r="J246" s="4"/>
      <c r="K246" s="4"/>
      <c r="L246" s="4"/>
      <c r="M246" s="4"/>
      <c r="N246" s="4"/>
      <c r="O246" s="4">
        <f>SUM(TABELA23[[#This Row],[T1]:[T7]])</f>
        <v>0</v>
      </c>
      <c r="P246" s="16">
        <f>TABELA23[[#This Row],[QTDE]]*TABELA23[[#This Row],[PREÇO]]</f>
        <v>0</v>
      </c>
    </row>
    <row r="247" spans="2:16" x14ac:dyDescent="0.2">
      <c r="B247" s="4" t="s">
        <v>1148</v>
      </c>
      <c r="C247" s="4" t="s">
        <v>1149</v>
      </c>
      <c r="D247" s="4" t="s">
        <v>689</v>
      </c>
      <c r="E247" s="4" t="s">
        <v>690</v>
      </c>
      <c r="F247" s="16">
        <v>325.22000000000003</v>
      </c>
      <c r="G247" s="4" t="s">
        <v>44</v>
      </c>
      <c r="H247" s="4"/>
      <c r="I247" s="4"/>
      <c r="J247" s="4"/>
      <c r="K247" s="4"/>
      <c r="L247" s="4"/>
      <c r="M247" s="4"/>
      <c r="N247" s="4"/>
      <c r="O247" s="4">
        <f>SUM(TABELA23[[#This Row],[T1]:[T7]])</f>
        <v>0</v>
      </c>
      <c r="P247" s="16">
        <f>TABELA23[[#This Row],[QTDE]]*TABELA23[[#This Row],[PREÇO]]</f>
        <v>0</v>
      </c>
    </row>
    <row r="248" spans="2:16" x14ac:dyDescent="0.2">
      <c r="B248" s="4" t="s">
        <v>1150</v>
      </c>
      <c r="C248" s="4" t="s">
        <v>1151</v>
      </c>
      <c r="D248" s="4" t="s">
        <v>38</v>
      </c>
      <c r="E248" s="4" t="s">
        <v>688</v>
      </c>
      <c r="F248" s="16">
        <v>303.48</v>
      </c>
      <c r="G248" s="4" t="s">
        <v>44</v>
      </c>
      <c r="H248" s="4"/>
      <c r="I248" s="4"/>
      <c r="J248" s="4"/>
      <c r="K248" s="4"/>
      <c r="L248" s="4"/>
      <c r="M248" s="4"/>
      <c r="N248" s="4"/>
      <c r="O248" s="4">
        <f>SUM(TABELA23[[#This Row],[T1]:[T7]])</f>
        <v>0</v>
      </c>
      <c r="P248" s="16">
        <f>TABELA23[[#This Row],[QTDE]]*TABELA23[[#This Row],[PREÇO]]</f>
        <v>0</v>
      </c>
    </row>
    <row r="249" spans="2:16" x14ac:dyDescent="0.2">
      <c r="B249" s="4" t="s">
        <v>1152</v>
      </c>
      <c r="C249" s="4" t="s">
        <v>1153</v>
      </c>
      <c r="D249" s="4" t="s">
        <v>32</v>
      </c>
      <c r="E249" s="4" t="s">
        <v>33</v>
      </c>
      <c r="F249" s="16">
        <v>216.52</v>
      </c>
      <c r="G249" s="4" t="s">
        <v>76</v>
      </c>
      <c r="H249" s="4"/>
      <c r="I249" s="4"/>
      <c r="J249" s="4"/>
      <c r="K249" s="4"/>
      <c r="L249" s="4"/>
      <c r="M249" s="4"/>
      <c r="N249" s="4"/>
      <c r="O249" s="4">
        <f>SUM(TABELA23[[#This Row],[T1]:[T7]])</f>
        <v>0</v>
      </c>
      <c r="P249" s="16">
        <f>TABELA23[[#This Row],[QTDE]]*TABELA23[[#This Row],[PREÇO]]</f>
        <v>0</v>
      </c>
    </row>
    <row r="250" spans="2:16" x14ac:dyDescent="0.2">
      <c r="B250" s="4" t="s">
        <v>1154</v>
      </c>
      <c r="C250" s="4" t="s">
        <v>1155</v>
      </c>
      <c r="D250" s="4" t="s">
        <v>791</v>
      </c>
      <c r="E250" s="4" t="s">
        <v>713</v>
      </c>
      <c r="F250" s="16">
        <v>199.13</v>
      </c>
      <c r="G250" s="4" t="s">
        <v>76</v>
      </c>
      <c r="H250" s="4"/>
      <c r="I250" s="4"/>
      <c r="J250" s="4"/>
      <c r="K250" s="4"/>
      <c r="L250" s="4"/>
      <c r="M250" s="4"/>
      <c r="N250" s="4"/>
      <c r="O250" s="4">
        <f>SUM(TABELA23[[#This Row],[T1]:[T7]])</f>
        <v>0</v>
      </c>
      <c r="P250" s="16">
        <f>TABELA23[[#This Row],[QTDE]]*TABELA23[[#This Row],[PREÇO]]</f>
        <v>0</v>
      </c>
    </row>
    <row r="251" spans="2:16" x14ac:dyDescent="0.2">
      <c r="B251" s="4" t="s">
        <v>1156</v>
      </c>
      <c r="C251" s="4" t="s">
        <v>1157</v>
      </c>
      <c r="D251" s="4" t="s">
        <v>723</v>
      </c>
      <c r="E251" s="4" t="s">
        <v>724</v>
      </c>
      <c r="F251" s="16">
        <v>238.26</v>
      </c>
      <c r="G251" s="4" t="s">
        <v>76</v>
      </c>
      <c r="H251" s="4"/>
      <c r="I251" s="4"/>
      <c r="J251" s="4"/>
      <c r="K251" s="4"/>
      <c r="L251" s="4"/>
      <c r="M251" s="4"/>
      <c r="N251" s="4"/>
      <c r="O251" s="4">
        <f>SUM(TABELA23[[#This Row],[T1]:[T7]])</f>
        <v>0</v>
      </c>
      <c r="P251" s="16">
        <f>TABELA23[[#This Row],[QTDE]]*TABELA23[[#This Row],[PREÇO]]</f>
        <v>0</v>
      </c>
    </row>
    <row r="252" spans="2:16" x14ac:dyDescent="0.2">
      <c r="B252" s="4" t="s">
        <v>1158</v>
      </c>
      <c r="C252" s="4" t="s">
        <v>1159</v>
      </c>
      <c r="D252" s="4" t="s">
        <v>79</v>
      </c>
      <c r="E252" s="4" t="s">
        <v>680</v>
      </c>
      <c r="F252" s="16">
        <v>194.78</v>
      </c>
      <c r="G252" s="4" t="s">
        <v>76</v>
      </c>
      <c r="H252" s="4"/>
      <c r="I252" s="4"/>
      <c r="J252" s="4"/>
      <c r="K252" s="4"/>
      <c r="L252" s="4"/>
      <c r="M252" s="4"/>
      <c r="N252" s="4"/>
      <c r="O252" s="4">
        <f>SUM(TABELA23[[#This Row],[T1]:[T7]])</f>
        <v>0</v>
      </c>
      <c r="P252" s="16">
        <f>TABELA23[[#This Row],[QTDE]]*TABELA23[[#This Row],[PREÇO]]</f>
        <v>0</v>
      </c>
    </row>
    <row r="253" spans="2:16" x14ac:dyDescent="0.2">
      <c r="B253" s="4" t="s">
        <v>1158</v>
      </c>
      <c r="C253" s="4" t="s">
        <v>1159</v>
      </c>
      <c r="D253" s="4" t="s">
        <v>212</v>
      </c>
      <c r="E253" s="4" t="s">
        <v>1160</v>
      </c>
      <c r="F253" s="16">
        <v>194.78</v>
      </c>
      <c r="G253" s="4" t="s">
        <v>76</v>
      </c>
      <c r="H253" s="4"/>
      <c r="I253" s="4"/>
      <c r="J253" s="4"/>
      <c r="K253" s="4"/>
      <c r="L253" s="4"/>
      <c r="M253" s="4"/>
      <c r="N253" s="4"/>
      <c r="O253" s="4">
        <f>SUM(TABELA23[[#This Row],[T1]:[T7]])</f>
        <v>0</v>
      </c>
      <c r="P253" s="16">
        <f>TABELA23[[#This Row],[QTDE]]*TABELA23[[#This Row],[PREÇO]]</f>
        <v>0</v>
      </c>
    </row>
    <row r="254" spans="2:16" x14ac:dyDescent="0.2">
      <c r="B254" s="4" t="s">
        <v>1161</v>
      </c>
      <c r="C254" s="4" t="s">
        <v>1162</v>
      </c>
      <c r="D254" s="4" t="s">
        <v>32</v>
      </c>
      <c r="E254" s="4" t="s">
        <v>42</v>
      </c>
      <c r="F254" s="16">
        <v>164.35</v>
      </c>
      <c r="G254" s="4" t="s">
        <v>76</v>
      </c>
      <c r="H254" s="4"/>
      <c r="I254" s="4"/>
      <c r="J254" s="4"/>
      <c r="K254" s="4"/>
      <c r="L254" s="4"/>
      <c r="M254" s="4"/>
      <c r="N254" s="4"/>
      <c r="O254" s="4">
        <f>SUM(TABELA23[[#This Row],[T1]:[T7]])</f>
        <v>0</v>
      </c>
      <c r="P254" s="16">
        <f>TABELA23[[#This Row],[QTDE]]*TABELA23[[#This Row],[PREÇO]]</f>
        <v>0</v>
      </c>
    </row>
    <row r="255" spans="2:16" x14ac:dyDescent="0.2">
      <c r="B255" s="4" t="s">
        <v>1163</v>
      </c>
      <c r="C255" s="4" t="s">
        <v>1164</v>
      </c>
      <c r="D255" s="4" t="s">
        <v>775</v>
      </c>
      <c r="E255" s="4" t="s">
        <v>750</v>
      </c>
      <c r="F255" s="16">
        <v>199.13</v>
      </c>
      <c r="G255" s="4" t="s">
        <v>76</v>
      </c>
      <c r="H255" s="4"/>
      <c r="I255" s="4"/>
      <c r="J255" s="4"/>
      <c r="K255" s="4"/>
      <c r="L255" s="4"/>
      <c r="M255" s="4"/>
      <c r="N255" s="4"/>
      <c r="O255" s="4">
        <f>SUM(TABELA23[[#This Row],[T1]:[T7]])</f>
        <v>0</v>
      </c>
      <c r="P255" s="16">
        <f>TABELA23[[#This Row],[QTDE]]*TABELA23[[#This Row],[PREÇO]]</f>
        <v>0</v>
      </c>
    </row>
    <row r="256" spans="2:16" x14ac:dyDescent="0.2">
      <c r="B256" s="4" t="s">
        <v>1165</v>
      </c>
      <c r="C256" s="4" t="s">
        <v>1166</v>
      </c>
      <c r="D256" s="4" t="s">
        <v>38</v>
      </c>
      <c r="E256" s="4" t="s">
        <v>688</v>
      </c>
      <c r="F256" s="16">
        <v>260</v>
      </c>
      <c r="G256" s="4" t="s">
        <v>76</v>
      </c>
      <c r="H256" s="4"/>
      <c r="I256" s="4"/>
      <c r="J256" s="4"/>
      <c r="K256" s="4"/>
      <c r="L256" s="4"/>
      <c r="M256" s="4"/>
      <c r="N256" s="4"/>
      <c r="O256" s="4">
        <f>SUM(TABELA23[[#This Row],[T1]:[T7]])</f>
        <v>0</v>
      </c>
      <c r="P256" s="16">
        <f>TABELA23[[#This Row],[QTDE]]*TABELA23[[#This Row],[PREÇO]]</f>
        <v>0</v>
      </c>
    </row>
    <row r="257" spans="2:16" x14ac:dyDescent="0.2">
      <c r="B257" s="4" t="s">
        <v>1165</v>
      </c>
      <c r="C257" s="4" t="s">
        <v>1166</v>
      </c>
      <c r="D257" s="4" t="s">
        <v>709</v>
      </c>
      <c r="E257" s="4" t="s">
        <v>710</v>
      </c>
      <c r="F257" s="16">
        <v>260</v>
      </c>
      <c r="G257" s="4" t="s">
        <v>76</v>
      </c>
      <c r="H257" s="4"/>
      <c r="I257" s="4"/>
      <c r="J257" s="4"/>
      <c r="K257" s="4"/>
      <c r="L257" s="4"/>
      <c r="M257" s="4"/>
      <c r="N257" s="4"/>
      <c r="O257" s="4">
        <f>SUM(TABELA23[[#This Row],[T1]:[T7]])</f>
        <v>0</v>
      </c>
      <c r="P257" s="16">
        <f>TABELA23[[#This Row],[QTDE]]*TABELA23[[#This Row],[PREÇO]]</f>
        <v>0</v>
      </c>
    </row>
    <row r="258" spans="2:16" x14ac:dyDescent="0.2">
      <c r="B258" s="4" t="s">
        <v>1167</v>
      </c>
      <c r="C258" s="4" t="s">
        <v>1168</v>
      </c>
      <c r="D258" s="4" t="s">
        <v>32</v>
      </c>
      <c r="E258" s="4" t="s">
        <v>33</v>
      </c>
      <c r="F258" s="16">
        <v>207.83</v>
      </c>
      <c r="G258" s="4" t="s">
        <v>76</v>
      </c>
      <c r="H258" s="4"/>
      <c r="I258" s="4"/>
      <c r="J258" s="4"/>
      <c r="K258" s="4"/>
      <c r="L258" s="4"/>
      <c r="M258" s="4"/>
      <c r="N258" s="4"/>
      <c r="O258" s="4">
        <f>SUM(TABELA23[[#This Row],[T1]:[T7]])</f>
        <v>0</v>
      </c>
      <c r="P258" s="16">
        <f>TABELA23[[#This Row],[QTDE]]*TABELA23[[#This Row],[PREÇO]]</f>
        <v>0</v>
      </c>
    </row>
    <row r="259" spans="2:16" x14ac:dyDescent="0.2">
      <c r="B259" s="4" t="s">
        <v>1169</v>
      </c>
      <c r="C259" s="4" t="s">
        <v>1170</v>
      </c>
      <c r="D259" s="4" t="s">
        <v>695</v>
      </c>
      <c r="E259" s="4" t="s">
        <v>885</v>
      </c>
      <c r="F259" s="16">
        <v>303.48</v>
      </c>
      <c r="G259" s="4" t="s">
        <v>66</v>
      </c>
      <c r="H259" s="4"/>
      <c r="I259" s="4"/>
      <c r="J259" s="4"/>
      <c r="K259" s="4"/>
      <c r="L259" s="4"/>
      <c r="M259" s="4"/>
      <c r="N259" s="4"/>
      <c r="O259" s="4">
        <f>SUM(TABELA23[[#This Row],[T1]:[T7]])</f>
        <v>0</v>
      </c>
      <c r="P259" s="16">
        <f>TABELA23[[#This Row],[QTDE]]*TABELA23[[#This Row],[PREÇO]]</f>
        <v>0</v>
      </c>
    </row>
    <row r="260" spans="2:16" x14ac:dyDescent="0.2">
      <c r="B260" s="4" t="s">
        <v>1171</v>
      </c>
      <c r="C260" s="4" t="s">
        <v>1172</v>
      </c>
      <c r="D260" s="4" t="s">
        <v>1064</v>
      </c>
      <c r="E260" s="4" t="s">
        <v>42</v>
      </c>
      <c r="F260" s="16">
        <v>155.65</v>
      </c>
      <c r="G260" s="4" t="s">
        <v>66</v>
      </c>
      <c r="H260" s="4"/>
      <c r="I260" s="4"/>
      <c r="J260" s="4"/>
      <c r="K260" s="4"/>
      <c r="L260" s="4"/>
      <c r="M260" s="4"/>
      <c r="N260" s="4"/>
      <c r="O260" s="4">
        <f>SUM(TABELA23[[#This Row],[T1]:[T7]])</f>
        <v>0</v>
      </c>
      <c r="P260" s="16">
        <f>TABELA23[[#This Row],[QTDE]]*TABELA23[[#This Row],[PREÇO]]</f>
        <v>0</v>
      </c>
    </row>
    <row r="261" spans="2:16" x14ac:dyDescent="0.2">
      <c r="B261" s="4" t="s">
        <v>1173</v>
      </c>
      <c r="C261" s="4" t="s">
        <v>1174</v>
      </c>
      <c r="D261" s="4" t="s">
        <v>32</v>
      </c>
      <c r="E261" s="4" t="s">
        <v>42</v>
      </c>
      <c r="F261" s="16">
        <v>173.04</v>
      </c>
      <c r="G261" s="4" t="s">
        <v>66</v>
      </c>
      <c r="H261" s="4"/>
      <c r="I261" s="4"/>
      <c r="J261" s="4"/>
      <c r="K261" s="4"/>
      <c r="L261" s="4"/>
      <c r="M261" s="4"/>
      <c r="N261" s="4"/>
      <c r="O261" s="4">
        <f>SUM(TABELA23[[#This Row],[T1]:[T7]])</f>
        <v>0</v>
      </c>
      <c r="P261" s="16">
        <f>TABELA23[[#This Row],[QTDE]]*TABELA23[[#This Row],[PREÇO]]</f>
        <v>0</v>
      </c>
    </row>
    <row r="262" spans="2:16" x14ac:dyDescent="0.2">
      <c r="B262" s="4" t="s">
        <v>1175</v>
      </c>
      <c r="C262" s="4" t="s">
        <v>1176</v>
      </c>
      <c r="D262" s="4" t="s">
        <v>723</v>
      </c>
      <c r="E262" s="4" t="s">
        <v>724</v>
      </c>
      <c r="F262" s="16">
        <v>216.52</v>
      </c>
      <c r="G262" s="4" t="s">
        <v>66</v>
      </c>
      <c r="H262" s="4"/>
      <c r="I262" s="4"/>
      <c r="J262" s="4"/>
      <c r="K262" s="4"/>
      <c r="L262" s="4"/>
      <c r="M262" s="4"/>
      <c r="N262" s="4"/>
      <c r="O262" s="4">
        <f>SUM(TABELA23[[#This Row],[T1]:[T7]])</f>
        <v>0</v>
      </c>
      <c r="P262" s="16">
        <f>TABELA23[[#This Row],[QTDE]]*TABELA23[[#This Row],[PREÇO]]</f>
        <v>0</v>
      </c>
    </row>
    <row r="263" spans="2:16" x14ac:dyDescent="0.2">
      <c r="B263" s="4" t="s">
        <v>1177</v>
      </c>
      <c r="C263" s="4" t="s">
        <v>1178</v>
      </c>
      <c r="D263" s="4" t="s">
        <v>36</v>
      </c>
      <c r="E263" s="4" t="s">
        <v>37</v>
      </c>
      <c r="F263" s="16">
        <v>186.09</v>
      </c>
      <c r="G263" s="4" t="s">
        <v>66</v>
      </c>
      <c r="H263" s="4"/>
      <c r="I263" s="4"/>
      <c r="J263" s="4"/>
      <c r="K263" s="4"/>
      <c r="L263" s="4"/>
      <c r="M263" s="4"/>
      <c r="N263" s="4"/>
      <c r="O263" s="4">
        <f>SUM(TABELA23[[#This Row],[T1]:[T7]])</f>
        <v>0</v>
      </c>
      <c r="P263" s="16">
        <f>TABELA23[[#This Row],[QTDE]]*TABELA23[[#This Row],[PREÇO]]</f>
        <v>0</v>
      </c>
    </row>
    <row r="264" spans="2:16" x14ac:dyDescent="0.2">
      <c r="B264" s="4" t="s">
        <v>1179</v>
      </c>
      <c r="C264" s="4" t="s">
        <v>1180</v>
      </c>
      <c r="D264" s="4" t="s">
        <v>36</v>
      </c>
      <c r="E264" s="4" t="s">
        <v>37</v>
      </c>
      <c r="F264" s="16">
        <v>173.04</v>
      </c>
      <c r="G264" s="4" t="s">
        <v>66</v>
      </c>
      <c r="H264" s="4"/>
      <c r="I264" s="4"/>
      <c r="J264" s="4"/>
      <c r="K264" s="4"/>
      <c r="L264" s="4"/>
      <c r="M264" s="4"/>
      <c r="N264" s="4"/>
      <c r="O264" s="4">
        <f>SUM(TABELA23[[#This Row],[T1]:[T7]])</f>
        <v>0</v>
      </c>
      <c r="P264" s="16">
        <f>TABELA23[[#This Row],[QTDE]]*TABELA23[[#This Row],[PREÇO]]</f>
        <v>0</v>
      </c>
    </row>
    <row r="265" spans="2:16" x14ac:dyDescent="0.2">
      <c r="B265" s="4" t="s">
        <v>1181</v>
      </c>
      <c r="C265" s="4" t="s">
        <v>1182</v>
      </c>
      <c r="D265" s="4" t="s">
        <v>775</v>
      </c>
      <c r="E265" s="4" t="s">
        <v>1183</v>
      </c>
      <c r="F265" s="16">
        <v>260</v>
      </c>
      <c r="G265" s="4" t="s">
        <v>66</v>
      </c>
      <c r="H265" s="4"/>
      <c r="I265" s="4"/>
      <c r="J265" s="4"/>
      <c r="K265" s="4"/>
      <c r="L265" s="4"/>
      <c r="M265" s="4"/>
      <c r="N265" s="4"/>
      <c r="O265" s="4">
        <f>SUM(TABELA23[[#This Row],[T1]:[T7]])</f>
        <v>0</v>
      </c>
      <c r="P265" s="16">
        <f>TABELA23[[#This Row],[QTDE]]*TABELA23[[#This Row],[PREÇO]]</f>
        <v>0</v>
      </c>
    </row>
    <row r="266" spans="2:16" x14ac:dyDescent="0.2">
      <c r="B266" s="4" t="s">
        <v>1184</v>
      </c>
      <c r="C266" s="4" t="s">
        <v>1185</v>
      </c>
      <c r="D266" s="4" t="s">
        <v>38</v>
      </c>
      <c r="E266" s="4" t="s">
        <v>688</v>
      </c>
      <c r="F266" s="16">
        <v>194.78</v>
      </c>
      <c r="G266" s="4" t="s">
        <v>66</v>
      </c>
      <c r="H266" s="4"/>
      <c r="I266" s="4"/>
      <c r="J266" s="4"/>
      <c r="K266" s="4"/>
      <c r="L266" s="4"/>
      <c r="M266" s="4"/>
      <c r="N266" s="4"/>
      <c r="O266" s="4">
        <f>SUM(TABELA23[[#This Row],[T1]:[T7]])</f>
        <v>0</v>
      </c>
      <c r="P266" s="16">
        <f>TABELA23[[#This Row],[QTDE]]*TABELA23[[#This Row],[PREÇO]]</f>
        <v>0</v>
      </c>
    </row>
    <row r="267" spans="2:16" x14ac:dyDescent="0.2">
      <c r="B267" s="4" t="s">
        <v>1184</v>
      </c>
      <c r="C267" s="4" t="s">
        <v>1185</v>
      </c>
      <c r="D267" s="4" t="s">
        <v>48</v>
      </c>
      <c r="E267" s="4" t="s">
        <v>673</v>
      </c>
      <c r="F267" s="16">
        <v>194.78</v>
      </c>
      <c r="G267" s="4" t="s">
        <v>66</v>
      </c>
      <c r="H267" s="4"/>
      <c r="I267" s="4"/>
      <c r="J267" s="4"/>
      <c r="K267" s="4"/>
      <c r="L267" s="4"/>
      <c r="M267" s="4"/>
      <c r="N267" s="4"/>
      <c r="O267" s="4">
        <f>SUM(TABELA23[[#This Row],[T1]:[T7]])</f>
        <v>0</v>
      </c>
      <c r="P267" s="16">
        <f>TABELA23[[#This Row],[QTDE]]*TABELA23[[#This Row],[PREÇO]]</f>
        <v>0</v>
      </c>
    </row>
    <row r="268" spans="2:16" x14ac:dyDescent="0.2">
      <c r="B268" s="4" t="s">
        <v>1186</v>
      </c>
      <c r="C268" s="4" t="s">
        <v>1187</v>
      </c>
      <c r="D268" s="4" t="s">
        <v>48</v>
      </c>
      <c r="E268" s="4" t="s">
        <v>713</v>
      </c>
      <c r="F268" s="16">
        <v>303.48</v>
      </c>
      <c r="G268" s="4" t="s">
        <v>66</v>
      </c>
      <c r="H268" s="4"/>
      <c r="I268" s="4"/>
      <c r="J268" s="4"/>
      <c r="K268" s="4"/>
      <c r="L268" s="4"/>
      <c r="M268" s="4"/>
      <c r="N268" s="4"/>
      <c r="O268" s="4">
        <f>SUM(TABELA23[[#This Row],[T1]:[T7]])</f>
        <v>0</v>
      </c>
      <c r="P268" s="16">
        <f>TABELA23[[#This Row],[QTDE]]*TABELA23[[#This Row],[PREÇO]]</f>
        <v>0</v>
      </c>
    </row>
    <row r="269" spans="2:16" x14ac:dyDescent="0.2">
      <c r="B269" s="4" t="s">
        <v>1186</v>
      </c>
      <c r="C269" s="4" t="s">
        <v>1187</v>
      </c>
      <c r="D269" s="4" t="s">
        <v>714</v>
      </c>
      <c r="E269" s="4" t="s">
        <v>690</v>
      </c>
      <c r="F269" s="16">
        <v>303.48</v>
      </c>
      <c r="G269" s="4" t="s">
        <v>66</v>
      </c>
      <c r="H269" s="4"/>
      <c r="I269" s="4"/>
      <c r="J269" s="4"/>
      <c r="K269" s="4"/>
      <c r="L269" s="4"/>
      <c r="M269" s="4"/>
      <c r="N269" s="4"/>
      <c r="O269" s="4">
        <f>SUM(TABELA23[[#This Row],[T1]:[T7]])</f>
        <v>0</v>
      </c>
      <c r="P269" s="16">
        <f>TABELA23[[#This Row],[QTDE]]*TABELA23[[#This Row],[PREÇO]]</f>
        <v>0</v>
      </c>
    </row>
    <row r="270" spans="2:16" x14ac:dyDescent="0.2">
      <c r="B270" s="4" t="s">
        <v>1188</v>
      </c>
      <c r="C270" s="4" t="s">
        <v>1189</v>
      </c>
      <c r="D270" s="4" t="s">
        <v>707</v>
      </c>
      <c r="E270" s="4" t="s">
        <v>808</v>
      </c>
      <c r="F270" s="16">
        <v>190.43</v>
      </c>
      <c r="G270" s="4" t="s">
        <v>66</v>
      </c>
      <c r="H270" s="4"/>
      <c r="I270" s="4"/>
      <c r="J270" s="4"/>
      <c r="K270" s="4"/>
      <c r="L270" s="4"/>
      <c r="M270" s="4"/>
      <c r="N270" s="4"/>
      <c r="O270" s="4">
        <f>SUM(TABELA23[[#This Row],[T1]:[T7]])</f>
        <v>0</v>
      </c>
      <c r="P270" s="16">
        <f>TABELA23[[#This Row],[QTDE]]*TABELA23[[#This Row],[PREÇO]]</f>
        <v>0</v>
      </c>
    </row>
    <row r="271" spans="2:16" x14ac:dyDescent="0.2">
      <c r="B271" s="4" t="s">
        <v>1190</v>
      </c>
      <c r="C271" s="4" t="s">
        <v>1191</v>
      </c>
      <c r="D271" s="4" t="s">
        <v>749</v>
      </c>
      <c r="E271" s="4" t="s">
        <v>1192</v>
      </c>
      <c r="F271" s="16">
        <v>260</v>
      </c>
      <c r="G271" s="4" t="s">
        <v>66</v>
      </c>
      <c r="H271" s="4"/>
      <c r="I271" s="4"/>
      <c r="J271" s="4"/>
      <c r="K271" s="4"/>
      <c r="L271" s="4"/>
      <c r="M271" s="4"/>
      <c r="N271" s="4"/>
      <c r="O271" s="4">
        <f>SUM(TABELA23[[#This Row],[T1]:[T7]])</f>
        <v>0</v>
      </c>
      <c r="P271" s="16">
        <f>TABELA23[[#This Row],[QTDE]]*TABELA23[[#This Row],[PREÇO]]</f>
        <v>0</v>
      </c>
    </row>
    <row r="272" spans="2:16" x14ac:dyDescent="0.2">
      <c r="B272" s="4" t="s">
        <v>1193</v>
      </c>
      <c r="C272" s="4" t="s">
        <v>1194</v>
      </c>
      <c r="D272" s="4" t="s">
        <v>749</v>
      </c>
      <c r="E272" s="4" t="s">
        <v>750</v>
      </c>
      <c r="F272" s="16">
        <v>303.48</v>
      </c>
      <c r="G272" s="4" t="s">
        <v>66</v>
      </c>
      <c r="H272" s="4"/>
      <c r="I272" s="4"/>
      <c r="J272" s="4"/>
      <c r="K272" s="4"/>
      <c r="L272" s="4"/>
      <c r="M272" s="4"/>
      <c r="N272" s="4"/>
      <c r="O272" s="4">
        <f>SUM(TABELA23[[#This Row],[T1]:[T7]])</f>
        <v>0</v>
      </c>
      <c r="P272" s="16">
        <f>TABELA23[[#This Row],[QTDE]]*TABELA23[[#This Row],[PREÇO]]</f>
        <v>0</v>
      </c>
    </row>
    <row r="273" spans="2:16" x14ac:dyDescent="0.2">
      <c r="B273" s="4" t="s">
        <v>1195</v>
      </c>
      <c r="C273" s="4" t="s">
        <v>1196</v>
      </c>
      <c r="D273" s="4" t="s">
        <v>723</v>
      </c>
      <c r="E273" s="4" t="s">
        <v>724</v>
      </c>
      <c r="F273" s="16">
        <v>229.57</v>
      </c>
      <c r="G273" s="4" t="s">
        <v>66</v>
      </c>
      <c r="H273" s="4"/>
      <c r="I273" s="4"/>
      <c r="J273" s="4"/>
      <c r="K273" s="4"/>
      <c r="L273" s="4"/>
      <c r="M273" s="4"/>
      <c r="N273" s="4"/>
      <c r="O273" s="4">
        <f>SUM(TABELA23[[#This Row],[T1]:[T7]])</f>
        <v>0</v>
      </c>
      <c r="P273" s="16">
        <f>TABELA23[[#This Row],[QTDE]]*TABELA23[[#This Row],[PREÇO]]</f>
        <v>0</v>
      </c>
    </row>
    <row r="274" spans="2:16" x14ac:dyDescent="0.2">
      <c r="B274" s="4" t="s">
        <v>1197</v>
      </c>
      <c r="C274" s="4" t="s">
        <v>1198</v>
      </c>
      <c r="D274" s="4" t="s">
        <v>32</v>
      </c>
      <c r="E274" s="4" t="s">
        <v>33</v>
      </c>
      <c r="F274" s="16">
        <v>229.57</v>
      </c>
      <c r="G274" s="4" t="s">
        <v>66</v>
      </c>
      <c r="H274" s="4"/>
      <c r="I274" s="4"/>
      <c r="J274" s="4"/>
      <c r="K274" s="4"/>
      <c r="L274" s="4"/>
      <c r="M274" s="4"/>
      <c r="N274" s="4"/>
      <c r="O274" s="4">
        <f>SUM(TABELA23[[#This Row],[T1]:[T7]])</f>
        <v>0</v>
      </c>
      <c r="P274" s="16">
        <f>TABELA23[[#This Row],[QTDE]]*TABELA23[[#This Row],[PREÇO]]</f>
        <v>0</v>
      </c>
    </row>
    <row r="275" spans="2:16" x14ac:dyDescent="0.2">
      <c r="B275" s="4" t="s">
        <v>1199</v>
      </c>
      <c r="C275" s="4" t="s">
        <v>1200</v>
      </c>
      <c r="D275" s="4" t="s">
        <v>1064</v>
      </c>
      <c r="E275" s="4" t="s">
        <v>42</v>
      </c>
      <c r="F275" s="16">
        <v>216.52</v>
      </c>
      <c r="G275" s="4" t="s">
        <v>66</v>
      </c>
      <c r="H275" s="4"/>
      <c r="I275" s="4"/>
      <c r="J275" s="4"/>
      <c r="K275" s="4"/>
      <c r="L275" s="4"/>
      <c r="M275" s="4"/>
      <c r="N275" s="4"/>
      <c r="O275" s="4">
        <f>SUM(TABELA23[[#This Row],[T1]:[T7]])</f>
        <v>0</v>
      </c>
      <c r="P275" s="16">
        <f>TABELA23[[#This Row],[QTDE]]*TABELA23[[#This Row],[PREÇO]]</f>
        <v>0</v>
      </c>
    </row>
    <row r="276" spans="2:16" x14ac:dyDescent="0.2">
      <c r="B276" s="4" t="s">
        <v>1201</v>
      </c>
      <c r="C276" s="4" t="s">
        <v>1202</v>
      </c>
      <c r="D276" s="4" t="s">
        <v>32</v>
      </c>
      <c r="E276" s="4" t="s">
        <v>33</v>
      </c>
      <c r="F276" s="16">
        <v>260</v>
      </c>
      <c r="G276" s="4" t="s">
        <v>66</v>
      </c>
      <c r="H276" s="4"/>
      <c r="I276" s="4"/>
      <c r="J276" s="4"/>
      <c r="K276" s="4"/>
      <c r="L276" s="4"/>
      <c r="M276" s="4"/>
      <c r="N276" s="4"/>
      <c r="O276" s="4">
        <f>SUM(TABELA23[[#This Row],[T1]:[T7]])</f>
        <v>0</v>
      </c>
      <c r="P276" s="16">
        <f>TABELA23[[#This Row],[QTDE]]*TABELA23[[#This Row],[PREÇO]]</f>
        <v>0</v>
      </c>
    </row>
    <row r="277" spans="2:16" x14ac:dyDescent="0.2">
      <c r="B277" s="4" t="s">
        <v>1203</v>
      </c>
      <c r="C277" s="4" t="s">
        <v>1204</v>
      </c>
      <c r="D277" s="4" t="s">
        <v>32</v>
      </c>
      <c r="E277" s="4" t="s">
        <v>33</v>
      </c>
      <c r="F277" s="16">
        <v>238.26</v>
      </c>
      <c r="G277" s="4" t="s">
        <v>66</v>
      </c>
      <c r="H277" s="4"/>
      <c r="I277" s="4"/>
      <c r="J277" s="4"/>
      <c r="K277" s="4"/>
      <c r="L277" s="4"/>
      <c r="M277" s="4"/>
      <c r="N277" s="4"/>
      <c r="O277" s="4">
        <f>SUM(TABELA23[[#This Row],[T1]:[T7]])</f>
        <v>0</v>
      </c>
      <c r="P277" s="16">
        <f>TABELA23[[#This Row],[QTDE]]*TABELA23[[#This Row],[PREÇO]]</f>
        <v>0</v>
      </c>
    </row>
    <row r="278" spans="2:16" x14ac:dyDescent="0.2">
      <c r="B278" s="4" t="s">
        <v>1205</v>
      </c>
      <c r="C278" s="4" t="s">
        <v>1206</v>
      </c>
      <c r="D278" s="4" t="s">
        <v>32</v>
      </c>
      <c r="E278" s="4" t="s">
        <v>33</v>
      </c>
      <c r="F278" s="16">
        <v>186.09</v>
      </c>
      <c r="G278" s="4" t="s">
        <v>66</v>
      </c>
      <c r="H278" s="4"/>
      <c r="I278" s="4"/>
      <c r="J278" s="4"/>
      <c r="K278" s="4"/>
      <c r="L278" s="4"/>
      <c r="M278" s="4"/>
      <c r="N278" s="4"/>
      <c r="O278" s="4">
        <f>SUM(TABELA23[[#This Row],[T1]:[T7]])</f>
        <v>0</v>
      </c>
      <c r="P278" s="16">
        <f>TABELA23[[#This Row],[QTDE]]*TABELA23[[#This Row],[PREÇO]]</f>
        <v>0</v>
      </c>
    </row>
    <row r="279" spans="2:16" x14ac:dyDescent="0.2">
      <c r="B279" s="4" t="s">
        <v>1207</v>
      </c>
      <c r="C279" s="4" t="s">
        <v>1208</v>
      </c>
      <c r="D279" s="4" t="s">
        <v>32</v>
      </c>
      <c r="E279" s="4" t="s">
        <v>33</v>
      </c>
      <c r="F279" s="16">
        <v>216.52</v>
      </c>
      <c r="G279" s="4" t="s">
        <v>66</v>
      </c>
      <c r="H279" s="4"/>
      <c r="I279" s="4"/>
      <c r="J279" s="4"/>
      <c r="K279" s="4"/>
      <c r="L279" s="4"/>
      <c r="M279" s="4"/>
      <c r="N279" s="4"/>
      <c r="O279" s="4">
        <f>SUM(TABELA23[[#This Row],[T1]:[T7]])</f>
        <v>0</v>
      </c>
      <c r="P279" s="16">
        <f>TABELA23[[#This Row],[QTDE]]*TABELA23[[#This Row],[PREÇO]]</f>
        <v>0</v>
      </c>
    </row>
    <row r="280" spans="2:16" x14ac:dyDescent="0.2">
      <c r="B280" s="4" t="s">
        <v>1209</v>
      </c>
      <c r="C280" s="4" t="s">
        <v>1210</v>
      </c>
      <c r="D280" s="4" t="s">
        <v>723</v>
      </c>
      <c r="E280" s="4" t="s">
        <v>724</v>
      </c>
      <c r="F280" s="16">
        <v>216.52</v>
      </c>
      <c r="G280" s="4" t="s">
        <v>66</v>
      </c>
      <c r="H280" s="4"/>
      <c r="I280" s="4"/>
      <c r="J280" s="4"/>
      <c r="K280" s="4"/>
      <c r="L280" s="4"/>
      <c r="M280" s="4"/>
      <c r="N280" s="4"/>
      <c r="O280" s="4">
        <f>SUM(TABELA23[[#This Row],[T1]:[T7]])</f>
        <v>0</v>
      </c>
      <c r="P280" s="16">
        <f>TABELA23[[#This Row],[QTDE]]*TABELA23[[#This Row],[PREÇO]]</f>
        <v>0</v>
      </c>
    </row>
    <row r="281" spans="2:16" x14ac:dyDescent="0.2">
      <c r="B281" s="4" t="s">
        <v>1211</v>
      </c>
      <c r="C281" s="4" t="s">
        <v>1212</v>
      </c>
      <c r="D281" s="4" t="s">
        <v>32</v>
      </c>
      <c r="E281" s="4" t="s">
        <v>33</v>
      </c>
      <c r="F281" s="16">
        <v>229.57</v>
      </c>
      <c r="G281" s="4" t="s">
        <v>66</v>
      </c>
      <c r="H281" s="4"/>
      <c r="I281" s="4"/>
      <c r="J281" s="4"/>
      <c r="K281" s="4"/>
      <c r="L281" s="4"/>
      <c r="M281" s="4"/>
      <c r="N281" s="4"/>
      <c r="O281" s="4">
        <f>SUM(TABELA23[[#This Row],[T1]:[T7]])</f>
        <v>0</v>
      </c>
      <c r="P281" s="16">
        <f>TABELA23[[#This Row],[QTDE]]*TABELA23[[#This Row],[PREÇO]]</f>
        <v>0</v>
      </c>
    </row>
    <row r="282" spans="2:16" x14ac:dyDescent="0.2">
      <c r="B282" s="4" t="s">
        <v>1213</v>
      </c>
      <c r="C282" s="4" t="s">
        <v>1214</v>
      </c>
      <c r="D282" s="4" t="s">
        <v>32</v>
      </c>
      <c r="E282" s="4" t="s">
        <v>33</v>
      </c>
      <c r="F282" s="16">
        <v>238.26</v>
      </c>
      <c r="G282" s="4" t="s">
        <v>66</v>
      </c>
      <c r="H282" s="4"/>
      <c r="I282" s="4"/>
      <c r="J282" s="4"/>
      <c r="K282" s="4"/>
      <c r="L282" s="4"/>
      <c r="M282" s="4"/>
      <c r="N282" s="4"/>
      <c r="O282" s="4">
        <f>SUM(TABELA23[[#This Row],[T1]:[T7]])</f>
        <v>0</v>
      </c>
      <c r="P282" s="16">
        <f>TABELA23[[#This Row],[QTDE]]*TABELA23[[#This Row],[PREÇO]]</f>
        <v>0</v>
      </c>
    </row>
    <row r="283" spans="2:16" x14ac:dyDescent="0.2">
      <c r="B283" s="4" t="s">
        <v>1215</v>
      </c>
      <c r="C283" s="4" t="s">
        <v>1216</v>
      </c>
      <c r="D283" s="4" t="s">
        <v>775</v>
      </c>
      <c r="E283" s="4" t="s">
        <v>750</v>
      </c>
      <c r="F283" s="16">
        <v>325.22000000000003</v>
      </c>
      <c r="G283" s="4" t="s">
        <v>66</v>
      </c>
      <c r="H283" s="4"/>
      <c r="I283" s="4"/>
      <c r="J283" s="4"/>
      <c r="K283" s="4"/>
      <c r="L283" s="4"/>
      <c r="M283" s="4"/>
      <c r="N283" s="4"/>
      <c r="O283" s="4">
        <f>SUM(TABELA23[[#This Row],[T1]:[T7]])</f>
        <v>0</v>
      </c>
      <c r="P283" s="16">
        <f>TABELA23[[#This Row],[QTDE]]*TABELA23[[#This Row],[PREÇO]]</f>
        <v>0</v>
      </c>
    </row>
    <row r="284" spans="2:16" x14ac:dyDescent="0.2">
      <c r="B284" s="4" t="s">
        <v>1217</v>
      </c>
      <c r="C284" s="4" t="s">
        <v>1218</v>
      </c>
      <c r="D284" s="4" t="s">
        <v>36</v>
      </c>
      <c r="E284" s="4" t="s">
        <v>37</v>
      </c>
      <c r="F284" s="16">
        <v>173.04</v>
      </c>
      <c r="G284" s="4" t="s">
        <v>66</v>
      </c>
      <c r="H284" s="4"/>
      <c r="I284" s="4"/>
      <c r="J284" s="4"/>
      <c r="K284" s="4"/>
      <c r="L284" s="4"/>
      <c r="M284" s="4"/>
      <c r="N284" s="4"/>
      <c r="O284" s="4">
        <f>SUM(TABELA23[[#This Row],[T1]:[T7]])</f>
        <v>0</v>
      </c>
      <c r="P284" s="16">
        <f>TABELA23[[#This Row],[QTDE]]*TABELA23[[#This Row],[PREÇO]]</f>
        <v>0</v>
      </c>
    </row>
    <row r="285" spans="2:16" x14ac:dyDescent="0.2">
      <c r="B285" s="4" t="s">
        <v>1219</v>
      </c>
      <c r="C285" s="4" t="s">
        <v>1220</v>
      </c>
      <c r="D285" s="4" t="s">
        <v>1064</v>
      </c>
      <c r="E285" s="4" t="s">
        <v>42</v>
      </c>
      <c r="F285" s="16">
        <v>194.78</v>
      </c>
      <c r="G285" s="4" t="s">
        <v>66</v>
      </c>
      <c r="H285" s="4"/>
      <c r="I285" s="4"/>
      <c r="J285" s="4"/>
      <c r="K285" s="4"/>
      <c r="L285" s="4"/>
      <c r="M285" s="4"/>
      <c r="N285" s="4"/>
      <c r="O285" s="4">
        <f>SUM(TABELA23[[#This Row],[T1]:[T7]])</f>
        <v>0</v>
      </c>
      <c r="P285" s="16">
        <f>TABELA23[[#This Row],[QTDE]]*TABELA23[[#This Row],[PREÇO]]</f>
        <v>0</v>
      </c>
    </row>
    <row r="286" spans="2:16" x14ac:dyDescent="0.2">
      <c r="B286" s="4" t="s">
        <v>1221</v>
      </c>
      <c r="C286" s="4" t="s">
        <v>1222</v>
      </c>
      <c r="D286" s="4" t="s">
        <v>1064</v>
      </c>
      <c r="E286" s="4" t="s">
        <v>42</v>
      </c>
      <c r="F286" s="16">
        <v>164.35</v>
      </c>
      <c r="G286" s="4" t="s">
        <v>66</v>
      </c>
      <c r="H286" s="4"/>
      <c r="I286" s="4"/>
      <c r="J286" s="4"/>
      <c r="K286" s="4"/>
      <c r="L286" s="4"/>
      <c r="M286" s="4"/>
      <c r="N286" s="4"/>
      <c r="O286" s="4">
        <f>SUM(TABELA23[[#This Row],[T1]:[T7]])</f>
        <v>0</v>
      </c>
      <c r="P286" s="16">
        <f>TABELA23[[#This Row],[QTDE]]*TABELA23[[#This Row],[PREÇO]]</f>
        <v>0</v>
      </c>
    </row>
    <row r="287" spans="2:16" x14ac:dyDescent="0.2">
      <c r="B287" s="4" t="s">
        <v>1223</v>
      </c>
      <c r="C287" s="4" t="s">
        <v>1224</v>
      </c>
      <c r="D287" s="4" t="s">
        <v>1225</v>
      </c>
      <c r="E287" s="4" t="s">
        <v>1226</v>
      </c>
      <c r="F287" s="16">
        <v>155.65</v>
      </c>
      <c r="G287" s="4" t="s">
        <v>66</v>
      </c>
      <c r="H287" s="4"/>
      <c r="I287" s="4"/>
      <c r="J287" s="4"/>
      <c r="K287" s="4"/>
      <c r="L287" s="4"/>
      <c r="M287" s="4"/>
      <c r="N287" s="4"/>
      <c r="O287" s="4">
        <f>SUM(TABELA23[[#This Row],[T1]:[T7]])</f>
        <v>0</v>
      </c>
      <c r="P287" s="16">
        <f>TABELA23[[#This Row],[QTDE]]*TABELA23[[#This Row],[PREÇO]]</f>
        <v>0</v>
      </c>
    </row>
    <row r="288" spans="2:16" x14ac:dyDescent="0.2">
      <c r="B288" s="4" t="s">
        <v>1227</v>
      </c>
      <c r="C288" s="4" t="s">
        <v>1228</v>
      </c>
      <c r="D288" s="4" t="s">
        <v>1064</v>
      </c>
      <c r="E288" s="4" t="s">
        <v>42</v>
      </c>
      <c r="F288" s="16">
        <v>129.57</v>
      </c>
      <c r="G288" s="4" t="s">
        <v>66</v>
      </c>
      <c r="H288" s="4"/>
      <c r="I288" s="4"/>
      <c r="J288" s="4"/>
      <c r="K288" s="4"/>
      <c r="L288" s="4"/>
      <c r="M288" s="4"/>
      <c r="N288" s="4"/>
      <c r="O288" s="4">
        <f>SUM(TABELA23[[#This Row],[T1]:[T7]])</f>
        <v>0</v>
      </c>
      <c r="P288" s="16">
        <f>TABELA23[[#This Row],[QTDE]]*TABELA23[[#This Row],[PREÇO]]</f>
        <v>0</v>
      </c>
    </row>
    <row r="289" spans="2:16" x14ac:dyDescent="0.2">
      <c r="B289" s="4" t="s">
        <v>1229</v>
      </c>
      <c r="C289" s="4" t="s">
        <v>1230</v>
      </c>
      <c r="D289" s="4" t="s">
        <v>1064</v>
      </c>
      <c r="E289" s="4" t="s">
        <v>42</v>
      </c>
      <c r="F289" s="16">
        <v>146.96</v>
      </c>
      <c r="G289" s="4" t="s">
        <v>66</v>
      </c>
      <c r="H289" s="4"/>
      <c r="I289" s="4"/>
      <c r="J289" s="4"/>
      <c r="K289" s="4"/>
      <c r="L289" s="4"/>
      <c r="M289" s="4"/>
      <c r="N289" s="4"/>
      <c r="O289" s="4">
        <f>SUM(TABELA23[[#This Row],[T1]:[T7]])</f>
        <v>0</v>
      </c>
      <c r="P289" s="16">
        <f>TABELA23[[#This Row],[QTDE]]*TABELA23[[#This Row],[PREÇO]]</f>
        <v>0</v>
      </c>
    </row>
    <row r="290" spans="2:16" x14ac:dyDescent="0.2">
      <c r="B290" s="4" t="s">
        <v>1231</v>
      </c>
      <c r="C290" s="4" t="s">
        <v>1232</v>
      </c>
      <c r="D290" s="4" t="s">
        <v>1064</v>
      </c>
      <c r="E290" s="4" t="s">
        <v>42</v>
      </c>
      <c r="F290" s="16">
        <v>146.96</v>
      </c>
      <c r="G290" s="4" t="s">
        <v>66</v>
      </c>
      <c r="H290" s="4"/>
      <c r="I290" s="4"/>
      <c r="J290" s="4"/>
      <c r="K290" s="4"/>
      <c r="L290" s="4"/>
      <c r="M290" s="4"/>
      <c r="N290" s="4"/>
      <c r="O290" s="4">
        <f>SUM(TABELA23[[#This Row],[T1]:[T7]])</f>
        <v>0</v>
      </c>
      <c r="P290" s="16">
        <f>TABELA23[[#This Row],[QTDE]]*TABELA23[[#This Row],[PREÇO]]</f>
        <v>0</v>
      </c>
    </row>
    <row r="291" spans="2:16" x14ac:dyDescent="0.2">
      <c r="B291" s="4" t="s">
        <v>1233</v>
      </c>
      <c r="C291" s="4" t="s">
        <v>1234</v>
      </c>
      <c r="D291" s="4" t="s">
        <v>32</v>
      </c>
      <c r="E291" s="4" t="s">
        <v>33</v>
      </c>
      <c r="F291" s="16">
        <v>164.35</v>
      </c>
      <c r="G291" s="4" t="s">
        <v>66</v>
      </c>
      <c r="H291" s="4"/>
      <c r="I291" s="4"/>
      <c r="J291" s="4"/>
      <c r="K291" s="4"/>
      <c r="L291" s="4"/>
      <c r="M291" s="4"/>
      <c r="N291" s="4"/>
      <c r="O291" s="4">
        <f>SUM(TABELA23[[#This Row],[T1]:[T7]])</f>
        <v>0</v>
      </c>
      <c r="P291" s="16">
        <f>TABELA23[[#This Row],[QTDE]]*TABELA23[[#This Row],[PREÇO]]</f>
        <v>0</v>
      </c>
    </row>
    <row r="292" spans="2:16" x14ac:dyDescent="0.2">
      <c r="B292" s="4" t="s">
        <v>1235</v>
      </c>
      <c r="C292" s="4" t="s">
        <v>1178</v>
      </c>
      <c r="D292" s="4" t="s">
        <v>32</v>
      </c>
      <c r="E292" s="4" t="s">
        <v>33</v>
      </c>
      <c r="F292" s="16">
        <v>164.35</v>
      </c>
      <c r="G292" s="4" t="s">
        <v>66</v>
      </c>
      <c r="H292" s="4"/>
      <c r="I292" s="4"/>
      <c r="J292" s="4"/>
      <c r="K292" s="4"/>
      <c r="L292" s="4"/>
      <c r="M292" s="4"/>
      <c r="N292" s="4"/>
      <c r="O292" s="4">
        <f>SUM(TABELA23[[#This Row],[T1]:[T7]])</f>
        <v>0</v>
      </c>
      <c r="P292" s="16">
        <f>TABELA23[[#This Row],[QTDE]]*TABELA23[[#This Row],[PREÇO]]</f>
        <v>0</v>
      </c>
    </row>
    <row r="293" spans="2:16" x14ac:dyDescent="0.2">
      <c r="B293" s="4" t="s">
        <v>1236</v>
      </c>
      <c r="C293" s="4" t="s">
        <v>1237</v>
      </c>
      <c r="D293" s="4" t="s">
        <v>36</v>
      </c>
      <c r="E293" s="4" t="s">
        <v>37</v>
      </c>
      <c r="F293" s="16">
        <v>164.35</v>
      </c>
      <c r="G293" s="4" t="s">
        <v>66</v>
      </c>
      <c r="H293" s="4"/>
      <c r="I293" s="4"/>
      <c r="J293" s="4"/>
      <c r="K293" s="4"/>
      <c r="L293" s="4"/>
      <c r="M293" s="4"/>
      <c r="N293" s="4"/>
      <c r="O293" s="4">
        <f>SUM(TABELA23[[#This Row],[T1]:[T7]])</f>
        <v>0</v>
      </c>
      <c r="P293" s="16">
        <f>TABELA23[[#This Row],[QTDE]]*TABELA23[[#This Row],[PREÇO]]</f>
        <v>0</v>
      </c>
    </row>
    <row r="294" spans="2:16" x14ac:dyDescent="0.2">
      <c r="B294" s="4" t="s">
        <v>1238</v>
      </c>
      <c r="C294" s="4" t="s">
        <v>1239</v>
      </c>
      <c r="D294" s="4" t="s">
        <v>1064</v>
      </c>
      <c r="E294" s="4" t="s">
        <v>42</v>
      </c>
      <c r="F294" s="16">
        <v>173.04</v>
      </c>
      <c r="G294" s="4" t="s">
        <v>66</v>
      </c>
      <c r="H294" s="4"/>
      <c r="I294" s="4"/>
      <c r="J294" s="4"/>
      <c r="K294" s="4"/>
      <c r="L294" s="4"/>
      <c r="M294" s="4"/>
      <c r="N294" s="4"/>
      <c r="O294" s="4">
        <f>SUM(TABELA23[[#This Row],[T1]:[T7]])</f>
        <v>0</v>
      </c>
      <c r="P294" s="16">
        <f>TABELA23[[#This Row],[QTDE]]*TABELA23[[#This Row],[PREÇO]]</f>
        <v>0</v>
      </c>
    </row>
    <row r="295" spans="2:16" x14ac:dyDescent="0.2">
      <c r="B295" s="4" t="s">
        <v>1240</v>
      </c>
      <c r="C295" s="4" t="s">
        <v>1241</v>
      </c>
      <c r="D295" s="4" t="s">
        <v>46</v>
      </c>
      <c r="E295" s="4" t="s">
        <v>685</v>
      </c>
      <c r="F295" s="16">
        <v>146.96</v>
      </c>
      <c r="G295" s="4" t="s">
        <v>66</v>
      </c>
      <c r="H295" s="4"/>
      <c r="I295" s="4"/>
      <c r="J295" s="4"/>
      <c r="K295" s="4"/>
      <c r="L295" s="4"/>
      <c r="M295" s="4"/>
      <c r="N295" s="4"/>
      <c r="O295" s="4">
        <f>SUM(TABELA23[[#This Row],[T1]:[T7]])</f>
        <v>0</v>
      </c>
      <c r="P295" s="16">
        <f>TABELA23[[#This Row],[QTDE]]*TABELA23[[#This Row],[PREÇO]]</f>
        <v>0</v>
      </c>
    </row>
    <row r="296" spans="2:16" x14ac:dyDescent="0.2">
      <c r="B296" s="4" t="s">
        <v>1240</v>
      </c>
      <c r="C296" s="4" t="s">
        <v>1241</v>
      </c>
      <c r="D296" s="4" t="s">
        <v>260</v>
      </c>
      <c r="E296" s="4" t="s">
        <v>1242</v>
      </c>
      <c r="F296" s="16">
        <v>146.96</v>
      </c>
      <c r="G296" s="4" t="s">
        <v>66</v>
      </c>
      <c r="H296" s="4"/>
      <c r="I296" s="4"/>
      <c r="J296" s="4"/>
      <c r="K296" s="4"/>
      <c r="L296" s="4"/>
      <c r="M296" s="4"/>
      <c r="N296" s="4"/>
      <c r="O296" s="4">
        <f>SUM(TABELA23[[#This Row],[T1]:[T7]])</f>
        <v>0</v>
      </c>
      <c r="P296" s="16">
        <f>TABELA23[[#This Row],[QTDE]]*TABELA23[[#This Row],[PREÇO]]</f>
        <v>0</v>
      </c>
    </row>
    <row r="297" spans="2:16" x14ac:dyDescent="0.2">
      <c r="B297" s="4" t="s">
        <v>1243</v>
      </c>
      <c r="C297" s="4" t="s">
        <v>1244</v>
      </c>
      <c r="D297" s="4" t="s">
        <v>1245</v>
      </c>
      <c r="E297" s="4" t="s">
        <v>1246</v>
      </c>
      <c r="F297" s="16">
        <v>129.57</v>
      </c>
      <c r="G297" s="4" t="s">
        <v>66</v>
      </c>
      <c r="H297" s="4"/>
      <c r="I297" s="4"/>
      <c r="J297" s="4"/>
      <c r="K297" s="4"/>
      <c r="L297" s="4"/>
      <c r="M297" s="4"/>
      <c r="N297" s="4"/>
      <c r="O297" s="4">
        <f>SUM(TABELA23[[#This Row],[T1]:[T7]])</f>
        <v>0</v>
      </c>
      <c r="P297" s="16">
        <f>TABELA23[[#This Row],[QTDE]]*TABELA23[[#This Row],[PREÇO]]</f>
        <v>0</v>
      </c>
    </row>
    <row r="298" spans="2:16" x14ac:dyDescent="0.2">
      <c r="B298" s="4" t="s">
        <v>1243</v>
      </c>
      <c r="C298" s="4" t="s">
        <v>1244</v>
      </c>
      <c r="D298" s="4" t="s">
        <v>838</v>
      </c>
      <c r="E298" s="4" t="s">
        <v>839</v>
      </c>
      <c r="F298" s="16">
        <v>129.57</v>
      </c>
      <c r="G298" s="4" t="s">
        <v>66</v>
      </c>
      <c r="H298" s="4"/>
      <c r="I298" s="4"/>
      <c r="J298" s="4"/>
      <c r="K298" s="4"/>
      <c r="L298" s="4"/>
      <c r="M298" s="4"/>
      <c r="N298" s="4"/>
      <c r="O298" s="4">
        <f>SUM(TABELA23[[#This Row],[T1]:[T7]])</f>
        <v>0</v>
      </c>
      <c r="P298" s="16">
        <f>TABELA23[[#This Row],[QTDE]]*TABELA23[[#This Row],[PREÇO]]</f>
        <v>0</v>
      </c>
    </row>
    <row r="299" spans="2:16" x14ac:dyDescent="0.2">
      <c r="B299" s="4" t="s">
        <v>1247</v>
      </c>
      <c r="C299" s="4" t="s">
        <v>1248</v>
      </c>
      <c r="D299" s="4" t="s">
        <v>32</v>
      </c>
      <c r="E299" s="4" t="s">
        <v>33</v>
      </c>
      <c r="F299" s="16">
        <v>216.52</v>
      </c>
      <c r="G299" s="4" t="s">
        <v>66</v>
      </c>
      <c r="H299" s="4"/>
      <c r="I299" s="4"/>
      <c r="J299" s="4"/>
      <c r="K299" s="4"/>
      <c r="L299" s="4"/>
      <c r="M299" s="4"/>
      <c r="N299" s="4"/>
      <c r="O299" s="4">
        <f>SUM(TABELA23[[#This Row],[T1]:[T7]])</f>
        <v>0</v>
      </c>
      <c r="P299" s="16">
        <f>TABELA23[[#This Row],[QTDE]]*TABELA23[[#This Row],[PREÇO]]</f>
        <v>0</v>
      </c>
    </row>
    <row r="300" spans="2:16" x14ac:dyDescent="0.2">
      <c r="B300" s="4" t="s">
        <v>1249</v>
      </c>
      <c r="C300" s="4" t="s">
        <v>1250</v>
      </c>
      <c r="D300" s="4" t="s">
        <v>1064</v>
      </c>
      <c r="E300" s="4" t="s">
        <v>42</v>
      </c>
      <c r="F300" s="16">
        <v>186.09</v>
      </c>
      <c r="G300" s="4" t="s">
        <v>66</v>
      </c>
      <c r="H300" s="4"/>
      <c r="I300" s="4"/>
      <c r="J300" s="4"/>
      <c r="K300" s="4"/>
      <c r="L300" s="4"/>
      <c r="M300" s="4"/>
      <c r="N300" s="4"/>
      <c r="O300" s="4">
        <f>SUM(TABELA23[[#This Row],[T1]:[T7]])</f>
        <v>0</v>
      </c>
      <c r="P300" s="16">
        <f>TABELA23[[#This Row],[QTDE]]*TABELA23[[#This Row],[PREÇO]]</f>
        <v>0</v>
      </c>
    </row>
    <row r="301" spans="2:16" x14ac:dyDescent="0.2">
      <c r="B301" s="4" t="s">
        <v>1251</v>
      </c>
      <c r="C301" s="4" t="s">
        <v>1204</v>
      </c>
      <c r="D301" s="4" t="s">
        <v>32</v>
      </c>
      <c r="E301" s="4" t="s">
        <v>33</v>
      </c>
      <c r="F301" s="16">
        <v>229.57</v>
      </c>
      <c r="G301" s="4" t="s">
        <v>66</v>
      </c>
      <c r="H301" s="4"/>
      <c r="I301" s="4"/>
      <c r="J301" s="4"/>
      <c r="K301" s="4"/>
      <c r="L301" s="4"/>
      <c r="M301" s="4"/>
      <c r="N301" s="4"/>
      <c r="O301" s="4">
        <f>SUM(TABELA23[[#This Row],[T1]:[T7]])</f>
        <v>0</v>
      </c>
      <c r="P301" s="16">
        <f>TABELA23[[#This Row],[QTDE]]*TABELA23[[#This Row],[PREÇO]]</f>
        <v>0</v>
      </c>
    </row>
    <row r="302" spans="2:16" x14ac:dyDescent="0.2">
      <c r="B302" s="4" t="s">
        <v>1252</v>
      </c>
      <c r="C302" s="4" t="s">
        <v>1253</v>
      </c>
      <c r="D302" s="4" t="s">
        <v>729</v>
      </c>
      <c r="E302" s="4" t="s">
        <v>730</v>
      </c>
      <c r="F302" s="16">
        <v>281.74</v>
      </c>
      <c r="G302" s="4" t="s">
        <v>66</v>
      </c>
      <c r="H302" s="4"/>
      <c r="I302" s="4"/>
      <c r="J302" s="4"/>
      <c r="K302" s="4"/>
      <c r="L302" s="4"/>
      <c r="M302" s="4"/>
      <c r="N302" s="4"/>
      <c r="O302" s="4">
        <f>SUM(TABELA23[[#This Row],[T1]:[T7]])</f>
        <v>0</v>
      </c>
      <c r="P302" s="16">
        <f>TABELA23[[#This Row],[QTDE]]*TABELA23[[#This Row],[PREÇO]]</f>
        <v>0</v>
      </c>
    </row>
    <row r="303" spans="2:16" x14ac:dyDescent="0.2">
      <c r="B303" s="4" t="s">
        <v>1254</v>
      </c>
      <c r="C303" s="4" t="s">
        <v>1255</v>
      </c>
      <c r="D303" s="4" t="s">
        <v>32</v>
      </c>
      <c r="E303" s="4" t="s">
        <v>33</v>
      </c>
      <c r="F303" s="16">
        <v>194.78</v>
      </c>
      <c r="G303" s="4" t="s">
        <v>66</v>
      </c>
      <c r="H303" s="4"/>
      <c r="I303" s="4"/>
      <c r="J303" s="4"/>
      <c r="K303" s="4"/>
      <c r="L303" s="4"/>
      <c r="M303" s="4"/>
      <c r="N303" s="4"/>
      <c r="O303" s="4">
        <f>SUM(TABELA23[[#This Row],[T1]:[T7]])</f>
        <v>0</v>
      </c>
      <c r="P303" s="16">
        <f>TABELA23[[#This Row],[QTDE]]*TABELA23[[#This Row],[PREÇO]]</f>
        <v>0</v>
      </c>
    </row>
    <row r="304" spans="2:16" x14ac:dyDescent="0.2">
      <c r="B304" s="4" t="s">
        <v>1256</v>
      </c>
      <c r="C304" s="4" t="s">
        <v>1257</v>
      </c>
      <c r="D304" s="4" t="s">
        <v>32</v>
      </c>
      <c r="E304" s="4" t="s">
        <v>33</v>
      </c>
      <c r="F304" s="16">
        <v>325.22000000000003</v>
      </c>
      <c r="G304" s="4" t="s">
        <v>66</v>
      </c>
      <c r="H304" s="4"/>
      <c r="I304" s="4"/>
      <c r="J304" s="4"/>
      <c r="K304" s="4"/>
      <c r="L304" s="4"/>
      <c r="M304" s="4"/>
      <c r="N304" s="4"/>
      <c r="O304" s="4">
        <f>SUM(TABELA23[[#This Row],[T1]:[T7]])</f>
        <v>0</v>
      </c>
      <c r="P304" s="16">
        <f>TABELA23[[#This Row],[QTDE]]*TABELA23[[#This Row],[PREÇO]]</f>
        <v>0</v>
      </c>
    </row>
    <row r="305" spans="2:16" x14ac:dyDescent="0.2">
      <c r="B305" s="4" t="s">
        <v>1258</v>
      </c>
      <c r="C305" s="4" t="s">
        <v>1259</v>
      </c>
      <c r="D305" s="4" t="s">
        <v>1064</v>
      </c>
      <c r="E305" s="4" t="s">
        <v>42</v>
      </c>
      <c r="F305" s="16">
        <v>186.09</v>
      </c>
      <c r="G305" s="4" t="s">
        <v>66</v>
      </c>
      <c r="H305" s="4"/>
      <c r="I305" s="4"/>
      <c r="J305" s="4"/>
      <c r="K305" s="4"/>
      <c r="L305" s="4"/>
      <c r="M305" s="4"/>
      <c r="N305" s="4"/>
      <c r="O305" s="4">
        <f>SUM(TABELA23[[#This Row],[T1]:[T7]])</f>
        <v>0</v>
      </c>
      <c r="P305" s="16">
        <f>TABELA23[[#This Row],[QTDE]]*TABELA23[[#This Row],[PREÇO]]</f>
        <v>0</v>
      </c>
    </row>
    <row r="306" spans="2:16" x14ac:dyDescent="0.2">
      <c r="B306" s="4" t="s">
        <v>1260</v>
      </c>
      <c r="C306" s="4" t="s">
        <v>1261</v>
      </c>
      <c r="D306" s="4" t="s">
        <v>208</v>
      </c>
      <c r="E306" s="4" t="s">
        <v>835</v>
      </c>
      <c r="F306" s="16">
        <v>155.65</v>
      </c>
      <c r="G306" s="4" t="s">
        <v>66</v>
      </c>
      <c r="H306" s="4"/>
      <c r="I306" s="4"/>
      <c r="J306" s="4"/>
      <c r="K306" s="4"/>
      <c r="L306" s="4"/>
      <c r="M306" s="4"/>
      <c r="N306" s="4"/>
      <c r="O306" s="4">
        <f>SUM(TABELA23[[#This Row],[T1]:[T7]])</f>
        <v>0</v>
      </c>
      <c r="P306" s="16">
        <f>TABELA23[[#This Row],[QTDE]]*TABELA23[[#This Row],[PREÇO]]</f>
        <v>0</v>
      </c>
    </row>
    <row r="307" spans="2:16" x14ac:dyDescent="0.2">
      <c r="B307" s="4" t="s">
        <v>1262</v>
      </c>
      <c r="C307" s="4" t="s">
        <v>1263</v>
      </c>
      <c r="D307" s="4" t="s">
        <v>869</v>
      </c>
      <c r="E307" s="4" t="s">
        <v>870</v>
      </c>
      <c r="F307" s="16">
        <v>303.48</v>
      </c>
      <c r="G307" s="4" t="s">
        <v>66</v>
      </c>
      <c r="H307" s="4"/>
      <c r="I307" s="4"/>
      <c r="J307" s="4"/>
      <c r="K307" s="4"/>
      <c r="L307" s="4"/>
      <c r="M307" s="4"/>
      <c r="N307" s="4"/>
      <c r="O307" s="4">
        <f>SUM(TABELA23[[#This Row],[T1]:[T7]])</f>
        <v>0</v>
      </c>
      <c r="P307" s="16">
        <f>TABELA23[[#This Row],[QTDE]]*TABELA23[[#This Row],[PREÇO]]</f>
        <v>0</v>
      </c>
    </row>
    <row r="308" spans="2:16" x14ac:dyDescent="0.2">
      <c r="B308" s="4" t="s">
        <v>1262</v>
      </c>
      <c r="C308" s="4" t="s">
        <v>1263</v>
      </c>
      <c r="D308" s="4" t="s">
        <v>791</v>
      </c>
      <c r="E308" s="4" t="s">
        <v>713</v>
      </c>
      <c r="F308" s="16">
        <v>303.48</v>
      </c>
      <c r="G308" s="4" t="s">
        <v>66</v>
      </c>
      <c r="H308" s="4"/>
      <c r="I308" s="4"/>
      <c r="J308" s="4"/>
      <c r="K308" s="4"/>
      <c r="L308" s="4"/>
      <c r="M308" s="4"/>
      <c r="N308" s="4"/>
      <c r="O308" s="4">
        <f>SUM(TABELA23[[#This Row],[T1]:[T7]])</f>
        <v>0</v>
      </c>
      <c r="P308" s="16">
        <f>TABELA23[[#This Row],[QTDE]]*TABELA23[[#This Row],[PREÇO]]</f>
        <v>0</v>
      </c>
    </row>
    <row r="309" spans="2:16" x14ac:dyDescent="0.2">
      <c r="B309" s="4" t="s">
        <v>1264</v>
      </c>
      <c r="C309" s="4" t="s">
        <v>1265</v>
      </c>
      <c r="D309" s="4" t="s">
        <v>735</v>
      </c>
      <c r="E309" s="4" t="s">
        <v>736</v>
      </c>
      <c r="F309" s="16">
        <v>303.48</v>
      </c>
      <c r="G309" s="4" t="s">
        <v>66</v>
      </c>
      <c r="H309" s="4"/>
      <c r="I309" s="4"/>
      <c r="J309" s="4"/>
      <c r="K309" s="4"/>
      <c r="L309" s="4"/>
      <c r="M309" s="4"/>
      <c r="N309" s="4"/>
      <c r="O309" s="4">
        <f>SUM(TABELA23[[#This Row],[T1]:[T7]])</f>
        <v>0</v>
      </c>
      <c r="P309" s="16">
        <f>TABELA23[[#This Row],[QTDE]]*TABELA23[[#This Row],[PREÇO]]</f>
        <v>0</v>
      </c>
    </row>
    <row r="310" spans="2:16" x14ac:dyDescent="0.2">
      <c r="B310" s="4" t="s">
        <v>1266</v>
      </c>
      <c r="C310" s="4" t="s">
        <v>1267</v>
      </c>
      <c r="D310" s="4" t="s">
        <v>34</v>
      </c>
      <c r="E310" s="4" t="s">
        <v>35</v>
      </c>
      <c r="F310" s="16">
        <v>346.96</v>
      </c>
      <c r="G310" s="4" t="s">
        <v>66</v>
      </c>
      <c r="H310" s="4"/>
      <c r="I310" s="4"/>
      <c r="J310" s="4"/>
      <c r="K310" s="4"/>
      <c r="L310" s="4"/>
      <c r="M310" s="4"/>
      <c r="N310" s="4"/>
      <c r="O310" s="4">
        <f>SUM(TABELA23[[#This Row],[T1]:[T7]])</f>
        <v>0</v>
      </c>
      <c r="P310" s="16">
        <f>TABELA23[[#This Row],[QTDE]]*TABELA23[[#This Row],[PREÇO]]</f>
        <v>0</v>
      </c>
    </row>
    <row r="311" spans="2:16" x14ac:dyDescent="0.2">
      <c r="B311" s="4" t="s">
        <v>1268</v>
      </c>
      <c r="C311" s="4" t="s">
        <v>1269</v>
      </c>
      <c r="D311" s="4" t="s">
        <v>32</v>
      </c>
      <c r="E311" s="4" t="s">
        <v>739</v>
      </c>
      <c r="F311" s="16">
        <v>260</v>
      </c>
      <c r="G311" s="4" t="s">
        <v>66</v>
      </c>
      <c r="H311" s="4"/>
      <c r="I311" s="4"/>
      <c r="J311" s="4"/>
      <c r="K311" s="4"/>
      <c r="L311" s="4"/>
      <c r="M311" s="4"/>
      <c r="N311" s="4"/>
      <c r="O311" s="4">
        <f>SUM(TABELA23[[#This Row],[T1]:[T7]])</f>
        <v>0</v>
      </c>
      <c r="P311" s="16">
        <f>TABELA23[[#This Row],[QTDE]]*TABELA23[[#This Row],[PREÇO]]</f>
        <v>0</v>
      </c>
    </row>
    <row r="312" spans="2:16" x14ac:dyDescent="0.2">
      <c r="B312" s="4" t="s">
        <v>1270</v>
      </c>
      <c r="C312" s="4" t="s">
        <v>1271</v>
      </c>
      <c r="D312" s="4" t="s">
        <v>729</v>
      </c>
      <c r="E312" s="4" t="s">
        <v>1069</v>
      </c>
      <c r="F312" s="16">
        <v>194.78</v>
      </c>
      <c r="G312" s="4" t="s">
        <v>66</v>
      </c>
      <c r="H312" s="4"/>
      <c r="I312" s="4"/>
      <c r="J312" s="4"/>
      <c r="K312" s="4"/>
      <c r="L312" s="4"/>
      <c r="M312" s="4"/>
      <c r="N312" s="4"/>
      <c r="O312" s="4">
        <f>SUM(TABELA23[[#This Row],[T1]:[T7]])</f>
        <v>0</v>
      </c>
      <c r="P312" s="16">
        <f>TABELA23[[#This Row],[QTDE]]*TABELA23[[#This Row],[PREÇO]]</f>
        <v>0</v>
      </c>
    </row>
    <row r="313" spans="2:16" x14ac:dyDescent="0.2">
      <c r="B313" s="4" t="s">
        <v>1272</v>
      </c>
      <c r="C313" s="4" t="s">
        <v>1273</v>
      </c>
      <c r="D313" s="4" t="s">
        <v>32</v>
      </c>
      <c r="E313" s="4" t="s">
        <v>33</v>
      </c>
      <c r="F313" s="16">
        <v>216.52</v>
      </c>
      <c r="G313" s="4" t="s">
        <v>66</v>
      </c>
      <c r="H313" s="4"/>
      <c r="I313" s="4"/>
      <c r="J313" s="4"/>
      <c r="K313" s="4"/>
      <c r="L313" s="4"/>
      <c r="M313" s="4"/>
      <c r="N313" s="4"/>
      <c r="O313" s="4">
        <f>SUM(TABELA23[[#This Row],[T1]:[T7]])</f>
        <v>0</v>
      </c>
      <c r="P313" s="16">
        <f>TABELA23[[#This Row],[QTDE]]*TABELA23[[#This Row],[PREÇO]]</f>
        <v>0</v>
      </c>
    </row>
    <row r="314" spans="2:16" x14ac:dyDescent="0.2">
      <c r="B314" s="4" t="s">
        <v>1274</v>
      </c>
      <c r="C314" s="4" t="s">
        <v>1275</v>
      </c>
      <c r="D314" s="4" t="s">
        <v>665</v>
      </c>
      <c r="E314" s="4" t="s">
        <v>782</v>
      </c>
      <c r="F314" s="16">
        <v>216.52</v>
      </c>
      <c r="G314" s="4" t="s">
        <v>66</v>
      </c>
      <c r="H314" s="4"/>
      <c r="I314" s="4"/>
      <c r="J314" s="4"/>
      <c r="K314" s="4"/>
      <c r="L314" s="4"/>
      <c r="M314" s="4"/>
      <c r="N314" s="4"/>
      <c r="O314" s="4">
        <f>SUM(TABELA23[[#This Row],[T1]:[T7]])</f>
        <v>0</v>
      </c>
      <c r="P314" s="16">
        <f>TABELA23[[#This Row],[QTDE]]*TABELA23[[#This Row],[PREÇO]]</f>
        <v>0</v>
      </c>
    </row>
    <row r="315" spans="2:16" x14ac:dyDescent="0.2">
      <c r="B315" s="4" t="s">
        <v>1274</v>
      </c>
      <c r="C315" s="4" t="s">
        <v>1275</v>
      </c>
      <c r="D315" s="4" t="s">
        <v>791</v>
      </c>
      <c r="E315" s="4" t="s">
        <v>713</v>
      </c>
      <c r="F315" s="16">
        <v>216.52</v>
      </c>
      <c r="G315" s="4" t="s">
        <v>66</v>
      </c>
      <c r="H315" s="4"/>
      <c r="I315" s="4"/>
      <c r="J315" s="4"/>
      <c r="K315" s="4"/>
      <c r="L315" s="4"/>
      <c r="M315" s="4"/>
      <c r="N315" s="4"/>
      <c r="O315" s="4">
        <f>SUM(TABELA23[[#This Row],[T1]:[T7]])</f>
        <v>0</v>
      </c>
      <c r="P315" s="16">
        <f>TABELA23[[#This Row],[QTDE]]*TABELA23[[#This Row],[PREÇO]]</f>
        <v>0</v>
      </c>
    </row>
    <row r="316" spans="2:16" x14ac:dyDescent="0.2">
      <c r="B316" s="4" t="s">
        <v>1276</v>
      </c>
      <c r="C316" s="4" t="s">
        <v>1172</v>
      </c>
      <c r="D316" s="4" t="s">
        <v>32</v>
      </c>
      <c r="E316" s="4" t="s">
        <v>33</v>
      </c>
      <c r="F316" s="16">
        <v>146.96</v>
      </c>
      <c r="G316" s="4" t="s">
        <v>66</v>
      </c>
      <c r="H316" s="4"/>
      <c r="I316" s="4"/>
      <c r="J316" s="4"/>
      <c r="K316" s="4"/>
      <c r="L316" s="4"/>
      <c r="M316" s="4"/>
      <c r="N316" s="4"/>
      <c r="O316" s="4">
        <f>SUM(TABELA23[[#This Row],[T1]:[T7]])</f>
        <v>0</v>
      </c>
      <c r="P316" s="16">
        <f>TABELA23[[#This Row],[QTDE]]*TABELA23[[#This Row],[PREÇO]]</f>
        <v>0</v>
      </c>
    </row>
    <row r="317" spans="2:16" x14ac:dyDescent="0.2">
      <c r="B317" s="4" t="s">
        <v>1277</v>
      </c>
      <c r="C317" s="4" t="s">
        <v>1278</v>
      </c>
      <c r="D317" s="4" t="s">
        <v>32</v>
      </c>
      <c r="E317" s="4" t="s">
        <v>33</v>
      </c>
      <c r="F317" s="16">
        <v>207.83</v>
      </c>
      <c r="G317" s="4" t="s">
        <v>66</v>
      </c>
      <c r="H317" s="4"/>
      <c r="I317" s="4"/>
      <c r="J317" s="4"/>
      <c r="K317" s="4"/>
      <c r="L317" s="4"/>
      <c r="M317" s="4"/>
      <c r="N317" s="4"/>
      <c r="O317" s="4">
        <f>SUM(TABELA23[[#This Row],[T1]:[T7]])</f>
        <v>0</v>
      </c>
      <c r="P317" s="16">
        <f>TABELA23[[#This Row],[QTDE]]*TABELA23[[#This Row],[PREÇO]]</f>
        <v>0</v>
      </c>
    </row>
    <row r="318" spans="2:16" x14ac:dyDescent="0.2">
      <c r="B318" s="4" t="s">
        <v>1279</v>
      </c>
      <c r="C318" s="4" t="s">
        <v>1280</v>
      </c>
      <c r="D318" s="4" t="s">
        <v>32</v>
      </c>
      <c r="E318" s="4" t="s">
        <v>33</v>
      </c>
      <c r="F318" s="16">
        <v>186.09</v>
      </c>
      <c r="G318" s="4" t="s">
        <v>66</v>
      </c>
      <c r="H318" s="4"/>
      <c r="I318" s="4"/>
      <c r="J318" s="4"/>
      <c r="K318" s="4"/>
      <c r="L318" s="4"/>
      <c r="M318" s="4"/>
      <c r="N318" s="4"/>
      <c r="O318" s="4">
        <f>SUM(TABELA23[[#This Row],[T1]:[T7]])</f>
        <v>0</v>
      </c>
      <c r="P318" s="16">
        <f>TABELA23[[#This Row],[QTDE]]*TABELA23[[#This Row],[PREÇO]]</f>
        <v>0</v>
      </c>
    </row>
    <row r="319" spans="2:16" x14ac:dyDescent="0.2">
      <c r="B319" s="4" t="s">
        <v>1281</v>
      </c>
      <c r="C319" s="4" t="s">
        <v>1172</v>
      </c>
      <c r="D319" s="4" t="s">
        <v>32</v>
      </c>
      <c r="E319" s="4" t="s">
        <v>33</v>
      </c>
      <c r="F319" s="16">
        <v>129.57</v>
      </c>
      <c r="G319" s="4" t="s">
        <v>66</v>
      </c>
      <c r="H319" s="4"/>
      <c r="I319" s="4"/>
      <c r="J319" s="4"/>
      <c r="K319" s="4"/>
      <c r="L319" s="4"/>
      <c r="M319" s="4"/>
      <c r="N319" s="4"/>
      <c r="O319" s="4">
        <f>SUM(TABELA23[[#This Row],[T1]:[T7]])</f>
        <v>0</v>
      </c>
      <c r="P319" s="16">
        <f>TABELA23[[#This Row],[QTDE]]*TABELA23[[#This Row],[PREÇO]]</f>
        <v>0</v>
      </c>
    </row>
    <row r="320" spans="2:16" x14ac:dyDescent="0.2">
      <c r="B320" s="4" t="s">
        <v>1282</v>
      </c>
      <c r="C320" s="4" t="s">
        <v>1283</v>
      </c>
      <c r="D320" s="4" t="s">
        <v>723</v>
      </c>
      <c r="E320" s="4" t="s">
        <v>724</v>
      </c>
      <c r="F320" s="16">
        <v>238.26</v>
      </c>
      <c r="G320" s="4" t="s">
        <v>66</v>
      </c>
      <c r="H320" s="4"/>
      <c r="I320" s="4"/>
      <c r="J320" s="4"/>
      <c r="K320" s="4"/>
      <c r="L320" s="4"/>
      <c r="M320" s="4"/>
      <c r="N320" s="4"/>
      <c r="O320" s="4">
        <f>SUM(TABELA23[[#This Row],[T1]:[T7]])</f>
        <v>0</v>
      </c>
      <c r="P320" s="16">
        <f>TABELA23[[#This Row],[QTDE]]*TABELA23[[#This Row],[PREÇO]]</f>
        <v>0</v>
      </c>
    </row>
    <row r="321" spans="2:16" x14ac:dyDescent="0.2">
      <c r="B321" s="4" t="s">
        <v>1284</v>
      </c>
      <c r="C321" s="4" t="s">
        <v>1285</v>
      </c>
      <c r="D321" s="4" t="s">
        <v>32</v>
      </c>
      <c r="E321" s="4" t="s">
        <v>33</v>
      </c>
      <c r="F321" s="16">
        <v>194.78</v>
      </c>
      <c r="G321" s="4" t="s">
        <v>66</v>
      </c>
      <c r="H321" s="4"/>
      <c r="I321" s="4"/>
      <c r="J321" s="4"/>
      <c r="K321" s="4"/>
      <c r="L321" s="4"/>
      <c r="M321" s="4"/>
      <c r="N321" s="4"/>
      <c r="O321" s="4">
        <f>SUM(TABELA23[[#This Row],[T1]:[T7]])</f>
        <v>0</v>
      </c>
      <c r="P321" s="16">
        <f>TABELA23[[#This Row],[QTDE]]*TABELA23[[#This Row],[PREÇO]]</f>
        <v>0</v>
      </c>
    </row>
    <row r="322" spans="2:16" x14ac:dyDescent="0.2">
      <c r="B322" s="4" t="s">
        <v>1286</v>
      </c>
      <c r="C322" s="4" t="s">
        <v>1287</v>
      </c>
      <c r="D322" s="4" t="s">
        <v>32</v>
      </c>
      <c r="E322" s="4" t="s">
        <v>33</v>
      </c>
      <c r="F322" s="16">
        <v>186.09</v>
      </c>
      <c r="G322" s="4" t="s">
        <v>66</v>
      </c>
      <c r="H322" s="4"/>
      <c r="I322" s="4"/>
      <c r="J322" s="4"/>
      <c r="K322" s="4"/>
      <c r="L322" s="4"/>
      <c r="M322" s="4"/>
      <c r="N322" s="4"/>
      <c r="O322" s="4">
        <f>SUM(TABELA23[[#This Row],[T1]:[T7]])</f>
        <v>0</v>
      </c>
      <c r="P322" s="16">
        <f>TABELA23[[#This Row],[QTDE]]*TABELA23[[#This Row],[PREÇO]]</f>
        <v>0</v>
      </c>
    </row>
    <row r="323" spans="2:16" x14ac:dyDescent="0.2">
      <c r="B323" s="4" t="s">
        <v>1288</v>
      </c>
      <c r="C323" s="4" t="s">
        <v>1289</v>
      </c>
      <c r="D323" s="4" t="s">
        <v>36</v>
      </c>
      <c r="E323" s="4" t="s">
        <v>33</v>
      </c>
      <c r="F323" s="16">
        <v>346.96</v>
      </c>
      <c r="G323" s="4" t="s">
        <v>66</v>
      </c>
      <c r="H323" s="4"/>
      <c r="I323" s="4"/>
      <c r="J323" s="4"/>
      <c r="K323" s="4"/>
      <c r="L323" s="4"/>
      <c r="M323" s="4"/>
      <c r="N323" s="4"/>
      <c r="O323" s="4">
        <f>SUM(TABELA23[[#This Row],[T1]:[T7]])</f>
        <v>0</v>
      </c>
      <c r="P323" s="16">
        <f>TABELA23[[#This Row],[QTDE]]*TABELA23[[#This Row],[PREÇO]]</f>
        <v>0</v>
      </c>
    </row>
    <row r="324" spans="2:16" x14ac:dyDescent="0.2">
      <c r="B324" s="4" t="s">
        <v>1290</v>
      </c>
      <c r="C324" s="4" t="s">
        <v>1291</v>
      </c>
      <c r="D324" s="4" t="s">
        <v>36</v>
      </c>
      <c r="E324" s="4" t="s">
        <v>37</v>
      </c>
      <c r="F324" s="16">
        <v>281.74</v>
      </c>
      <c r="G324" s="4" t="s">
        <v>66</v>
      </c>
      <c r="H324" s="4"/>
      <c r="I324" s="4"/>
      <c r="J324" s="4"/>
      <c r="K324" s="4"/>
      <c r="L324" s="4"/>
      <c r="M324" s="4"/>
      <c r="N324" s="4"/>
      <c r="O324" s="4">
        <f>SUM(TABELA23[[#This Row],[T1]:[T7]])</f>
        <v>0</v>
      </c>
      <c r="P324" s="16">
        <f>TABELA23[[#This Row],[QTDE]]*TABELA23[[#This Row],[PREÇO]]</f>
        <v>0</v>
      </c>
    </row>
    <row r="325" spans="2:16" x14ac:dyDescent="0.2">
      <c r="B325" s="4" t="s">
        <v>1292</v>
      </c>
      <c r="C325" s="4" t="s">
        <v>1293</v>
      </c>
      <c r="D325" s="4" t="s">
        <v>723</v>
      </c>
      <c r="E325" s="4" t="s">
        <v>746</v>
      </c>
      <c r="F325" s="16">
        <v>303.48</v>
      </c>
      <c r="G325" s="4" t="s">
        <v>66</v>
      </c>
      <c r="H325" s="4"/>
      <c r="I325" s="4"/>
      <c r="J325" s="4"/>
      <c r="K325" s="4"/>
      <c r="L325" s="4"/>
      <c r="M325" s="4"/>
      <c r="N325" s="4"/>
      <c r="O325" s="4">
        <f>SUM(TABELA23[[#This Row],[T1]:[T7]])</f>
        <v>0</v>
      </c>
      <c r="P325" s="16">
        <f>TABELA23[[#This Row],[QTDE]]*TABELA23[[#This Row],[PREÇO]]</f>
        <v>0</v>
      </c>
    </row>
    <row r="326" spans="2:16" x14ac:dyDescent="0.2">
      <c r="B326" s="4" t="s">
        <v>1294</v>
      </c>
      <c r="C326" s="4" t="s">
        <v>1295</v>
      </c>
      <c r="D326" s="4" t="s">
        <v>32</v>
      </c>
      <c r="E326" s="4" t="s">
        <v>33</v>
      </c>
      <c r="F326" s="16">
        <v>194.78</v>
      </c>
      <c r="G326" s="4" t="s">
        <v>66</v>
      </c>
      <c r="H326" s="4"/>
      <c r="I326" s="4"/>
      <c r="J326" s="4"/>
      <c r="K326" s="4"/>
      <c r="L326" s="4"/>
      <c r="M326" s="4"/>
      <c r="N326" s="4"/>
      <c r="O326" s="4">
        <f>SUM(TABELA23[[#This Row],[T1]:[T7]])</f>
        <v>0</v>
      </c>
      <c r="P326" s="16">
        <f>TABELA23[[#This Row],[QTDE]]*TABELA23[[#This Row],[PREÇO]]</f>
        <v>0</v>
      </c>
    </row>
    <row r="327" spans="2:16" x14ac:dyDescent="0.2">
      <c r="B327" s="4" t="s">
        <v>1296</v>
      </c>
      <c r="C327" s="4" t="s">
        <v>1297</v>
      </c>
      <c r="D327" s="4" t="s">
        <v>707</v>
      </c>
      <c r="E327" s="4" t="s">
        <v>808</v>
      </c>
      <c r="F327" s="16">
        <v>260</v>
      </c>
      <c r="G327" s="4" t="s">
        <v>66</v>
      </c>
      <c r="H327" s="4"/>
      <c r="I327" s="4"/>
      <c r="J327" s="4"/>
      <c r="K327" s="4"/>
      <c r="L327" s="4"/>
      <c r="M327" s="4"/>
      <c r="N327" s="4"/>
      <c r="O327" s="4">
        <f>SUM(TABELA23[[#This Row],[T1]:[T7]])</f>
        <v>0</v>
      </c>
      <c r="P327" s="16">
        <f>TABELA23[[#This Row],[QTDE]]*TABELA23[[#This Row],[PREÇO]]</f>
        <v>0</v>
      </c>
    </row>
    <row r="328" spans="2:16" x14ac:dyDescent="0.2">
      <c r="B328" s="4" t="s">
        <v>1296</v>
      </c>
      <c r="C328" s="4" t="s">
        <v>1297</v>
      </c>
      <c r="D328" s="4" t="s">
        <v>709</v>
      </c>
      <c r="E328" s="4" t="s">
        <v>710</v>
      </c>
      <c r="F328" s="16">
        <v>260</v>
      </c>
      <c r="G328" s="4" t="s">
        <v>66</v>
      </c>
      <c r="H328" s="4"/>
      <c r="I328" s="4"/>
      <c r="J328" s="4"/>
      <c r="K328" s="4"/>
      <c r="L328" s="4"/>
      <c r="M328" s="4"/>
      <c r="N328" s="4"/>
      <c r="O328" s="4">
        <f>SUM(TABELA23[[#This Row],[T1]:[T7]])</f>
        <v>0</v>
      </c>
      <c r="P328" s="16">
        <f>TABELA23[[#This Row],[QTDE]]*TABELA23[[#This Row],[PREÇO]]</f>
        <v>0</v>
      </c>
    </row>
    <row r="329" spans="2:16" x14ac:dyDescent="0.2">
      <c r="B329" s="4" t="s">
        <v>1298</v>
      </c>
      <c r="C329" s="4" t="s">
        <v>1299</v>
      </c>
      <c r="D329" s="4" t="s">
        <v>775</v>
      </c>
      <c r="E329" s="4" t="s">
        <v>750</v>
      </c>
      <c r="F329" s="16">
        <v>194.78</v>
      </c>
      <c r="G329" s="4" t="s">
        <v>66</v>
      </c>
      <c r="H329" s="4"/>
      <c r="I329" s="4"/>
      <c r="J329" s="4"/>
      <c r="K329" s="4"/>
      <c r="L329" s="4"/>
      <c r="M329" s="4"/>
      <c r="N329" s="4"/>
      <c r="O329" s="4">
        <f>SUM(TABELA23[[#This Row],[T1]:[T7]])</f>
        <v>0</v>
      </c>
      <c r="P329" s="16">
        <f>TABELA23[[#This Row],[QTDE]]*TABELA23[[#This Row],[PREÇO]]</f>
        <v>0</v>
      </c>
    </row>
    <row r="330" spans="2:16" x14ac:dyDescent="0.2">
      <c r="B330" s="4" t="s">
        <v>1300</v>
      </c>
      <c r="C330" s="4" t="s">
        <v>1301</v>
      </c>
      <c r="D330" s="4" t="s">
        <v>869</v>
      </c>
      <c r="E330" s="4" t="s">
        <v>870</v>
      </c>
      <c r="F330" s="16">
        <v>186.09</v>
      </c>
      <c r="G330" s="4" t="s">
        <v>66</v>
      </c>
      <c r="H330" s="4"/>
      <c r="I330" s="4"/>
      <c r="J330" s="4"/>
      <c r="K330" s="4"/>
      <c r="L330" s="4"/>
      <c r="M330" s="4"/>
      <c r="N330" s="4"/>
      <c r="O330" s="4">
        <f>SUM(TABELA23[[#This Row],[T1]:[T7]])</f>
        <v>0</v>
      </c>
      <c r="P330" s="16">
        <f>TABELA23[[#This Row],[QTDE]]*TABELA23[[#This Row],[PREÇO]]</f>
        <v>0</v>
      </c>
    </row>
    <row r="331" spans="2:16" x14ac:dyDescent="0.2">
      <c r="B331" s="4" t="s">
        <v>1302</v>
      </c>
      <c r="C331" s="4" t="s">
        <v>92</v>
      </c>
      <c r="D331" s="4" t="s">
        <v>771</v>
      </c>
      <c r="E331" s="4" t="s">
        <v>772</v>
      </c>
      <c r="F331" s="16">
        <v>164.35</v>
      </c>
      <c r="G331" s="4" t="s">
        <v>66</v>
      </c>
      <c r="H331" s="4"/>
      <c r="I331" s="4"/>
      <c r="J331" s="4"/>
      <c r="K331" s="4"/>
      <c r="L331" s="4"/>
      <c r="M331" s="4"/>
      <c r="N331" s="4"/>
      <c r="O331" s="4">
        <f>SUM(TABELA23[[#This Row],[T1]:[T7]])</f>
        <v>0</v>
      </c>
      <c r="P331" s="16">
        <f>TABELA23[[#This Row],[QTDE]]*TABELA23[[#This Row],[PREÇO]]</f>
        <v>0</v>
      </c>
    </row>
    <row r="332" spans="2:16" x14ac:dyDescent="0.2">
      <c r="B332" s="4" t="s">
        <v>1303</v>
      </c>
      <c r="C332" s="4" t="s">
        <v>1304</v>
      </c>
      <c r="D332" s="4" t="s">
        <v>709</v>
      </c>
      <c r="E332" s="4" t="s">
        <v>710</v>
      </c>
      <c r="F332" s="16">
        <v>260</v>
      </c>
      <c r="G332" s="4" t="s">
        <v>66</v>
      </c>
      <c r="H332" s="4"/>
      <c r="I332" s="4"/>
      <c r="J332" s="4"/>
      <c r="K332" s="4"/>
      <c r="L332" s="4"/>
      <c r="M332" s="4"/>
      <c r="N332" s="4"/>
      <c r="O332" s="4">
        <f>SUM(TABELA23[[#This Row],[T1]:[T7]])</f>
        <v>0</v>
      </c>
      <c r="P332" s="16">
        <f>TABELA23[[#This Row],[QTDE]]*TABELA23[[#This Row],[PREÇO]]</f>
        <v>0</v>
      </c>
    </row>
    <row r="333" spans="2:16" x14ac:dyDescent="0.2">
      <c r="B333" s="4" t="s">
        <v>1305</v>
      </c>
      <c r="C333" s="4" t="s">
        <v>1306</v>
      </c>
      <c r="D333" s="4" t="s">
        <v>208</v>
      </c>
      <c r="E333" s="4" t="s">
        <v>835</v>
      </c>
      <c r="F333" s="16">
        <v>194.78</v>
      </c>
      <c r="G333" s="4" t="s">
        <v>66</v>
      </c>
      <c r="H333" s="4"/>
      <c r="I333" s="4"/>
      <c r="J333" s="4"/>
      <c r="K333" s="4"/>
      <c r="L333" s="4"/>
      <c r="M333" s="4"/>
      <c r="N333" s="4"/>
      <c r="O333" s="4">
        <f>SUM(TABELA23[[#This Row],[T1]:[T7]])</f>
        <v>0</v>
      </c>
      <c r="P333" s="16">
        <f>TABELA23[[#This Row],[QTDE]]*TABELA23[[#This Row],[PREÇO]]</f>
        <v>0</v>
      </c>
    </row>
    <row r="334" spans="2:16" x14ac:dyDescent="0.2">
      <c r="B334" s="4" t="s">
        <v>1305</v>
      </c>
      <c r="C334" s="4" t="s">
        <v>1306</v>
      </c>
      <c r="D334" s="4" t="s">
        <v>709</v>
      </c>
      <c r="E334" s="4" t="s">
        <v>710</v>
      </c>
      <c r="F334" s="16">
        <v>194.78</v>
      </c>
      <c r="G334" s="4" t="s">
        <v>66</v>
      </c>
      <c r="H334" s="4"/>
      <c r="I334" s="4"/>
      <c r="J334" s="4"/>
      <c r="K334" s="4"/>
      <c r="L334" s="4"/>
      <c r="M334" s="4"/>
      <c r="N334" s="4"/>
      <c r="O334" s="4">
        <f>SUM(TABELA23[[#This Row],[T1]:[T7]])</f>
        <v>0</v>
      </c>
      <c r="P334" s="16">
        <f>TABELA23[[#This Row],[QTDE]]*TABELA23[[#This Row],[PREÇO]]</f>
        <v>0</v>
      </c>
    </row>
    <row r="335" spans="2:16" x14ac:dyDescent="0.2">
      <c r="B335" s="4" t="s">
        <v>1307</v>
      </c>
      <c r="C335" s="4" t="s">
        <v>1308</v>
      </c>
      <c r="D335" s="4" t="s">
        <v>32</v>
      </c>
      <c r="E335" s="4" t="s">
        <v>33</v>
      </c>
      <c r="F335" s="16">
        <v>164.35</v>
      </c>
      <c r="G335" s="4" t="s">
        <v>66</v>
      </c>
      <c r="H335" s="4"/>
      <c r="I335" s="4"/>
      <c r="J335" s="4"/>
      <c r="K335" s="4"/>
      <c r="L335" s="4"/>
      <c r="M335" s="4"/>
      <c r="N335" s="4"/>
      <c r="O335" s="4">
        <f>SUM(TABELA23[[#This Row],[T1]:[T7]])</f>
        <v>0</v>
      </c>
      <c r="P335" s="16">
        <f>TABELA23[[#This Row],[QTDE]]*TABELA23[[#This Row],[PREÇO]]</f>
        <v>0</v>
      </c>
    </row>
    <row r="336" spans="2:16" x14ac:dyDescent="0.2">
      <c r="B336" s="4" t="s">
        <v>1309</v>
      </c>
      <c r="C336" s="4" t="s">
        <v>1310</v>
      </c>
      <c r="D336" s="4" t="s">
        <v>38</v>
      </c>
      <c r="E336" s="4" t="s">
        <v>688</v>
      </c>
      <c r="F336" s="16">
        <v>216.52</v>
      </c>
      <c r="G336" s="4" t="s">
        <v>44</v>
      </c>
      <c r="H336" s="4"/>
      <c r="I336" s="4"/>
      <c r="J336" s="4"/>
      <c r="K336" s="4"/>
      <c r="L336" s="4"/>
      <c r="M336" s="4"/>
      <c r="N336" s="4"/>
      <c r="O336" s="4">
        <f>SUM(TABELA23[[#This Row],[T1]:[T7]])</f>
        <v>0</v>
      </c>
      <c r="P336" s="16">
        <f>TABELA23[[#This Row],[QTDE]]*TABELA23[[#This Row],[PREÇO]]</f>
        <v>0</v>
      </c>
    </row>
    <row r="337" spans="2:16" x14ac:dyDescent="0.2">
      <c r="B337" s="4" t="s">
        <v>1309</v>
      </c>
      <c r="C337" s="4" t="s">
        <v>1310</v>
      </c>
      <c r="D337" s="4" t="s">
        <v>79</v>
      </c>
      <c r="E337" s="4" t="s">
        <v>680</v>
      </c>
      <c r="F337" s="16">
        <v>216.52</v>
      </c>
      <c r="G337" s="4" t="s">
        <v>44</v>
      </c>
      <c r="H337" s="4"/>
      <c r="I337" s="4"/>
      <c r="J337" s="4"/>
      <c r="K337" s="4"/>
      <c r="L337" s="4"/>
      <c r="M337" s="4"/>
      <c r="N337" s="4"/>
      <c r="O337" s="4">
        <f>SUM(TABELA23[[#This Row],[T1]:[T7]])</f>
        <v>0</v>
      </c>
      <c r="P337" s="16">
        <f>TABELA23[[#This Row],[QTDE]]*TABELA23[[#This Row],[PREÇO]]</f>
        <v>0</v>
      </c>
    </row>
    <row r="338" spans="2:16" x14ac:dyDescent="0.2">
      <c r="B338" s="4" t="s">
        <v>1311</v>
      </c>
      <c r="C338" s="4" t="s">
        <v>1312</v>
      </c>
      <c r="D338" s="4" t="s">
        <v>723</v>
      </c>
      <c r="E338" s="4" t="s">
        <v>33</v>
      </c>
      <c r="F338" s="16">
        <v>238.26</v>
      </c>
      <c r="G338" s="4" t="s">
        <v>66</v>
      </c>
      <c r="H338" s="4"/>
      <c r="I338" s="4"/>
      <c r="J338" s="4"/>
      <c r="K338" s="4"/>
      <c r="L338" s="4"/>
      <c r="M338" s="4"/>
      <c r="N338" s="4"/>
      <c r="O338" s="4">
        <f>SUM(TABELA23[[#This Row],[T1]:[T7]])</f>
        <v>0</v>
      </c>
      <c r="P338" s="16">
        <f>TABELA23[[#This Row],[QTDE]]*TABELA23[[#This Row],[PREÇO]]</f>
        <v>0</v>
      </c>
    </row>
    <row r="339" spans="2:16" x14ac:dyDescent="0.2">
      <c r="B339" s="4" t="s">
        <v>1313</v>
      </c>
      <c r="C339" s="4" t="s">
        <v>1314</v>
      </c>
      <c r="D339" s="4" t="s">
        <v>735</v>
      </c>
      <c r="E339" s="4" t="s">
        <v>736</v>
      </c>
      <c r="F339" s="16">
        <v>325.22000000000003</v>
      </c>
      <c r="G339" s="4" t="s">
        <v>66</v>
      </c>
      <c r="H339" s="4"/>
      <c r="I339" s="4"/>
      <c r="J339" s="4"/>
      <c r="K339" s="4"/>
      <c r="L339" s="4"/>
      <c r="M339" s="4"/>
      <c r="N339" s="4"/>
      <c r="O339" s="4">
        <f>SUM(TABELA23[[#This Row],[T1]:[T7]])</f>
        <v>0</v>
      </c>
      <c r="P339" s="16">
        <f>TABELA23[[#This Row],[QTDE]]*TABELA23[[#This Row],[PREÇO]]</f>
        <v>0</v>
      </c>
    </row>
    <row r="340" spans="2:16" x14ac:dyDescent="0.2">
      <c r="B340" s="42" t="s">
        <v>1315</v>
      </c>
      <c r="C340" s="42" t="s">
        <v>1316</v>
      </c>
      <c r="D340" s="42" t="s">
        <v>761</v>
      </c>
      <c r="E340" s="42" t="s">
        <v>762</v>
      </c>
      <c r="F340" s="47">
        <v>346.96</v>
      </c>
      <c r="G340" s="42" t="s">
        <v>66</v>
      </c>
      <c r="H340" s="42"/>
      <c r="I340" s="42"/>
      <c r="J340" s="42"/>
      <c r="K340" s="42"/>
      <c r="L340" s="42"/>
      <c r="M340" s="42"/>
      <c r="N340" s="42"/>
      <c r="O340" s="42">
        <f>SUM(TABELA23[[#This Row],[T1]:[T7]])</f>
        <v>0</v>
      </c>
      <c r="P340" s="47">
        <f>TABELA23[[#This Row],[QTDE]]*TABELA23[[#This Row],[PREÇO]]</f>
        <v>0</v>
      </c>
    </row>
    <row r="341" spans="2:16" x14ac:dyDescent="0.2">
      <c r="B341" s="42" t="s">
        <v>1317</v>
      </c>
      <c r="C341" s="42" t="s">
        <v>1318</v>
      </c>
      <c r="D341" s="42" t="s">
        <v>49</v>
      </c>
      <c r="E341" s="42" t="s">
        <v>1319</v>
      </c>
      <c r="F341" s="47">
        <v>216.52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SUM(TABELA23[[#This Row],[T1]:[T7]])</f>
        <v>0</v>
      </c>
      <c r="P341" s="47">
        <f>TABELA23[[#This Row],[QTDE]]*TABELA23[[#This Row],[PREÇO]]</f>
        <v>0</v>
      </c>
    </row>
    <row r="342" spans="2:16" x14ac:dyDescent="0.2">
      <c r="B342" s="42" t="s">
        <v>1320</v>
      </c>
      <c r="C342" s="42" t="s">
        <v>1321</v>
      </c>
      <c r="D342" s="42" t="s">
        <v>32</v>
      </c>
      <c r="E342" s="42" t="s">
        <v>33</v>
      </c>
      <c r="F342" s="47">
        <v>186.09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SUM(TABELA23[[#This Row],[T1]:[T7]])</f>
        <v>0</v>
      </c>
      <c r="P342" s="47">
        <f>TABELA23[[#This Row],[QTDE]]*TABELA23[[#This Row],[PREÇO]]</f>
        <v>0</v>
      </c>
    </row>
    <row r="343" spans="2:16" x14ac:dyDescent="0.2">
      <c r="B343" s="42" t="s">
        <v>1322</v>
      </c>
      <c r="C343" s="42" t="s">
        <v>1323</v>
      </c>
      <c r="D343" s="42" t="s">
        <v>801</v>
      </c>
      <c r="E343" s="42" t="s">
        <v>704</v>
      </c>
      <c r="F343" s="47">
        <v>120.87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SUM(TABELA23[[#This Row],[T1]:[T7]])</f>
        <v>0</v>
      </c>
      <c r="P343" s="47">
        <f>TABELA23[[#This Row],[QTDE]]*TABELA23[[#This Row],[PREÇO]]</f>
        <v>0</v>
      </c>
    </row>
    <row r="344" spans="2:16" x14ac:dyDescent="0.2">
      <c r="B344" s="42" t="s">
        <v>1324</v>
      </c>
      <c r="C344" s="42" t="s">
        <v>1325</v>
      </c>
      <c r="D344" s="42" t="s">
        <v>825</v>
      </c>
      <c r="E344" s="42" t="s">
        <v>826</v>
      </c>
      <c r="F344" s="47">
        <v>129.57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SUM(TABELA23[[#This Row],[T1]:[T7]])</f>
        <v>0</v>
      </c>
      <c r="P344" s="47">
        <f>TABELA23[[#This Row],[QTDE]]*TABELA23[[#This Row],[PREÇO]]</f>
        <v>0</v>
      </c>
    </row>
    <row r="345" spans="2:16" x14ac:dyDescent="0.2">
      <c r="B345" s="42" t="s">
        <v>1326</v>
      </c>
      <c r="C345" s="42" t="s">
        <v>1327</v>
      </c>
      <c r="D345" s="42" t="s">
        <v>208</v>
      </c>
      <c r="E345" s="42" t="s">
        <v>835</v>
      </c>
      <c r="F345" s="47">
        <v>216.52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SUM(TABELA23[[#This Row],[T1]:[T7]])</f>
        <v>0</v>
      </c>
      <c r="P345" s="47">
        <f>TABELA23[[#This Row],[QTDE]]*TABELA23[[#This Row],[PREÇO]]</f>
        <v>0</v>
      </c>
    </row>
    <row r="346" spans="2:16" x14ac:dyDescent="0.2">
      <c r="B346" s="42" t="s">
        <v>1328</v>
      </c>
      <c r="C346" s="42" t="s">
        <v>1329</v>
      </c>
      <c r="D346" s="42" t="s">
        <v>665</v>
      </c>
      <c r="E346" s="42" t="s">
        <v>666</v>
      </c>
      <c r="F346" s="47">
        <v>260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SUM(TABELA23[[#This Row],[T1]:[T7]])</f>
        <v>0</v>
      </c>
      <c r="P346" s="47">
        <f>TABELA23[[#This Row],[QTDE]]*TABELA23[[#This Row],[PREÇO]]</f>
        <v>0</v>
      </c>
    </row>
    <row r="347" spans="2:16" x14ac:dyDescent="0.2">
      <c r="B347" s="42" t="s">
        <v>1330</v>
      </c>
      <c r="C347" s="42" t="s">
        <v>1331</v>
      </c>
      <c r="D347" s="42" t="s">
        <v>34</v>
      </c>
      <c r="E347" s="42" t="s">
        <v>35</v>
      </c>
      <c r="F347" s="47">
        <v>216.52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SUM(TABELA23[[#This Row],[T1]:[T7]])</f>
        <v>0</v>
      </c>
      <c r="P347" s="47">
        <f>TABELA23[[#This Row],[QTDE]]*TABELA23[[#This Row],[PREÇO]]</f>
        <v>0</v>
      </c>
    </row>
    <row r="348" spans="2:16" x14ac:dyDescent="0.2">
      <c r="B348" s="42" t="s">
        <v>1330</v>
      </c>
      <c r="C348" s="42" t="s">
        <v>1331</v>
      </c>
      <c r="D348" s="42" t="s">
        <v>771</v>
      </c>
      <c r="E348" s="42" t="s">
        <v>772</v>
      </c>
      <c r="F348" s="47">
        <v>216.52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SUM(TABELA23[[#This Row],[T1]:[T7]])</f>
        <v>0</v>
      </c>
      <c r="P348" s="47">
        <f>TABELA23[[#This Row],[QTDE]]*TABELA23[[#This Row],[PREÇO]]</f>
        <v>0</v>
      </c>
    </row>
    <row r="349" spans="2:16" x14ac:dyDescent="0.2">
      <c r="B349" s="42" t="s">
        <v>1332</v>
      </c>
      <c r="C349" s="42" t="s">
        <v>1333</v>
      </c>
      <c r="D349" s="42" t="s">
        <v>1334</v>
      </c>
      <c r="E349" s="42" t="s">
        <v>1335</v>
      </c>
      <c r="F349" s="47">
        <v>216.52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SUM(TABELA23[[#This Row],[T1]:[T7]])</f>
        <v>0</v>
      </c>
      <c r="P349" s="47">
        <f>TABELA23[[#This Row],[QTDE]]*TABELA23[[#This Row],[PREÇO]]</f>
        <v>0</v>
      </c>
    </row>
    <row r="350" spans="2:16" x14ac:dyDescent="0.2">
      <c r="B350" s="42" t="s">
        <v>1336</v>
      </c>
      <c r="C350" s="42" t="s">
        <v>1337</v>
      </c>
      <c r="D350" s="42" t="s">
        <v>40</v>
      </c>
      <c r="E350" s="42" t="s">
        <v>41</v>
      </c>
      <c r="F350" s="47">
        <v>155.65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SUM(TABELA23[[#This Row],[T1]:[T7]])</f>
        <v>0</v>
      </c>
      <c r="P350" s="47">
        <f>TABELA23[[#This Row],[QTDE]]*TABELA23[[#This Row],[PREÇO]]</f>
        <v>0</v>
      </c>
    </row>
    <row r="351" spans="2:16" x14ac:dyDescent="0.2">
      <c r="B351" s="42" t="s">
        <v>1336</v>
      </c>
      <c r="C351" s="42" t="s">
        <v>1337</v>
      </c>
      <c r="D351" s="42" t="s">
        <v>48</v>
      </c>
      <c r="E351" s="42" t="s">
        <v>673</v>
      </c>
      <c r="F351" s="47">
        <v>155.65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SUM(TABELA23[[#This Row],[T1]:[T7]])</f>
        <v>0</v>
      </c>
      <c r="P351" s="47">
        <f>TABELA23[[#This Row],[QTDE]]*TABELA23[[#This Row],[PREÇO]]</f>
        <v>0</v>
      </c>
    </row>
    <row r="352" spans="2:16" x14ac:dyDescent="0.2">
      <c r="B352" s="42" t="s">
        <v>1336</v>
      </c>
      <c r="C352" s="42" t="s">
        <v>1337</v>
      </c>
      <c r="D352" s="42" t="s">
        <v>775</v>
      </c>
      <c r="E352" s="42" t="s">
        <v>750</v>
      </c>
      <c r="F352" s="47">
        <v>155.65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SUM(TABELA23[[#This Row],[T1]:[T7]])</f>
        <v>0</v>
      </c>
      <c r="P352" s="47">
        <f>TABELA23[[#This Row],[QTDE]]*TABELA23[[#This Row],[PREÇO]]</f>
        <v>0</v>
      </c>
    </row>
    <row r="353" spans="2:16" x14ac:dyDescent="0.2">
      <c r="B353" s="42" t="s">
        <v>1336</v>
      </c>
      <c r="C353" s="42" t="s">
        <v>1337</v>
      </c>
      <c r="D353" s="42" t="s">
        <v>676</v>
      </c>
      <c r="E353" s="42" t="s">
        <v>677</v>
      </c>
      <c r="F353" s="47">
        <v>155.65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SUM(TABELA23[[#This Row],[T1]:[T7]])</f>
        <v>0</v>
      </c>
      <c r="P353" s="47">
        <f>TABELA23[[#This Row],[QTDE]]*TABELA23[[#This Row],[PREÇO]]</f>
        <v>0</v>
      </c>
    </row>
    <row r="354" spans="2:16" x14ac:dyDescent="0.2">
      <c r="B354" s="42" t="s">
        <v>1338</v>
      </c>
      <c r="C354" s="42" t="s">
        <v>1339</v>
      </c>
      <c r="D354" s="42" t="s">
        <v>791</v>
      </c>
      <c r="E354" s="42" t="s">
        <v>713</v>
      </c>
      <c r="F354" s="47">
        <v>303.48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SUM(TABELA23[[#This Row],[T1]:[T7]])</f>
        <v>0</v>
      </c>
      <c r="P354" s="47">
        <f>TABELA23[[#This Row],[QTDE]]*TABELA23[[#This Row],[PREÇO]]</f>
        <v>0</v>
      </c>
    </row>
    <row r="355" spans="2:16" x14ac:dyDescent="0.2">
      <c r="B355" s="42" t="s">
        <v>1338</v>
      </c>
      <c r="C355" s="42" t="s">
        <v>1339</v>
      </c>
      <c r="D355" s="42" t="s">
        <v>838</v>
      </c>
      <c r="E355" s="42" t="s">
        <v>839</v>
      </c>
      <c r="F355" s="47">
        <v>303.48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SUM(TABELA23[[#This Row],[T1]:[T7]])</f>
        <v>0</v>
      </c>
      <c r="P355" s="47">
        <f>TABELA23[[#This Row],[QTDE]]*TABELA23[[#This Row],[PREÇO]]</f>
        <v>0</v>
      </c>
    </row>
    <row r="356" spans="2:16" x14ac:dyDescent="0.2">
      <c r="B356" s="42" t="s">
        <v>1340</v>
      </c>
      <c r="C356" s="42" t="s">
        <v>1341</v>
      </c>
      <c r="D356" s="42" t="s">
        <v>723</v>
      </c>
      <c r="E356" s="42" t="s">
        <v>724</v>
      </c>
      <c r="F356" s="47">
        <v>260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SUM(TABELA23[[#This Row],[T1]:[T7]])</f>
        <v>0</v>
      </c>
      <c r="P356" s="47">
        <f>TABELA23[[#This Row],[QTDE]]*TABELA23[[#This Row],[PREÇO]]</f>
        <v>0</v>
      </c>
    </row>
    <row r="357" spans="2:16" x14ac:dyDescent="0.2">
      <c r="B357" s="42" t="s">
        <v>1342</v>
      </c>
      <c r="C357" s="42" t="s">
        <v>1343</v>
      </c>
      <c r="D357" s="42" t="s">
        <v>32</v>
      </c>
      <c r="E357" s="42" t="s">
        <v>33</v>
      </c>
      <c r="F357" s="47">
        <v>260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SUM(TABELA23[[#This Row],[T1]:[T7]])</f>
        <v>0</v>
      </c>
      <c r="P357" s="47">
        <f>TABELA23[[#This Row],[QTDE]]*TABELA23[[#This Row],[PREÇO]]</f>
        <v>0</v>
      </c>
    </row>
    <row r="358" spans="2:16" x14ac:dyDescent="0.2">
      <c r="B358" s="42" t="s">
        <v>1344</v>
      </c>
      <c r="C358" s="42" t="s">
        <v>1345</v>
      </c>
      <c r="D358" s="42" t="s">
        <v>32</v>
      </c>
      <c r="E358" s="42" t="s">
        <v>33</v>
      </c>
      <c r="F358" s="47">
        <v>238.26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SUM(TABELA23[[#This Row],[T1]:[T7]])</f>
        <v>0</v>
      </c>
      <c r="P358" s="47">
        <f>TABELA23[[#This Row],[QTDE]]*TABELA23[[#This Row],[PREÇO]]</f>
        <v>0</v>
      </c>
    </row>
    <row r="359" spans="2:16" x14ac:dyDescent="0.2">
      <c r="B359" s="42" t="s">
        <v>1346</v>
      </c>
      <c r="C359" s="42" t="s">
        <v>1347</v>
      </c>
      <c r="D359" s="42" t="s">
        <v>32</v>
      </c>
      <c r="E359" s="42" t="s">
        <v>33</v>
      </c>
      <c r="F359" s="47">
        <v>229.57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SUM(TABELA23[[#This Row],[T1]:[T7]])</f>
        <v>0</v>
      </c>
      <c r="P359" s="47">
        <f>TABELA23[[#This Row],[QTDE]]*TABELA23[[#This Row],[PREÇO]]</f>
        <v>0</v>
      </c>
    </row>
    <row r="360" spans="2:16" x14ac:dyDescent="0.2">
      <c r="B360" s="42" t="s">
        <v>1348</v>
      </c>
      <c r="C360" s="42" t="s">
        <v>1349</v>
      </c>
      <c r="D360" s="42" t="s">
        <v>212</v>
      </c>
      <c r="E360" s="42" t="s">
        <v>1160</v>
      </c>
      <c r="F360" s="47">
        <v>238.26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SUM(TABELA23[[#This Row],[T1]:[T7]])</f>
        <v>0</v>
      </c>
      <c r="P360" s="47">
        <f>TABELA23[[#This Row],[QTDE]]*TABELA23[[#This Row],[PREÇO]]</f>
        <v>0</v>
      </c>
    </row>
    <row r="361" spans="2:16" x14ac:dyDescent="0.2">
      <c r="B361" s="42" t="s">
        <v>1350</v>
      </c>
      <c r="C361" s="42" t="s">
        <v>1351</v>
      </c>
      <c r="D361" s="42" t="s">
        <v>34</v>
      </c>
      <c r="E361" s="42" t="s">
        <v>35</v>
      </c>
      <c r="F361" s="47">
        <v>116.52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SUM(TABELA23[[#This Row],[T1]:[T7]])</f>
        <v>0</v>
      </c>
      <c r="P361" s="47">
        <f>TABELA23[[#This Row],[QTDE]]*TABELA23[[#This Row],[PREÇO]]</f>
        <v>0</v>
      </c>
    </row>
    <row r="362" spans="2:16" x14ac:dyDescent="0.2">
      <c r="B362" s="42" t="s">
        <v>1352</v>
      </c>
      <c r="C362" s="42" t="s">
        <v>1353</v>
      </c>
      <c r="D362" s="42" t="s">
        <v>38</v>
      </c>
      <c r="E362" s="42" t="s">
        <v>688</v>
      </c>
      <c r="F362" s="47">
        <v>116.52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SUM(TABELA23[[#This Row],[T1]:[T7]])</f>
        <v>0</v>
      </c>
      <c r="P362" s="47">
        <f>TABELA23[[#This Row],[QTDE]]*TABELA23[[#This Row],[PREÇO]]</f>
        <v>0</v>
      </c>
    </row>
    <row r="363" spans="2:16" x14ac:dyDescent="0.2">
      <c r="B363" s="42" t="s">
        <v>1354</v>
      </c>
      <c r="C363" s="42" t="s">
        <v>1355</v>
      </c>
      <c r="D363" s="42" t="s">
        <v>48</v>
      </c>
      <c r="E363" s="42" t="s">
        <v>673</v>
      </c>
      <c r="F363" s="47">
        <v>116.52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SUM(TABELA23[[#This Row],[T1]:[T7]])</f>
        <v>0</v>
      </c>
      <c r="P363" s="47">
        <f>TABELA23[[#This Row],[QTDE]]*TABELA23[[#This Row],[PREÇO]]</f>
        <v>0</v>
      </c>
    </row>
    <row r="364" spans="2:16" x14ac:dyDescent="0.2">
      <c r="B364" s="42" t="s">
        <v>1356</v>
      </c>
      <c r="C364" s="42" t="s">
        <v>1357</v>
      </c>
      <c r="D364" s="42" t="s">
        <v>869</v>
      </c>
      <c r="E364" s="42" t="s">
        <v>870</v>
      </c>
      <c r="F364" s="47">
        <v>129.57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SUM(TABELA23[[#This Row],[T1]:[T7]])</f>
        <v>0</v>
      </c>
      <c r="P364" s="47">
        <f>TABELA23[[#This Row],[QTDE]]*TABELA23[[#This Row],[PREÇO]]</f>
        <v>0</v>
      </c>
    </row>
    <row r="365" spans="2:16" x14ac:dyDescent="0.2">
      <c r="B365" s="42" t="s">
        <v>1358</v>
      </c>
      <c r="C365" s="42" t="s">
        <v>1359</v>
      </c>
      <c r="D365" s="42" t="s">
        <v>38</v>
      </c>
      <c r="E365" s="42" t="s">
        <v>688</v>
      </c>
      <c r="F365" s="47">
        <v>151.30000000000001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SUM(TABELA23[[#This Row],[T1]:[T7]])</f>
        <v>0</v>
      </c>
      <c r="P365" s="47">
        <f>TABELA23[[#This Row],[QTDE]]*TABELA23[[#This Row],[PREÇO]]</f>
        <v>0</v>
      </c>
    </row>
    <row r="366" spans="2:16" x14ac:dyDescent="0.2">
      <c r="B366" s="42" t="s">
        <v>1360</v>
      </c>
      <c r="C366" s="42" t="s">
        <v>1361</v>
      </c>
      <c r="D366" s="42" t="s">
        <v>140</v>
      </c>
      <c r="E366" s="42" t="s">
        <v>35</v>
      </c>
      <c r="F366" s="47">
        <v>99.13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SUM(TABELA23[[#This Row],[T1]:[T7]])</f>
        <v>0</v>
      </c>
      <c r="P366" s="47">
        <f>TABELA23[[#This Row],[QTDE]]*TABELA23[[#This Row],[PREÇO]]</f>
        <v>0</v>
      </c>
    </row>
    <row r="367" spans="2:16" x14ac:dyDescent="0.2">
      <c r="B367" s="42" t="s">
        <v>1362</v>
      </c>
      <c r="C367" s="42" t="s">
        <v>1363</v>
      </c>
      <c r="D367" s="42" t="s">
        <v>669</v>
      </c>
      <c r="E367" s="42" t="s">
        <v>670</v>
      </c>
      <c r="F367" s="47">
        <v>99.13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SUM(TABELA23[[#This Row],[T1]:[T7]])</f>
        <v>0</v>
      </c>
      <c r="P367" s="47">
        <f>TABELA23[[#This Row],[QTDE]]*TABELA23[[#This Row],[PREÇO]]</f>
        <v>0</v>
      </c>
    </row>
    <row r="368" spans="2:16" x14ac:dyDescent="0.2">
      <c r="B368" s="42" t="s">
        <v>1364</v>
      </c>
      <c r="C368" s="42" t="s">
        <v>1365</v>
      </c>
      <c r="D368" s="42" t="s">
        <v>735</v>
      </c>
      <c r="E368" s="42" t="s">
        <v>736</v>
      </c>
      <c r="F368" s="47">
        <v>103.48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SUM(TABELA23[[#This Row],[T1]:[T7]])</f>
        <v>0</v>
      </c>
      <c r="P368" s="47">
        <f>TABELA23[[#This Row],[QTDE]]*TABELA23[[#This Row],[PREÇO]]</f>
        <v>0</v>
      </c>
    </row>
    <row r="369" spans="2:16" x14ac:dyDescent="0.2">
      <c r="B369" s="42" t="s">
        <v>1366</v>
      </c>
      <c r="C369" s="42" t="s">
        <v>1367</v>
      </c>
      <c r="D369" s="42" t="s">
        <v>34</v>
      </c>
      <c r="E369" s="42" t="s">
        <v>35</v>
      </c>
      <c r="F369" s="47">
        <v>107.83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SUM(TABELA23[[#This Row],[T1]:[T7]])</f>
        <v>0</v>
      </c>
      <c r="P369" s="47">
        <f>TABELA23[[#This Row],[QTDE]]*TABELA23[[#This Row],[PREÇO]]</f>
        <v>0</v>
      </c>
    </row>
    <row r="370" spans="2:16" x14ac:dyDescent="0.2">
      <c r="B370" s="42" t="s">
        <v>1368</v>
      </c>
      <c r="C370" s="42" t="s">
        <v>1369</v>
      </c>
      <c r="D370" s="42" t="s">
        <v>707</v>
      </c>
      <c r="E370" s="42" t="s">
        <v>808</v>
      </c>
      <c r="F370" s="47">
        <v>103.48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SUM(TABELA23[[#This Row],[T1]:[T7]])</f>
        <v>0</v>
      </c>
      <c r="P370" s="47">
        <f>TABELA23[[#This Row],[QTDE]]*TABELA23[[#This Row],[PREÇO]]</f>
        <v>0</v>
      </c>
    </row>
    <row r="371" spans="2:16" x14ac:dyDescent="0.2">
      <c r="B371" s="42" t="s">
        <v>1370</v>
      </c>
      <c r="C371" s="42" t="s">
        <v>1371</v>
      </c>
      <c r="D371" s="42" t="s">
        <v>791</v>
      </c>
      <c r="E371" s="42" t="s">
        <v>713</v>
      </c>
      <c r="F371" s="47">
        <v>86.09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SUM(TABELA23[[#This Row],[T1]:[T7]])</f>
        <v>0</v>
      </c>
      <c r="P371" s="47">
        <f>TABELA23[[#This Row],[QTDE]]*TABELA23[[#This Row],[PREÇO]]</f>
        <v>0</v>
      </c>
    </row>
    <row r="372" spans="2:16" x14ac:dyDescent="0.2">
      <c r="B372" s="42" t="s">
        <v>1372</v>
      </c>
      <c r="C372" s="42" t="s">
        <v>1373</v>
      </c>
      <c r="D372" s="42" t="s">
        <v>212</v>
      </c>
      <c r="E372" s="42" t="s">
        <v>141</v>
      </c>
      <c r="F372" s="47">
        <v>99.13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SUM(TABELA23[[#This Row],[T1]:[T7]])</f>
        <v>0</v>
      </c>
      <c r="P372" s="47">
        <f>TABELA23[[#This Row],[QTDE]]*TABELA23[[#This Row],[PREÇO]]</f>
        <v>0</v>
      </c>
    </row>
    <row r="373" spans="2:16" x14ac:dyDescent="0.2">
      <c r="B373" s="42" t="s">
        <v>1374</v>
      </c>
      <c r="C373" s="42" t="s">
        <v>1375</v>
      </c>
      <c r="D373" s="42" t="s">
        <v>735</v>
      </c>
      <c r="E373" s="42" t="s">
        <v>736</v>
      </c>
      <c r="F373" s="47">
        <v>107.83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SUM(TABELA23[[#This Row],[T1]:[T7]])</f>
        <v>0</v>
      </c>
      <c r="P373" s="47">
        <f>TABELA23[[#This Row],[QTDE]]*TABELA23[[#This Row],[PREÇO]]</f>
        <v>0</v>
      </c>
    </row>
    <row r="374" spans="2:16" x14ac:dyDescent="0.2">
      <c r="B374" s="42" t="s">
        <v>1376</v>
      </c>
      <c r="C374" s="42" t="s">
        <v>1377</v>
      </c>
      <c r="D374" s="42" t="s">
        <v>34</v>
      </c>
      <c r="E374" s="42" t="s">
        <v>35</v>
      </c>
      <c r="F374" s="47">
        <v>73.040000000000006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SUM(TABELA23[[#This Row],[T1]:[T7]])</f>
        <v>0</v>
      </c>
      <c r="P374" s="47">
        <f>TABELA23[[#This Row],[QTDE]]*TABELA23[[#This Row],[PREÇO]]</f>
        <v>0</v>
      </c>
    </row>
    <row r="375" spans="2:16" x14ac:dyDescent="0.2">
      <c r="B375" s="42" t="s">
        <v>1376</v>
      </c>
      <c r="C375" s="42" t="s">
        <v>1377</v>
      </c>
      <c r="D375" s="42" t="s">
        <v>709</v>
      </c>
      <c r="E375" s="42" t="s">
        <v>710</v>
      </c>
      <c r="F375" s="47">
        <v>73.040000000000006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SUM(TABELA23[[#This Row],[T1]:[T7]])</f>
        <v>0</v>
      </c>
      <c r="P375" s="47">
        <f>TABELA23[[#This Row],[QTDE]]*TABELA23[[#This Row],[PREÇO]]</f>
        <v>0</v>
      </c>
    </row>
    <row r="376" spans="2:16" x14ac:dyDescent="0.2">
      <c r="B376" s="42" t="s">
        <v>1378</v>
      </c>
      <c r="C376" s="42" t="s">
        <v>1379</v>
      </c>
      <c r="D376" s="42" t="s">
        <v>34</v>
      </c>
      <c r="E376" s="42" t="s">
        <v>35</v>
      </c>
      <c r="F376" s="47">
        <v>77.39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SUM(TABELA23[[#This Row],[T1]:[T7]])</f>
        <v>0</v>
      </c>
      <c r="P376" s="47">
        <f>TABELA23[[#This Row],[QTDE]]*TABELA23[[#This Row],[PREÇO]]</f>
        <v>0</v>
      </c>
    </row>
    <row r="377" spans="2:16" x14ac:dyDescent="0.2">
      <c r="B377" s="42" t="s">
        <v>1378</v>
      </c>
      <c r="C377" s="42" t="s">
        <v>1379</v>
      </c>
      <c r="D377" s="42" t="s">
        <v>38</v>
      </c>
      <c r="E377" s="42" t="s">
        <v>688</v>
      </c>
      <c r="F377" s="47">
        <v>77.39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SUM(TABELA23[[#This Row],[T1]:[T7]])</f>
        <v>0</v>
      </c>
      <c r="P377" s="47">
        <f>TABELA23[[#This Row],[QTDE]]*TABELA23[[#This Row],[PREÇO]]</f>
        <v>0</v>
      </c>
    </row>
    <row r="378" spans="2:16" x14ac:dyDescent="0.2">
      <c r="B378" s="42" t="s">
        <v>1378</v>
      </c>
      <c r="C378" s="42" t="s">
        <v>1379</v>
      </c>
      <c r="D378" s="42" t="s">
        <v>775</v>
      </c>
      <c r="E378" s="42" t="s">
        <v>750</v>
      </c>
      <c r="F378" s="47">
        <v>77.39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SUM(TABELA23[[#This Row],[T1]:[T7]])</f>
        <v>0</v>
      </c>
      <c r="P378" s="47">
        <f>TABELA23[[#This Row],[QTDE]]*TABELA23[[#This Row],[PREÇO]]</f>
        <v>0</v>
      </c>
    </row>
    <row r="379" spans="2:16" x14ac:dyDescent="0.2">
      <c r="B379" s="42" t="s">
        <v>1378</v>
      </c>
      <c r="C379" s="42" t="s">
        <v>1379</v>
      </c>
      <c r="D379" s="42" t="s">
        <v>669</v>
      </c>
      <c r="E379" s="42" t="s">
        <v>670</v>
      </c>
      <c r="F379" s="47">
        <v>77.39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SUM(TABELA23[[#This Row],[T1]:[T7]])</f>
        <v>0</v>
      </c>
      <c r="P379" s="47">
        <f>TABELA23[[#This Row],[QTDE]]*TABELA23[[#This Row],[PREÇO]]</f>
        <v>0</v>
      </c>
    </row>
    <row r="380" spans="2:16" x14ac:dyDescent="0.2">
      <c r="B380" s="42" t="s">
        <v>1380</v>
      </c>
      <c r="C380" s="42" t="s">
        <v>1381</v>
      </c>
      <c r="D380" s="42" t="s">
        <v>260</v>
      </c>
      <c r="E380" s="42" t="s">
        <v>1242</v>
      </c>
      <c r="F380" s="47">
        <v>173.04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SUM(TABELA23[[#This Row],[T1]:[T7]])</f>
        <v>0</v>
      </c>
      <c r="P380" s="47">
        <f>TABELA23[[#This Row],[QTDE]]*TABELA23[[#This Row],[PREÇO]]</f>
        <v>0</v>
      </c>
    </row>
    <row r="381" spans="2:16" x14ac:dyDescent="0.2">
      <c r="B381" s="42" t="s">
        <v>1382</v>
      </c>
      <c r="C381" s="42" t="s">
        <v>1383</v>
      </c>
      <c r="D381" s="42" t="s">
        <v>34</v>
      </c>
      <c r="E381" s="42" t="s">
        <v>35</v>
      </c>
      <c r="F381" s="47">
        <v>164.35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SUM(TABELA23[[#This Row],[T1]:[T7]])</f>
        <v>0</v>
      </c>
      <c r="P381" s="47">
        <f>TABELA23[[#This Row],[QTDE]]*TABELA23[[#This Row],[PREÇO]]</f>
        <v>0</v>
      </c>
    </row>
    <row r="382" spans="2:16" x14ac:dyDescent="0.2">
      <c r="B382" s="42" t="s">
        <v>1382</v>
      </c>
      <c r="C382" s="42" t="s">
        <v>1383</v>
      </c>
      <c r="D382" s="42" t="s">
        <v>38</v>
      </c>
      <c r="E382" s="42" t="s">
        <v>688</v>
      </c>
      <c r="F382" s="47">
        <v>164.35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SUM(TABELA23[[#This Row],[T1]:[T7]])</f>
        <v>0</v>
      </c>
      <c r="P382" s="47">
        <f>TABELA23[[#This Row],[QTDE]]*TABELA23[[#This Row],[PREÇO]]</f>
        <v>0</v>
      </c>
    </row>
    <row r="383" spans="2:16" x14ac:dyDescent="0.2">
      <c r="B383" s="42" t="s">
        <v>1384</v>
      </c>
      <c r="C383" s="42" t="s">
        <v>1385</v>
      </c>
      <c r="D383" s="42" t="s">
        <v>38</v>
      </c>
      <c r="E383" s="42" t="s">
        <v>688</v>
      </c>
      <c r="F383" s="47">
        <v>203.48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SUM(TABELA23[[#This Row],[T1]:[T7]])</f>
        <v>0</v>
      </c>
      <c r="P383" s="47">
        <f>TABELA23[[#This Row],[QTDE]]*TABELA23[[#This Row],[PREÇO]]</f>
        <v>0</v>
      </c>
    </row>
    <row r="384" spans="2:16" x14ac:dyDescent="0.2">
      <c r="B384" s="42" t="s">
        <v>1386</v>
      </c>
      <c r="C384" s="42" t="s">
        <v>1387</v>
      </c>
      <c r="D384" s="42" t="s">
        <v>38</v>
      </c>
      <c r="E384" s="42" t="s">
        <v>688</v>
      </c>
      <c r="F384" s="47">
        <v>164.35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SUM(TABELA23[[#This Row],[T1]:[T7]])</f>
        <v>0</v>
      </c>
      <c r="P384" s="47">
        <f>TABELA23[[#This Row],[QTDE]]*TABELA23[[#This Row],[PREÇO]]</f>
        <v>0</v>
      </c>
    </row>
    <row r="385" spans="2:16" x14ac:dyDescent="0.2">
      <c r="B385" s="42" t="s">
        <v>1386</v>
      </c>
      <c r="C385" s="42" t="s">
        <v>1387</v>
      </c>
      <c r="D385" s="42" t="s">
        <v>48</v>
      </c>
      <c r="E385" s="42" t="s">
        <v>673</v>
      </c>
      <c r="F385" s="47">
        <v>164.35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SUM(TABELA23[[#This Row],[T1]:[T7]])</f>
        <v>0</v>
      </c>
      <c r="P385" s="47">
        <f>TABELA23[[#This Row],[QTDE]]*TABELA23[[#This Row],[PREÇO]]</f>
        <v>0</v>
      </c>
    </row>
    <row r="386" spans="2:16" x14ac:dyDescent="0.2">
      <c r="B386" s="42" t="s">
        <v>1388</v>
      </c>
      <c r="C386" s="42" t="s">
        <v>1389</v>
      </c>
      <c r="D386" s="42" t="s">
        <v>34</v>
      </c>
      <c r="E386" s="42" t="s">
        <v>35</v>
      </c>
      <c r="F386" s="47">
        <v>129.57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SUM(TABELA23[[#This Row],[T1]:[T7]])</f>
        <v>0</v>
      </c>
      <c r="P386" s="47">
        <f>TABELA23[[#This Row],[QTDE]]*TABELA23[[#This Row],[PREÇO]]</f>
        <v>0</v>
      </c>
    </row>
    <row r="387" spans="2:16" x14ac:dyDescent="0.2">
      <c r="B387" s="42" t="s">
        <v>1390</v>
      </c>
      <c r="C387" s="42" t="s">
        <v>1391</v>
      </c>
      <c r="D387" s="42" t="s">
        <v>709</v>
      </c>
      <c r="E387" s="42" t="s">
        <v>673</v>
      </c>
      <c r="F387" s="47">
        <v>238.26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SUM(TABELA23[[#This Row],[T1]:[T7]])</f>
        <v>0</v>
      </c>
      <c r="P387" s="47">
        <f>TABELA23[[#This Row],[QTDE]]*TABELA23[[#This Row],[PREÇO]]</f>
        <v>0</v>
      </c>
    </row>
    <row r="388" spans="2:16" x14ac:dyDescent="0.2">
      <c r="B388" s="42" t="s">
        <v>1392</v>
      </c>
      <c r="C388" s="42" t="s">
        <v>1393</v>
      </c>
      <c r="D388" s="42" t="s">
        <v>34</v>
      </c>
      <c r="E388" s="42" t="s">
        <v>35</v>
      </c>
      <c r="F388" s="47">
        <v>160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SUM(TABELA23[[#This Row],[T1]:[T7]])</f>
        <v>0</v>
      </c>
      <c r="P388" s="47">
        <f>TABELA23[[#This Row],[QTDE]]*TABELA23[[#This Row],[PREÇO]]</f>
        <v>0</v>
      </c>
    </row>
    <row r="389" spans="2:16" x14ac:dyDescent="0.2">
      <c r="B389" s="42" t="s">
        <v>1392</v>
      </c>
      <c r="C389" s="42" t="s">
        <v>1393</v>
      </c>
      <c r="D389" s="42" t="s">
        <v>771</v>
      </c>
      <c r="E389" s="42" t="s">
        <v>1242</v>
      </c>
      <c r="F389" s="47">
        <v>160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SUM(TABELA23[[#This Row],[T1]:[T7]])</f>
        <v>0</v>
      </c>
      <c r="P389" s="47">
        <f>TABELA23[[#This Row],[QTDE]]*TABELA23[[#This Row],[PREÇO]]</f>
        <v>0</v>
      </c>
    </row>
    <row r="390" spans="2:16" x14ac:dyDescent="0.2">
      <c r="B390" s="42" t="s">
        <v>1394</v>
      </c>
      <c r="C390" s="42" t="s">
        <v>1395</v>
      </c>
      <c r="D390" s="42" t="s">
        <v>34</v>
      </c>
      <c r="E390" s="42" t="s">
        <v>35</v>
      </c>
      <c r="F390" s="47">
        <v>173.04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SUM(TABELA23[[#This Row],[T1]:[T7]])</f>
        <v>0</v>
      </c>
      <c r="P390" s="47">
        <f>TABELA23[[#This Row],[QTDE]]*TABELA23[[#This Row],[PREÇO]]</f>
        <v>0</v>
      </c>
    </row>
    <row r="391" spans="2:16" x14ac:dyDescent="0.2">
      <c r="B391" s="42" t="s">
        <v>1396</v>
      </c>
      <c r="C391" s="42" t="s">
        <v>1397</v>
      </c>
      <c r="D391" s="42" t="s">
        <v>38</v>
      </c>
      <c r="E391" s="42" t="s">
        <v>688</v>
      </c>
      <c r="F391" s="47">
        <v>142.61000000000001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SUM(TABELA23[[#This Row],[T1]:[T7]])</f>
        <v>0</v>
      </c>
      <c r="P391" s="47">
        <f>TABELA23[[#This Row],[QTDE]]*TABELA23[[#This Row],[PREÇO]]</f>
        <v>0</v>
      </c>
    </row>
    <row r="392" spans="2:16" x14ac:dyDescent="0.2">
      <c r="B392" s="42" t="s">
        <v>1398</v>
      </c>
      <c r="C392" s="42" t="s">
        <v>1399</v>
      </c>
      <c r="D392" s="42" t="s">
        <v>735</v>
      </c>
      <c r="E392" s="42" t="s">
        <v>736</v>
      </c>
      <c r="F392" s="47">
        <v>129.57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SUM(TABELA23[[#This Row],[T1]:[T7]])</f>
        <v>0</v>
      </c>
      <c r="P392" s="47">
        <f>TABELA23[[#This Row],[QTDE]]*TABELA23[[#This Row],[PREÇO]]</f>
        <v>0</v>
      </c>
    </row>
    <row r="393" spans="2:16" x14ac:dyDescent="0.2">
      <c r="B393" s="42" t="s">
        <v>1400</v>
      </c>
      <c r="C393" s="42" t="s">
        <v>1401</v>
      </c>
      <c r="D393" s="42" t="s">
        <v>38</v>
      </c>
      <c r="E393" s="42" t="s">
        <v>688</v>
      </c>
      <c r="F393" s="47">
        <v>116.52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SUM(TABELA23[[#This Row],[T1]:[T7]])</f>
        <v>0</v>
      </c>
      <c r="P393" s="47">
        <f>TABELA23[[#This Row],[QTDE]]*TABELA23[[#This Row],[PREÇO]]</f>
        <v>0</v>
      </c>
    </row>
    <row r="394" spans="2:16" x14ac:dyDescent="0.2">
      <c r="B394" s="42" t="s">
        <v>1402</v>
      </c>
      <c r="C394" s="42" t="s">
        <v>1403</v>
      </c>
      <c r="D394" s="42" t="s">
        <v>775</v>
      </c>
      <c r="E394" s="42" t="s">
        <v>750</v>
      </c>
      <c r="F394" s="47">
        <v>160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SUM(TABELA23[[#This Row],[T1]:[T7]])</f>
        <v>0</v>
      </c>
      <c r="P394" s="47">
        <f>TABELA23[[#This Row],[QTDE]]*TABELA23[[#This Row],[PREÇO]]</f>
        <v>0</v>
      </c>
    </row>
    <row r="395" spans="2:16" x14ac:dyDescent="0.2">
      <c r="B395" s="42" t="s">
        <v>1404</v>
      </c>
      <c r="C395" s="42" t="s">
        <v>1405</v>
      </c>
      <c r="D395" s="42" t="s">
        <v>38</v>
      </c>
      <c r="E395" s="42" t="s">
        <v>688</v>
      </c>
      <c r="F395" s="47">
        <v>216.52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SUM(TABELA23[[#This Row],[T1]:[T7]])</f>
        <v>0</v>
      </c>
      <c r="P395" s="47">
        <f>TABELA23[[#This Row],[QTDE]]*TABELA23[[#This Row],[PREÇO]]</f>
        <v>0</v>
      </c>
    </row>
    <row r="396" spans="2:16" x14ac:dyDescent="0.2">
      <c r="B396" s="42" t="s">
        <v>1406</v>
      </c>
      <c r="C396" s="42" t="s">
        <v>1407</v>
      </c>
      <c r="D396" s="42" t="s">
        <v>775</v>
      </c>
      <c r="E396" s="42" t="s">
        <v>750</v>
      </c>
      <c r="F396" s="47">
        <v>142.61000000000001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SUM(TABELA23[[#This Row],[T1]:[T7]])</f>
        <v>0</v>
      </c>
      <c r="P396" s="47">
        <f>TABELA23[[#This Row],[QTDE]]*TABELA23[[#This Row],[PREÇO]]</f>
        <v>0</v>
      </c>
    </row>
    <row r="397" spans="2:16" x14ac:dyDescent="0.2">
      <c r="B397" s="42" t="s">
        <v>1408</v>
      </c>
      <c r="C397" s="42" t="s">
        <v>1409</v>
      </c>
      <c r="D397" s="42" t="s">
        <v>48</v>
      </c>
      <c r="E397" s="42" t="s">
        <v>673</v>
      </c>
      <c r="F397" s="47">
        <v>160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SUM(TABELA23[[#This Row],[T1]:[T7]])</f>
        <v>0</v>
      </c>
      <c r="P397" s="47">
        <f>TABELA23[[#This Row],[QTDE]]*TABELA23[[#This Row],[PREÇO]]</f>
        <v>0</v>
      </c>
    </row>
    <row r="398" spans="2:16" x14ac:dyDescent="0.2">
      <c r="B398" s="42" t="s">
        <v>1408</v>
      </c>
      <c r="C398" s="42" t="s">
        <v>1409</v>
      </c>
      <c r="D398" s="42" t="s">
        <v>689</v>
      </c>
      <c r="E398" s="42" t="s">
        <v>690</v>
      </c>
      <c r="F398" s="47">
        <v>160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SUM(TABELA23[[#This Row],[T1]:[T7]])</f>
        <v>0</v>
      </c>
      <c r="P398" s="47">
        <f>TABELA23[[#This Row],[QTDE]]*TABELA23[[#This Row],[PREÇO]]</f>
        <v>0</v>
      </c>
    </row>
    <row r="399" spans="2:16" x14ac:dyDescent="0.2">
      <c r="B399" s="42" t="s">
        <v>1410</v>
      </c>
      <c r="C399" s="42" t="s">
        <v>1411</v>
      </c>
      <c r="D399" s="42" t="s">
        <v>49</v>
      </c>
      <c r="E399" s="42" t="s">
        <v>1412</v>
      </c>
      <c r="F399" s="47">
        <v>77.39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SUM(TABELA23[[#This Row],[T1]:[T7]])</f>
        <v>0</v>
      </c>
      <c r="P399" s="47">
        <f>TABELA23[[#This Row],[QTDE]]*TABELA23[[#This Row],[PREÇO]]</f>
        <v>0</v>
      </c>
    </row>
    <row r="400" spans="2:16" x14ac:dyDescent="0.2">
      <c r="B400" s="42" t="s">
        <v>1410</v>
      </c>
      <c r="C400" s="42" t="s">
        <v>1411</v>
      </c>
      <c r="D400" s="42" t="s">
        <v>43</v>
      </c>
      <c r="E400" s="42" t="s">
        <v>1413</v>
      </c>
      <c r="F400" s="47">
        <v>77.39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SUM(TABELA23[[#This Row],[T1]:[T7]])</f>
        <v>0</v>
      </c>
      <c r="P400" s="47">
        <f>TABELA23[[#This Row],[QTDE]]*TABELA23[[#This Row],[PREÇO]]</f>
        <v>0</v>
      </c>
    </row>
    <row r="401" spans="2:16" x14ac:dyDescent="0.2">
      <c r="B401" s="42" t="s">
        <v>1414</v>
      </c>
      <c r="C401" s="42" t="s">
        <v>1415</v>
      </c>
      <c r="D401" s="42" t="s">
        <v>40</v>
      </c>
      <c r="E401" s="42" t="s">
        <v>41</v>
      </c>
      <c r="F401" s="47">
        <v>73.040000000000006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SUM(TABELA23[[#This Row],[T1]:[T7]])</f>
        <v>0</v>
      </c>
      <c r="P401" s="47">
        <f>TABELA23[[#This Row],[QTDE]]*TABELA23[[#This Row],[PREÇO]]</f>
        <v>0</v>
      </c>
    </row>
    <row r="402" spans="2:16" x14ac:dyDescent="0.2">
      <c r="B402" s="42" t="s">
        <v>1414</v>
      </c>
      <c r="C402" s="42" t="s">
        <v>1415</v>
      </c>
      <c r="D402" s="42" t="s">
        <v>38</v>
      </c>
      <c r="E402" s="42" t="s">
        <v>688</v>
      </c>
      <c r="F402" s="47">
        <v>73.040000000000006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SUM(TABELA23[[#This Row],[T1]:[T7]])</f>
        <v>0</v>
      </c>
      <c r="P402" s="47">
        <f>TABELA23[[#This Row],[QTDE]]*TABELA23[[#This Row],[PREÇO]]</f>
        <v>0</v>
      </c>
    </row>
    <row r="403" spans="2:16" x14ac:dyDescent="0.2">
      <c r="B403" s="42" t="s">
        <v>1414</v>
      </c>
      <c r="C403" s="42" t="s">
        <v>1415</v>
      </c>
      <c r="D403" s="42" t="s">
        <v>48</v>
      </c>
      <c r="E403" s="42" t="s">
        <v>673</v>
      </c>
      <c r="F403" s="47">
        <v>73.040000000000006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SUM(TABELA23[[#This Row],[T1]:[T7]])</f>
        <v>0</v>
      </c>
      <c r="P403" s="47">
        <f>TABELA23[[#This Row],[QTDE]]*TABELA23[[#This Row],[PREÇO]]</f>
        <v>0</v>
      </c>
    </row>
    <row r="404" spans="2:16" x14ac:dyDescent="0.2">
      <c r="B404" s="42" t="s">
        <v>1414</v>
      </c>
      <c r="C404" s="42" t="s">
        <v>1415</v>
      </c>
      <c r="D404" s="42" t="s">
        <v>775</v>
      </c>
      <c r="E404" s="42" t="s">
        <v>750</v>
      </c>
      <c r="F404" s="47">
        <v>73.040000000000006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SUM(TABELA23[[#This Row],[T1]:[T7]])</f>
        <v>0</v>
      </c>
      <c r="P404" s="47">
        <f>TABELA23[[#This Row],[QTDE]]*TABELA23[[#This Row],[PREÇO]]</f>
        <v>0</v>
      </c>
    </row>
    <row r="405" spans="2:16" x14ac:dyDescent="0.2">
      <c r="B405" s="42" t="s">
        <v>1414</v>
      </c>
      <c r="C405" s="42" t="s">
        <v>1415</v>
      </c>
      <c r="D405" s="42" t="s">
        <v>749</v>
      </c>
      <c r="E405" s="42" t="s">
        <v>677</v>
      </c>
      <c r="F405" s="47">
        <v>73.040000000000006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SUM(TABELA23[[#This Row],[T1]:[T7]])</f>
        <v>0</v>
      </c>
      <c r="P405" s="47">
        <f>TABELA23[[#This Row],[QTDE]]*TABELA23[[#This Row],[PREÇO]]</f>
        <v>0</v>
      </c>
    </row>
    <row r="406" spans="2:16" x14ac:dyDescent="0.2">
      <c r="B406" s="42" t="s">
        <v>1414</v>
      </c>
      <c r="C406" s="42" t="s">
        <v>1415</v>
      </c>
      <c r="D406" s="42" t="s">
        <v>699</v>
      </c>
      <c r="E406" s="42" t="s">
        <v>700</v>
      </c>
      <c r="F406" s="47">
        <v>73.040000000000006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SUM(TABELA23[[#This Row],[T1]:[T7]])</f>
        <v>0</v>
      </c>
      <c r="P406" s="47">
        <f>TABELA23[[#This Row],[QTDE]]*TABELA23[[#This Row],[PREÇO]]</f>
        <v>0</v>
      </c>
    </row>
    <row r="407" spans="2:16" x14ac:dyDescent="0.2">
      <c r="B407" s="42" t="s">
        <v>1416</v>
      </c>
      <c r="C407" s="42" t="s">
        <v>1417</v>
      </c>
      <c r="D407" s="42" t="s">
        <v>49</v>
      </c>
      <c r="E407" s="42" t="s">
        <v>1412</v>
      </c>
      <c r="F407" s="47">
        <v>77.39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SUM(TABELA23[[#This Row],[T1]:[T7]])</f>
        <v>0</v>
      </c>
      <c r="P407" s="47">
        <f>TABELA23[[#This Row],[QTDE]]*TABELA23[[#This Row],[PREÇO]]</f>
        <v>0</v>
      </c>
    </row>
    <row r="408" spans="2:16" x14ac:dyDescent="0.2">
      <c r="B408" s="42" t="s">
        <v>1416</v>
      </c>
      <c r="C408" s="42" t="s">
        <v>1417</v>
      </c>
      <c r="D408" s="42" t="s">
        <v>43</v>
      </c>
      <c r="E408" s="42" t="s">
        <v>1418</v>
      </c>
      <c r="F408" s="47">
        <v>77.39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SUM(TABELA23[[#This Row],[T1]:[T7]])</f>
        <v>0</v>
      </c>
      <c r="P408" s="47">
        <f>TABELA23[[#This Row],[QTDE]]*TABELA23[[#This Row],[PREÇO]]</f>
        <v>0</v>
      </c>
    </row>
    <row r="409" spans="2:16" x14ac:dyDescent="0.2">
      <c r="B409" s="42" t="s">
        <v>1419</v>
      </c>
      <c r="C409" s="42" t="s">
        <v>1420</v>
      </c>
      <c r="D409" s="42" t="s">
        <v>38</v>
      </c>
      <c r="E409" s="42" t="s">
        <v>688</v>
      </c>
      <c r="F409" s="47">
        <v>73.040000000000006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SUM(TABELA23[[#This Row],[T1]:[T7]])</f>
        <v>0</v>
      </c>
      <c r="P409" s="47">
        <f>TABELA23[[#This Row],[QTDE]]*TABELA23[[#This Row],[PREÇO]]</f>
        <v>0</v>
      </c>
    </row>
    <row r="410" spans="2:16" x14ac:dyDescent="0.2">
      <c r="B410" s="42" t="s">
        <v>1419</v>
      </c>
      <c r="C410" s="42" t="s">
        <v>1420</v>
      </c>
      <c r="D410" s="42" t="s">
        <v>775</v>
      </c>
      <c r="E410" s="42" t="s">
        <v>690</v>
      </c>
      <c r="F410" s="47">
        <v>73.040000000000006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SUM(TABELA23[[#This Row],[T1]:[T7]])</f>
        <v>0</v>
      </c>
      <c r="P410" s="47">
        <f>TABELA23[[#This Row],[QTDE]]*TABELA23[[#This Row],[PREÇO]]</f>
        <v>0</v>
      </c>
    </row>
    <row r="411" spans="2:16" x14ac:dyDescent="0.2">
      <c r="B411" s="42" t="s">
        <v>1419</v>
      </c>
      <c r="C411" s="42" t="s">
        <v>1420</v>
      </c>
      <c r="D411" s="42" t="s">
        <v>699</v>
      </c>
      <c r="E411" s="42" t="s">
        <v>772</v>
      </c>
      <c r="F411" s="47">
        <v>73.040000000000006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SUM(TABELA23[[#This Row],[T1]:[T7]])</f>
        <v>0</v>
      </c>
      <c r="P411" s="47">
        <f>TABELA23[[#This Row],[QTDE]]*TABELA23[[#This Row],[PREÇO]]</f>
        <v>0</v>
      </c>
    </row>
    <row r="412" spans="2:16" x14ac:dyDescent="0.2">
      <c r="B412" s="42" t="s">
        <v>1421</v>
      </c>
      <c r="C412" s="42" t="s">
        <v>1422</v>
      </c>
      <c r="D412" s="42" t="s">
        <v>775</v>
      </c>
      <c r="E412" s="42" t="s">
        <v>750</v>
      </c>
      <c r="F412" s="47">
        <v>216.52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SUM(TABELA23[[#This Row],[T1]:[T7]])</f>
        <v>0</v>
      </c>
      <c r="P412" s="47">
        <f>TABELA23[[#This Row],[QTDE]]*TABELA23[[#This Row],[PREÇO]]</f>
        <v>0</v>
      </c>
    </row>
    <row r="413" spans="2:16" x14ac:dyDescent="0.2">
      <c r="B413" s="42" t="s">
        <v>1423</v>
      </c>
      <c r="C413" s="42" t="s">
        <v>1424</v>
      </c>
      <c r="D413" s="42" t="s">
        <v>34</v>
      </c>
      <c r="E413" s="42" t="s">
        <v>35</v>
      </c>
      <c r="F413" s="47">
        <v>99.13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SUM(TABELA23[[#This Row],[T1]:[T7]])</f>
        <v>0</v>
      </c>
      <c r="P413" s="47">
        <f>TABELA23[[#This Row],[QTDE]]*TABELA23[[#This Row],[PREÇO]]</f>
        <v>0</v>
      </c>
    </row>
    <row r="414" spans="2:16" x14ac:dyDescent="0.2">
      <c r="B414" s="42" t="s">
        <v>1423</v>
      </c>
      <c r="C414" s="42" t="s">
        <v>1424</v>
      </c>
      <c r="D414" s="42" t="s">
        <v>38</v>
      </c>
      <c r="E414" s="42" t="s">
        <v>688</v>
      </c>
      <c r="F414" s="47">
        <v>99.13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SUM(TABELA23[[#This Row],[T1]:[T7]])</f>
        <v>0</v>
      </c>
      <c r="P414" s="47">
        <f>TABELA23[[#This Row],[QTDE]]*TABELA23[[#This Row],[PREÇO]]</f>
        <v>0</v>
      </c>
    </row>
    <row r="415" spans="2:16" x14ac:dyDescent="0.2">
      <c r="B415" s="42" t="s">
        <v>1423</v>
      </c>
      <c r="C415" s="42" t="s">
        <v>1424</v>
      </c>
      <c r="D415" s="42" t="s">
        <v>775</v>
      </c>
      <c r="E415" s="42" t="s">
        <v>750</v>
      </c>
      <c r="F415" s="47">
        <v>99.13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SUM(TABELA23[[#This Row],[T1]:[T7]])</f>
        <v>0</v>
      </c>
      <c r="P415" s="47">
        <f>TABELA23[[#This Row],[QTDE]]*TABELA23[[#This Row],[PREÇO]]</f>
        <v>0</v>
      </c>
    </row>
    <row r="416" spans="2:16" x14ac:dyDescent="0.2">
      <c r="B416" s="42" t="s">
        <v>1423</v>
      </c>
      <c r="C416" s="42" t="s">
        <v>1424</v>
      </c>
      <c r="D416" s="42" t="s">
        <v>689</v>
      </c>
      <c r="E416" s="42" t="s">
        <v>690</v>
      </c>
      <c r="F416" s="47">
        <v>99.13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SUM(TABELA23[[#This Row],[T1]:[T7]])</f>
        <v>0</v>
      </c>
      <c r="P416" s="47">
        <f>TABELA23[[#This Row],[QTDE]]*TABELA23[[#This Row],[PREÇO]]</f>
        <v>0</v>
      </c>
    </row>
    <row r="417" spans="2:16" x14ac:dyDescent="0.2">
      <c r="B417" s="42" t="s">
        <v>1425</v>
      </c>
      <c r="C417" s="42" t="s">
        <v>1426</v>
      </c>
      <c r="D417" s="42" t="s">
        <v>38</v>
      </c>
      <c r="E417" s="42" t="s">
        <v>688</v>
      </c>
      <c r="F417" s="47">
        <v>68.7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SUM(TABELA23[[#This Row],[T1]:[T7]])</f>
        <v>0</v>
      </c>
      <c r="P417" s="47">
        <f>TABELA23[[#This Row],[QTDE]]*TABELA23[[#This Row],[PREÇO]]</f>
        <v>0</v>
      </c>
    </row>
    <row r="418" spans="2:16" x14ac:dyDescent="0.2">
      <c r="B418" s="42" t="s">
        <v>1427</v>
      </c>
      <c r="C418" s="42" t="s">
        <v>1428</v>
      </c>
      <c r="D418" s="42" t="s">
        <v>699</v>
      </c>
      <c r="E418" s="42" t="s">
        <v>700</v>
      </c>
      <c r="F418" s="47">
        <v>64.349999999999994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SUM(TABELA23[[#This Row],[T1]:[T7]])</f>
        <v>0</v>
      </c>
      <c r="P418" s="47">
        <f>TABELA23[[#This Row],[QTDE]]*TABELA23[[#This Row],[PREÇO]]</f>
        <v>0</v>
      </c>
    </row>
    <row r="419" spans="2:16" x14ac:dyDescent="0.2">
      <c r="B419" s="42" t="s">
        <v>1429</v>
      </c>
      <c r="C419" s="42" t="s">
        <v>1430</v>
      </c>
      <c r="D419" s="42" t="s">
        <v>767</v>
      </c>
      <c r="E419" s="42" t="s">
        <v>768</v>
      </c>
      <c r="F419" s="47">
        <v>120.87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SUM(TABELA23[[#This Row],[T1]:[T7]])</f>
        <v>0</v>
      </c>
      <c r="P419" s="47">
        <f>TABELA23[[#This Row],[QTDE]]*TABELA23[[#This Row],[PREÇO]]</f>
        <v>0</v>
      </c>
    </row>
    <row r="420" spans="2:16" x14ac:dyDescent="0.2">
      <c r="B420" s="42" t="s">
        <v>1431</v>
      </c>
      <c r="C420" s="42" t="s">
        <v>1432</v>
      </c>
      <c r="D420" s="42" t="s">
        <v>689</v>
      </c>
      <c r="E420" s="42" t="s">
        <v>690</v>
      </c>
      <c r="F420" s="47">
        <v>42.61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SUM(TABELA23[[#This Row],[T1]:[T7]])</f>
        <v>0</v>
      </c>
      <c r="P420" s="47">
        <f>TABELA23[[#This Row],[QTDE]]*TABELA23[[#This Row],[PREÇO]]</f>
        <v>0</v>
      </c>
    </row>
    <row r="421" spans="2:16" x14ac:dyDescent="0.2">
      <c r="B421" s="42" t="s">
        <v>1433</v>
      </c>
      <c r="C421" s="42" t="s">
        <v>1434</v>
      </c>
      <c r="D421" s="42" t="s">
        <v>38</v>
      </c>
      <c r="E421" s="42" t="s">
        <v>688</v>
      </c>
      <c r="F421" s="47">
        <v>68.7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SUM(TABELA23[[#This Row],[T1]:[T7]])</f>
        <v>0</v>
      </c>
      <c r="P421" s="47">
        <f>TABELA23[[#This Row],[QTDE]]*TABELA23[[#This Row],[PREÇO]]</f>
        <v>0</v>
      </c>
    </row>
    <row r="422" spans="2:16" x14ac:dyDescent="0.2">
      <c r="B422" s="42" t="s">
        <v>1433</v>
      </c>
      <c r="C422" s="42" t="s">
        <v>1434</v>
      </c>
      <c r="D422" s="42" t="s">
        <v>775</v>
      </c>
      <c r="E422" s="42" t="s">
        <v>750</v>
      </c>
      <c r="F422" s="47">
        <v>68.7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SUM(TABELA23[[#This Row],[T1]:[T7]])</f>
        <v>0</v>
      </c>
      <c r="P422" s="47">
        <f>TABELA23[[#This Row],[QTDE]]*TABELA23[[#This Row],[PREÇO]]</f>
        <v>0</v>
      </c>
    </row>
    <row r="423" spans="2:16" x14ac:dyDescent="0.2">
      <c r="B423" s="42" t="s">
        <v>1433</v>
      </c>
      <c r="C423" s="42" t="s">
        <v>1434</v>
      </c>
      <c r="D423" s="42" t="s">
        <v>771</v>
      </c>
      <c r="E423" s="42" t="s">
        <v>772</v>
      </c>
      <c r="F423" s="47">
        <v>68.7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SUM(TABELA23[[#This Row],[T1]:[T7]])</f>
        <v>0</v>
      </c>
      <c r="P423" s="47">
        <f>TABELA23[[#This Row],[QTDE]]*TABELA23[[#This Row],[PREÇO]]</f>
        <v>0</v>
      </c>
    </row>
    <row r="424" spans="2:16" x14ac:dyDescent="0.2">
      <c r="B424" s="42" t="s">
        <v>1435</v>
      </c>
      <c r="C424" s="42" t="s">
        <v>1436</v>
      </c>
      <c r="D424" s="42" t="s">
        <v>775</v>
      </c>
      <c r="E424" s="42" t="s">
        <v>750</v>
      </c>
      <c r="F424" s="47">
        <v>77.39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SUM(TABELA23[[#This Row],[T1]:[T7]])</f>
        <v>0</v>
      </c>
      <c r="P424" s="47">
        <f>TABELA23[[#This Row],[QTDE]]*TABELA23[[#This Row],[PREÇO]]</f>
        <v>0</v>
      </c>
    </row>
    <row r="425" spans="2:16" x14ac:dyDescent="0.2">
      <c r="B425" s="42" t="s">
        <v>1435</v>
      </c>
      <c r="C425" s="42" t="s">
        <v>1436</v>
      </c>
      <c r="D425" s="42" t="s">
        <v>771</v>
      </c>
      <c r="E425" s="42" t="s">
        <v>772</v>
      </c>
      <c r="F425" s="47">
        <v>77.39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SUM(TABELA23[[#This Row],[T1]:[T7]])</f>
        <v>0</v>
      </c>
      <c r="P425" s="47">
        <f>TABELA23[[#This Row],[QTDE]]*TABELA23[[#This Row],[PREÇO]]</f>
        <v>0</v>
      </c>
    </row>
    <row r="426" spans="2:16" x14ac:dyDescent="0.2">
      <c r="B426" s="42" t="s">
        <v>1437</v>
      </c>
      <c r="C426" s="42" t="s">
        <v>1438</v>
      </c>
      <c r="D426" s="42" t="s">
        <v>38</v>
      </c>
      <c r="E426" s="42" t="s">
        <v>688</v>
      </c>
      <c r="F426" s="47">
        <v>99.13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SUM(TABELA23[[#This Row],[T1]:[T7]])</f>
        <v>0</v>
      </c>
      <c r="P426" s="47">
        <f>TABELA23[[#This Row],[QTDE]]*TABELA23[[#This Row],[PREÇO]]</f>
        <v>0</v>
      </c>
    </row>
    <row r="427" spans="2:16" x14ac:dyDescent="0.2">
      <c r="B427" s="42" t="s">
        <v>1437</v>
      </c>
      <c r="C427" s="42" t="s">
        <v>1438</v>
      </c>
      <c r="D427" s="42" t="s">
        <v>791</v>
      </c>
      <c r="E427" s="42" t="s">
        <v>713</v>
      </c>
      <c r="F427" s="47">
        <v>99.13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SUM(TABELA23[[#This Row],[T1]:[T7]])</f>
        <v>0</v>
      </c>
      <c r="P427" s="47">
        <f>TABELA23[[#This Row],[QTDE]]*TABELA23[[#This Row],[PREÇO]]</f>
        <v>0</v>
      </c>
    </row>
    <row r="428" spans="2:16" x14ac:dyDescent="0.2">
      <c r="B428" s="42" t="s">
        <v>1439</v>
      </c>
      <c r="C428" s="42" t="s">
        <v>1440</v>
      </c>
      <c r="D428" s="42" t="s">
        <v>34</v>
      </c>
      <c r="E428" s="42" t="s">
        <v>35</v>
      </c>
      <c r="F428" s="47">
        <v>103.48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SUM(TABELA23[[#This Row],[T1]:[T7]])</f>
        <v>0</v>
      </c>
      <c r="P428" s="47">
        <f>TABELA23[[#This Row],[QTDE]]*TABELA23[[#This Row],[PREÇO]]</f>
        <v>0</v>
      </c>
    </row>
    <row r="429" spans="2:16" x14ac:dyDescent="0.2">
      <c r="B429" s="42" t="s">
        <v>1439</v>
      </c>
      <c r="C429" s="42" t="s">
        <v>1440</v>
      </c>
      <c r="D429" s="42" t="s">
        <v>735</v>
      </c>
      <c r="E429" s="42" t="s">
        <v>736</v>
      </c>
      <c r="F429" s="47">
        <v>103.48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SUM(TABELA23[[#This Row],[T1]:[T7]])</f>
        <v>0</v>
      </c>
      <c r="P429" s="47">
        <f>TABELA23[[#This Row],[QTDE]]*TABELA23[[#This Row],[PREÇO]]</f>
        <v>0</v>
      </c>
    </row>
    <row r="430" spans="2:16" x14ac:dyDescent="0.2">
      <c r="B430" s="42" t="s">
        <v>1441</v>
      </c>
      <c r="C430" s="42" t="s">
        <v>1442</v>
      </c>
      <c r="D430" s="42" t="s">
        <v>1245</v>
      </c>
      <c r="E430" s="42" t="s">
        <v>750</v>
      </c>
      <c r="F430" s="47">
        <v>116.52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SUM(TABELA23[[#This Row],[T1]:[T7]])</f>
        <v>0</v>
      </c>
      <c r="P430" s="47">
        <f>TABELA23[[#This Row],[QTDE]]*TABELA23[[#This Row],[PREÇO]]</f>
        <v>0</v>
      </c>
    </row>
    <row r="431" spans="2:16" x14ac:dyDescent="0.2">
      <c r="B431" s="42" t="s">
        <v>1443</v>
      </c>
      <c r="C431" s="42" t="s">
        <v>1444</v>
      </c>
      <c r="D431" s="42" t="s">
        <v>38</v>
      </c>
      <c r="E431" s="42" t="s">
        <v>688</v>
      </c>
      <c r="F431" s="47">
        <v>129.57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SUM(TABELA23[[#This Row],[T1]:[T7]])</f>
        <v>0</v>
      </c>
      <c r="P431" s="47">
        <f>TABELA23[[#This Row],[QTDE]]*TABELA23[[#This Row],[PREÇO]]</f>
        <v>0</v>
      </c>
    </row>
    <row r="432" spans="2:16" x14ac:dyDescent="0.2">
      <c r="B432" s="42" t="s">
        <v>1443</v>
      </c>
      <c r="C432" s="42" t="s">
        <v>1444</v>
      </c>
      <c r="D432" s="42" t="s">
        <v>46</v>
      </c>
      <c r="E432" s="42" t="s">
        <v>685</v>
      </c>
      <c r="F432" s="47">
        <v>129.57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SUM(TABELA23[[#This Row],[T1]:[T7]])</f>
        <v>0</v>
      </c>
      <c r="P432" s="47">
        <f>TABELA23[[#This Row],[QTDE]]*TABELA23[[#This Row],[PREÇO]]</f>
        <v>0</v>
      </c>
    </row>
    <row r="433" spans="2:16" x14ac:dyDescent="0.2">
      <c r="B433" s="42" t="s">
        <v>1445</v>
      </c>
      <c r="C433" s="42" t="s">
        <v>1446</v>
      </c>
      <c r="D433" s="42" t="s">
        <v>38</v>
      </c>
      <c r="E433" s="42" t="s">
        <v>688</v>
      </c>
      <c r="F433" s="47">
        <v>173.04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SUM(TABELA23[[#This Row],[T1]:[T7]])</f>
        <v>0</v>
      </c>
      <c r="P433" s="47">
        <f>TABELA23[[#This Row],[QTDE]]*TABELA23[[#This Row],[PREÇO]]</f>
        <v>0</v>
      </c>
    </row>
    <row r="434" spans="2:16" x14ac:dyDescent="0.2">
      <c r="B434" s="42" t="s">
        <v>1447</v>
      </c>
      <c r="C434" s="42" t="s">
        <v>1448</v>
      </c>
      <c r="D434" s="42" t="s">
        <v>791</v>
      </c>
      <c r="E434" s="42" t="s">
        <v>713</v>
      </c>
      <c r="F434" s="47">
        <v>103.48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SUM(TABELA23[[#This Row],[T1]:[T7]])</f>
        <v>0</v>
      </c>
      <c r="P434" s="47">
        <f>TABELA23[[#This Row],[QTDE]]*TABELA23[[#This Row],[PREÇO]]</f>
        <v>0</v>
      </c>
    </row>
    <row r="435" spans="2:16" x14ac:dyDescent="0.2">
      <c r="B435" s="42" t="s">
        <v>1449</v>
      </c>
      <c r="C435" s="42" t="s">
        <v>1450</v>
      </c>
      <c r="D435" s="42" t="s">
        <v>791</v>
      </c>
      <c r="E435" s="42" t="s">
        <v>713</v>
      </c>
      <c r="F435" s="47">
        <v>86.09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SUM(TABELA23[[#This Row],[T1]:[T7]])</f>
        <v>0</v>
      </c>
      <c r="P435" s="47">
        <f>TABELA23[[#This Row],[QTDE]]*TABELA23[[#This Row],[PREÇO]]</f>
        <v>0</v>
      </c>
    </row>
    <row r="436" spans="2:16" x14ac:dyDescent="0.2">
      <c r="B436" s="42" t="s">
        <v>1451</v>
      </c>
      <c r="C436" s="42" t="s">
        <v>1452</v>
      </c>
      <c r="D436" s="42" t="s">
        <v>695</v>
      </c>
      <c r="E436" s="42" t="s">
        <v>885</v>
      </c>
      <c r="F436" s="47">
        <v>129.57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SUM(TABELA23[[#This Row],[T1]:[T7]])</f>
        <v>0</v>
      </c>
      <c r="P436" s="47">
        <f>TABELA23[[#This Row],[QTDE]]*TABELA23[[#This Row],[PREÇO]]</f>
        <v>0</v>
      </c>
    </row>
    <row r="437" spans="2:16" x14ac:dyDescent="0.2">
      <c r="B437" s="42" t="s">
        <v>1453</v>
      </c>
      <c r="C437" s="42" t="s">
        <v>1454</v>
      </c>
      <c r="D437" s="42" t="s">
        <v>877</v>
      </c>
      <c r="E437" s="42" t="s">
        <v>878</v>
      </c>
      <c r="F437" s="47">
        <v>116.52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SUM(TABELA23[[#This Row],[T1]:[T7]])</f>
        <v>0</v>
      </c>
      <c r="P437" s="47">
        <f>TABELA23[[#This Row],[QTDE]]*TABELA23[[#This Row],[PREÇO]]</f>
        <v>0</v>
      </c>
    </row>
    <row r="438" spans="2:16" x14ac:dyDescent="0.2">
      <c r="B438" s="42" t="s">
        <v>1455</v>
      </c>
      <c r="C438" s="42" t="s">
        <v>1456</v>
      </c>
      <c r="D438" s="42" t="s">
        <v>825</v>
      </c>
      <c r="E438" s="42" t="s">
        <v>826</v>
      </c>
      <c r="F438" s="47">
        <v>99.13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SUM(TABELA23[[#This Row],[T1]:[T7]])</f>
        <v>0</v>
      </c>
      <c r="P438" s="47">
        <f>TABELA23[[#This Row],[QTDE]]*TABELA23[[#This Row],[PREÇO]]</f>
        <v>0</v>
      </c>
    </row>
    <row r="439" spans="2:16" x14ac:dyDescent="0.2">
      <c r="B439" s="42" t="s">
        <v>1457</v>
      </c>
      <c r="C439" s="42" t="s">
        <v>1458</v>
      </c>
      <c r="D439" s="42" t="s">
        <v>761</v>
      </c>
      <c r="E439" s="42" t="s">
        <v>762</v>
      </c>
      <c r="F439" s="47">
        <v>99.13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SUM(TABELA23[[#This Row],[T1]:[T7]])</f>
        <v>0</v>
      </c>
      <c r="P439" s="47">
        <f>TABELA23[[#This Row],[QTDE]]*TABELA23[[#This Row],[PREÇO]]</f>
        <v>0</v>
      </c>
    </row>
    <row r="440" spans="2:16" x14ac:dyDescent="0.2">
      <c r="B440" s="42" t="s">
        <v>1459</v>
      </c>
      <c r="C440" s="42" t="s">
        <v>1460</v>
      </c>
      <c r="D440" s="42" t="s">
        <v>825</v>
      </c>
      <c r="E440" s="42" t="s">
        <v>826</v>
      </c>
      <c r="F440" s="47">
        <v>107.83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SUM(TABELA23[[#This Row],[T1]:[T7]])</f>
        <v>0</v>
      </c>
      <c r="P440" s="47">
        <f>TABELA23[[#This Row],[QTDE]]*TABELA23[[#This Row],[PREÇO]]</f>
        <v>0</v>
      </c>
    </row>
    <row r="441" spans="2:16" x14ac:dyDescent="0.2">
      <c r="B441" s="42" t="s">
        <v>1461</v>
      </c>
      <c r="C441" s="42" t="s">
        <v>1462</v>
      </c>
      <c r="D441" s="42" t="s">
        <v>801</v>
      </c>
      <c r="E441" s="42" t="s">
        <v>704</v>
      </c>
      <c r="F441" s="47">
        <v>99.13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SUM(TABELA23[[#This Row],[T1]:[T7]])</f>
        <v>0</v>
      </c>
      <c r="P441" s="47">
        <f>TABELA23[[#This Row],[QTDE]]*TABELA23[[#This Row],[PREÇO]]</f>
        <v>0</v>
      </c>
    </row>
    <row r="442" spans="2:16" x14ac:dyDescent="0.2">
      <c r="B442" s="42" t="s">
        <v>1463</v>
      </c>
      <c r="C442" s="42" t="s">
        <v>1464</v>
      </c>
      <c r="D442" s="42" t="s">
        <v>695</v>
      </c>
      <c r="E442" s="42" t="s">
        <v>885</v>
      </c>
      <c r="F442" s="47">
        <v>107.83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SUM(TABELA23[[#This Row],[T1]:[T7]])</f>
        <v>0</v>
      </c>
      <c r="P442" s="47">
        <f>TABELA23[[#This Row],[QTDE]]*TABELA23[[#This Row],[PREÇO]]</f>
        <v>0</v>
      </c>
    </row>
    <row r="443" spans="2:16" x14ac:dyDescent="0.2">
      <c r="B443" s="42" t="s">
        <v>1465</v>
      </c>
      <c r="C443" s="42" t="s">
        <v>1466</v>
      </c>
      <c r="D443" s="42" t="s">
        <v>753</v>
      </c>
      <c r="E443" s="42" t="s">
        <v>902</v>
      </c>
      <c r="F443" s="47">
        <v>99.13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SUM(TABELA23[[#This Row],[T1]:[T7]])</f>
        <v>0</v>
      </c>
      <c r="P443" s="47">
        <f>TABELA23[[#This Row],[QTDE]]*TABELA23[[#This Row],[PREÇO]]</f>
        <v>0</v>
      </c>
    </row>
    <row r="444" spans="2:16" x14ac:dyDescent="0.2">
      <c r="B444" s="42" t="s">
        <v>1467</v>
      </c>
      <c r="C444" s="42" t="s">
        <v>1468</v>
      </c>
      <c r="D444" s="42" t="s">
        <v>707</v>
      </c>
      <c r="E444" s="42" t="s">
        <v>808</v>
      </c>
      <c r="F444" s="47">
        <v>99.13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SUM(TABELA23[[#This Row],[T1]:[T7]])</f>
        <v>0</v>
      </c>
      <c r="P444" s="47">
        <f>TABELA23[[#This Row],[QTDE]]*TABELA23[[#This Row],[PREÇO]]</f>
        <v>0</v>
      </c>
    </row>
    <row r="445" spans="2:16" x14ac:dyDescent="0.2">
      <c r="B445" s="42" t="s">
        <v>1467</v>
      </c>
      <c r="C445" s="42" t="s">
        <v>1468</v>
      </c>
      <c r="D445" s="42" t="s">
        <v>771</v>
      </c>
      <c r="E445" s="42" t="s">
        <v>772</v>
      </c>
      <c r="F445" s="47">
        <v>99.13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SUM(TABELA23[[#This Row],[T1]:[T7]])</f>
        <v>0</v>
      </c>
      <c r="P445" s="47">
        <f>TABELA23[[#This Row],[QTDE]]*TABELA23[[#This Row],[PREÇO]]</f>
        <v>0</v>
      </c>
    </row>
    <row r="446" spans="2:16" x14ac:dyDescent="0.2">
      <c r="B446" s="42" t="s">
        <v>1469</v>
      </c>
      <c r="C446" s="42" t="s">
        <v>1470</v>
      </c>
      <c r="D446" s="42" t="s">
        <v>34</v>
      </c>
      <c r="E446" s="42" t="s">
        <v>35</v>
      </c>
      <c r="F446" s="47">
        <v>86.09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SUM(TABELA23[[#This Row],[T1]:[T7]])</f>
        <v>0</v>
      </c>
      <c r="P446" s="47">
        <f>TABELA23[[#This Row],[QTDE]]*TABELA23[[#This Row],[PREÇO]]</f>
        <v>0</v>
      </c>
    </row>
    <row r="447" spans="2:16" x14ac:dyDescent="0.2">
      <c r="B447" s="42" t="s">
        <v>1469</v>
      </c>
      <c r="C447" s="42" t="s">
        <v>1470</v>
      </c>
      <c r="D447" s="42" t="s">
        <v>38</v>
      </c>
      <c r="E447" s="42" t="s">
        <v>688</v>
      </c>
      <c r="F447" s="47">
        <v>86.09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SUM(TABELA23[[#This Row],[T1]:[T7]])</f>
        <v>0</v>
      </c>
      <c r="P447" s="47">
        <f>TABELA23[[#This Row],[QTDE]]*TABELA23[[#This Row],[PREÇO]]</f>
        <v>0</v>
      </c>
    </row>
    <row r="448" spans="2:16" x14ac:dyDescent="0.2">
      <c r="B448" s="42" t="s">
        <v>1469</v>
      </c>
      <c r="C448" s="42" t="s">
        <v>1470</v>
      </c>
      <c r="D448" s="42" t="s">
        <v>48</v>
      </c>
      <c r="E448" s="42" t="s">
        <v>673</v>
      </c>
      <c r="F448" s="47">
        <v>86.09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SUM(TABELA23[[#This Row],[T1]:[T7]])</f>
        <v>0</v>
      </c>
      <c r="P448" s="47">
        <f>TABELA23[[#This Row],[QTDE]]*TABELA23[[#This Row],[PREÇO]]</f>
        <v>0</v>
      </c>
    </row>
    <row r="449" spans="2:16" x14ac:dyDescent="0.2">
      <c r="B449" s="42" t="s">
        <v>1469</v>
      </c>
      <c r="C449" s="42" t="s">
        <v>1470</v>
      </c>
      <c r="D449" s="42" t="s">
        <v>791</v>
      </c>
      <c r="E449" s="42" t="s">
        <v>713</v>
      </c>
      <c r="F449" s="47">
        <v>86.09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SUM(TABELA23[[#This Row],[T1]:[T7]])</f>
        <v>0</v>
      </c>
      <c r="P449" s="47">
        <f>TABELA23[[#This Row],[QTDE]]*TABELA23[[#This Row],[PREÇO]]</f>
        <v>0</v>
      </c>
    </row>
    <row r="450" spans="2:16" x14ac:dyDescent="0.2">
      <c r="B450" s="42" t="s">
        <v>1471</v>
      </c>
      <c r="C450" s="42" t="s">
        <v>1472</v>
      </c>
      <c r="D450" s="42" t="s">
        <v>34</v>
      </c>
      <c r="E450" s="42" t="s">
        <v>1473</v>
      </c>
      <c r="F450" s="47">
        <v>99.13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SUM(TABELA23[[#This Row],[T1]:[T7]])</f>
        <v>0</v>
      </c>
      <c r="P450" s="47">
        <f>TABELA23[[#This Row],[QTDE]]*TABELA23[[#This Row],[PREÇO]]</f>
        <v>0</v>
      </c>
    </row>
    <row r="451" spans="2:16" x14ac:dyDescent="0.2">
      <c r="B451" s="42" t="s">
        <v>1471</v>
      </c>
      <c r="C451" s="42" t="s">
        <v>1472</v>
      </c>
      <c r="D451" s="42" t="s">
        <v>38</v>
      </c>
      <c r="E451" s="42" t="s">
        <v>1474</v>
      </c>
      <c r="F451" s="47">
        <v>99.13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SUM(TABELA23[[#This Row],[T1]:[T7]])</f>
        <v>0</v>
      </c>
      <c r="P451" s="47">
        <f>TABELA23[[#This Row],[QTDE]]*TABELA23[[#This Row],[PREÇO]]</f>
        <v>0</v>
      </c>
    </row>
    <row r="452" spans="2:16" x14ac:dyDescent="0.2">
      <c r="B452" s="42" t="s">
        <v>1471</v>
      </c>
      <c r="C452" s="42" t="s">
        <v>1472</v>
      </c>
      <c r="D452" s="42" t="s">
        <v>775</v>
      </c>
      <c r="E452" s="42" t="s">
        <v>1475</v>
      </c>
      <c r="F452" s="47">
        <v>99.13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SUM(TABELA23[[#This Row],[T1]:[T7]])</f>
        <v>0</v>
      </c>
      <c r="P452" s="47">
        <f>TABELA23[[#This Row],[QTDE]]*TABELA23[[#This Row],[PREÇO]]</f>
        <v>0</v>
      </c>
    </row>
    <row r="453" spans="2:16" x14ac:dyDescent="0.2">
      <c r="B453" s="42" t="s">
        <v>1471</v>
      </c>
      <c r="C453" s="42" t="s">
        <v>1472</v>
      </c>
      <c r="D453" s="42" t="s">
        <v>771</v>
      </c>
      <c r="E453" s="42" t="s">
        <v>1476</v>
      </c>
      <c r="F453" s="47">
        <v>99.13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SUM(TABELA23[[#This Row],[T1]:[T7]])</f>
        <v>0</v>
      </c>
      <c r="P453" s="47">
        <f>TABELA23[[#This Row],[QTDE]]*TABELA23[[#This Row],[PREÇO]]</f>
        <v>0</v>
      </c>
    </row>
    <row r="454" spans="2:16" x14ac:dyDescent="0.2">
      <c r="B454" s="42" t="s">
        <v>1477</v>
      </c>
      <c r="C454" s="42" t="s">
        <v>1478</v>
      </c>
      <c r="D454" s="42" t="s">
        <v>775</v>
      </c>
      <c r="E454" s="42" t="s">
        <v>1479</v>
      </c>
      <c r="F454" s="47">
        <v>107.83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SUM(TABELA23[[#This Row],[T1]:[T7]])</f>
        <v>0</v>
      </c>
      <c r="P454" s="47">
        <f>TABELA23[[#This Row],[QTDE]]*TABELA23[[#This Row],[PREÇO]]</f>
        <v>0</v>
      </c>
    </row>
    <row r="455" spans="2:16" x14ac:dyDescent="0.2">
      <c r="B455" s="42" t="s">
        <v>1477</v>
      </c>
      <c r="C455" s="42" t="s">
        <v>1478</v>
      </c>
      <c r="D455" s="42" t="s">
        <v>771</v>
      </c>
      <c r="E455" s="42" t="s">
        <v>1480</v>
      </c>
      <c r="F455" s="47">
        <v>107.83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SUM(TABELA23[[#This Row],[T1]:[T7]])</f>
        <v>0</v>
      </c>
      <c r="P455" s="47">
        <f>TABELA23[[#This Row],[QTDE]]*TABELA23[[#This Row],[PREÇO]]</f>
        <v>0</v>
      </c>
    </row>
    <row r="456" spans="2:16" x14ac:dyDescent="0.2">
      <c r="B456" s="42" t="s">
        <v>1481</v>
      </c>
      <c r="C456" s="42" t="s">
        <v>1482</v>
      </c>
      <c r="D456" s="42" t="s">
        <v>34</v>
      </c>
      <c r="E456" s="42" t="s">
        <v>35</v>
      </c>
      <c r="F456" s="47">
        <v>129.57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SUM(TABELA23[[#This Row],[T1]:[T7]])</f>
        <v>0</v>
      </c>
      <c r="P456" s="47">
        <f>TABELA23[[#This Row],[QTDE]]*TABELA23[[#This Row],[PREÇO]]</f>
        <v>0</v>
      </c>
    </row>
    <row r="457" spans="2:16" x14ac:dyDescent="0.2">
      <c r="B457" s="42" t="s">
        <v>1481</v>
      </c>
      <c r="C457" s="42" t="s">
        <v>1482</v>
      </c>
      <c r="D457" s="42" t="s">
        <v>38</v>
      </c>
      <c r="E457" s="42" t="s">
        <v>688</v>
      </c>
      <c r="F457" s="47">
        <v>129.57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SUM(TABELA23[[#This Row],[T1]:[T7]])</f>
        <v>0</v>
      </c>
      <c r="P457" s="47">
        <f>TABELA23[[#This Row],[QTDE]]*TABELA23[[#This Row],[PREÇO]]</f>
        <v>0</v>
      </c>
    </row>
    <row r="458" spans="2:16" x14ac:dyDescent="0.2">
      <c r="B458" s="42" t="s">
        <v>1481</v>
      </c>
      <c r="C458" s="42" t="s">
        <v>1482</v>
      </c>
      <c r="D458" s="42" t="s">
        <v>778</v>
      </c>
      <c r="E458" s="42" t="s">
        <v>849</v>
      </c>
      <c r="F458" s="47">
        <v>129.57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SUM(TABELA23[[#This Row],[T1]:[T7]])</f>
        <v>0</v>
      </c>
      <c r="P458" s="47">
        <f>TABELA23[[#This Row],[QTDE]]*TABELA23[[#This Row],[PREÇO]]</f>
        <v>0</v>
      </c>
    </row>
    <row r="459" spans="2:16" x14ac:dyDescent="0.2">
      <c r="B459" s="42" t="s">
        <v>1483</v>
      </c>
      <c r="C459" s="42" t="s">
        <v>1484</v>
      </c>
      <c r="D459" s="42" t="s">
        <v>709</v>
      </c>
      <c r="E459" s="42" t="s">
        <v>710</v>
      </c>
      <c r="F459" s="47">
        <v>77.39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SUM(TABELA23[[#This Row],[T1]:[T7]])</f>
        <v>0</v>
      </c>
      <c r="P459" s="47">
        <f>TABELA23[[#This Row],[QTDE]]*TABELA23[[#This Row],[PREÇO]]</f>
        <v>0</v>
      </c>
    </row>
    <row r="460" spans="2:16" x14ac:dyDescent="0.2">
      <c r="B460" s="42" t="s">
        <v>1483</v>
      </c>
      <c r="C460" s="42" t="s">
        <v>1484</v>
      </c>
      <c r="D460" s="42" t="s">
        <v>669</v>
      </c>
      <c r="E460" s="42" t="s">
        <v>670</v>
      </c>
      <c r="F460" s="47">
        <v>77.39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SUM(TABELA23[[#This Row],[T1]:[T7]])</f>
        <v>0</v>
      </c>
      <c r="P460" s="47">
        <f>TABELA23[[#This Row],[QTDE]]*TABELA23[[#This Row],[PREÇO]]</f>
        <v>0</v>
      </c>
    </row>
    <row r="461" spans="2:16" x14ac:dyDescent="0.2">
      <c r="B461" s="42" t="s">
        <v>1485</v>
      </c>
      <c r="C461" s="42" t="s">
        <v>1486</v>
      </c>
      <c r="D461" s="42" t="s">
        <v>801</v>
      </c>
      <c r="E461" s="42" t="s">
        <v>1487</v>
      </c>
      <c r="F461" s="47">
        <v>151.30000000000001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SUM(TABELA23[[#This Row],[T1]:[T7]])</f>
        <v>0</v>
      </c>
      <c r="P461" s="47">
        <f>TABELA23[[#This Row],[QTDE]]*TABELA23[[#This Row],[PREÇO]]</f>
        <v>0</v>
      </c>
    </row>
    <row r="462" spans="2:16" x14ac:dyDescent="0.2">
      <c r="B462" s="42" t="s">
        <v>1488</v>
      </c>
      <c r="C462" s="42" t="s">
        <v>1489</v>
      </c>
      <c r="D462" s="42" t="s">
        <v>791</v>
      </c>
      <c r="E462" s="42" t="s">
        <v>750</v>
      </c>
      <c r="F462" s="47">
        <v>86.09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SUM(TABELA23[[#This Row],[T1]:[T7]])</f>
        <v>0</v>
      </c>
      <c r="P462" s="47">
        <f>TABELA23[[#This Row],[QTDE]]*TABELA23[[#This Row],[PREÇO]]</f>
        <v>0</v>
      </c>
    </row>
    <row r="463" spans="2:16" x14ac:dyDescent="0.2">
      <c r="B463" s="42" t="s">
        <v>1490</v>
      </c>
      <c r="C463" s="42" t="s">
        <v>1491</v>
      </c>
      <c r="D463" s="42" t="s">
        <v>791</v>
      </c>
      <c r="E463" s="42" t="s">
        <v>750</v>
      </c>
      <c r="F463" s="47">
        <v>129.57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SUM(TABELA23[[#This Row],[T1]:[T7]])</f>
        <v>0</v>
      </c>
      <c r="P463" s="47">
        <f>TABELA23[[#This Row],[QTDE]]*TABELA23[[#This Row],[PREÇO]]</f>
        <v>0</v>
      </c>
    </row>
    <row r="464" spans="2:16" x14ac:dyDescent="0.2">
      <c r="B464" s="42" t="s">
        <v>1492</v>
      </c>
      <c r="C464" s="42" t="s">
        <v>1493</v>
      </c>
      <c r="D464" s="42" t="s">
        <v>735</v>
      </c>
      <c r="E464" s="42" t="s">
        <v>736</v>
      </c>
      <c r="F464" s="47">
        <v>173.04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SUM(TABELA23[[#This Row],[T1]:[T7]])</f>
        <v>0</v>
      </c>
      <c r="P464" s="47">
        <f>TABELA23[[#This Row],[QTDE]]*TABELA23[[#This Row],[PREÇO]]</f>
        <v>0</v>
      </c>
    </row>
    <row r="465" spans="2:16" x14ac:dyDescent="0.2">
      <c r="B465" s="42" t="s">
        <v>1492</v>
      </c>
      <c r="C465" s="42" t="s">
        <v>1493</v>
      </c>
      <c r="D465" s="42" t="s">
        <v>791</v>
      </c>
      <c r="E465" s="42" t="s">
        <v>713</v>
      </c>
      <c r="F465" s="47">
        <v>173.04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SUM(TABELA23[[#This Row],[T1]:[T7]])</f>
        <v>0</v>
      </c>
      <c r="P465" s="47">
        <f>TABELA23[[#This Row],[QTDE]]*TABELA23[[#This Row],[PREÇO]]</f>
        <v>0</v>
      </c>
    </row>
    <row r="466" spans="2:16" x14ac:dyDescent="0.2">
      <c r="B466" s="42" t="s">
        <v>1494</v>
      </c>
      <c r="C466" s="42" t="s">
        <v>1495</v>
      </c>
      <c r="D466" s="42" t="s">
        <v>34</v>
      </c>
      <c r="E466" s="42" t="s">
        <v>35</v>
      </c>
      <c r="F466" s="47">
        <v>194.78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SUM(TABELA23[[#This Row],[T1]:[T7]])</f>
        <v>0</v>
      </c>
      <c r="P466" s="47">
        <f>TABELA23[[#This Row],[QTDE]]*TABELA23[[#This Row],[PREÇO]]</f>
        <v>0</v>
      </c>
    </row>
    <row r="467" spans="2:16" x14ac:dyDescent="0.2">
      <c r="B467" s="42" t="s">
        <v>1496</v>
      </c>
      <c r="C467" s="42" t="s">
        <v>1497</v>
      </c>
      <c r="D467" s="42" t="s">
        <v>825</v>
      </c>
      <c r="E467" s="42" t="s">
        <v>826</v>
      </c>
      <c r="F467" s="47">
        <v>216.52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SUM(TABELA23[[#This Row],[T1]:[T7]])</f>
        <v>0</v>
      </c>
      <c r="P467" s="47">
        <f>TABELA23[[#This Row],[QTDE]]*TABELA23[[#This Row],[PREÇO]]</f>
        <v>0</v>
      </c>
    </row>
    <row r="468" spans="2:16" x14ac:dyDescent="0.2">
      <c r="B468" s="42" t="s">
        <v>1498</v>
      </c>
      <c r="C468" s="42" t="s">
        <v>1499</v>
      </c>
      <c r="D468" s="42" t="s">
        <v>43</v>
      </c>
      <c r="E468" s="42" t="s">
        <v>51</v>
      </c>
      <c r="F468" s="47">
        <v>260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SUM(TABELA23[[#This Row],[T1]:[T7]])</f>
        <v>0</v>
      </c>
      <c r="P468" s="47">
        <f>TABELA23[[#This Row],[QTDE]]*TABELA23[[#This Row],[PREÇO]]</f>
        <v>0</v>
      </c>
    </row>
    <row r="469" spans="2:16" x14ac:dyDescent="0.2">
      <c r="B469" s="42" t="s">
        <v>1500</v>
      </c>
      <c r="C469" s="42" t="s">
        <v>1501</v>
      </c>
      <c r="D469" s="42" t="s">
        <v>34</v>
      </c>
      <c r="E469" s="42" t="s">
        <v>35</v>
      </c>
      <c r="F469" s="47">
        <v>151.30000000000001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SUM(TABELA23[[#This Row],[T1]:[T7]])</f>
        <v>0</v>
      </c>
      <c r="P469" s="47">
        <f>TABELA23[[#This Row],[QTDE]]*TABELA23[[#This Row],[PREÇO]]</f>
        <v>0</v>
      </c>
    </row>
    <row r="470" spans="2:16" x14ac:dyDescent="0.2">
      <c r="B470" s="42" t="s">
        <v>1502</v>
      </c>
      <c r="C470" s="42" t="s">
        <v>1503</v>
      </c>
      <c r="D470" s="42" t="s">
        <v>38</v>
      </c>
      <c r="E470" s="42" t="s">
        <v>688</v>
      </c>
      <c r="F470" s="47">
        <v>194.78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SUM(TABELA23[[#This Row],[T1]:[T7]])</f>
        <v>0</v>
      </c>
      <c r="P470" s="47">
        <f>TABELA23[[#This Row],[QTDE]]*TABELA23[[#This Row],[PREÇO]]</f>
        <v>0</v>
      </c>
    </row>
    <row r="471" spans="2:16" x14ac:dyDescent="0.2">
      <c r="B471" s="42" t="s">
        <v>1504</v>
      </c>
      <c r="C471" s="42" t="s">
        <v>1505</v>
      </c>
      <c r="D471" s="42" t="s">
        <v>34</v>
      </c>
      <c r="E471" s="42" t="s">
        <v>35</v>
      </c>
      <c r="F471" s="47">
        <v>186.09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SUM(TABELA23[[#This Row],[T1]:[T7]])</f>
        <v>0</v>
      </c>
      <c r="P471" s="47">
        <f>TABELA23[[#This Row],[QTDE]]*TABELA23[[#This Row],[PREÇO]]</f>
        <v>0</v>
      </c>
    </row>
    <row r="472" spans="2:16" x14ac:dyDescent="0.2">
      <c r="B472" s="42" t="s">
        <v>1506</v>
      </c>
      <c r="C472" s="42" t="s">
        <v>1507</v>
      </c>
      <c r="D472" s="42" t="s">
        <v>34</v>
      </c>
      <c r="E472" s="42" t="s">
        <v>1508</v>
      </c>
      <c r="F472" s="47">
        <v>203.48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SUM(TABELA23[[#This Row],[T1]:[T7]])</f>
        <v>0</v>
      </c>
      <c r="P472" s="47">
        <f>TABELA23[[#This Row],[QTDE]]*TABELA23[[#This Row],[PREÇO]]</f>
        <v>0</v>
      </c>
    </row>
    <row r="473" spans="2:16" x14ac:dyDescent="0.2">
      <c r="B473" s="42" t="s">
        <v>1509</v>
      </c>
      <c r="C473" s="42" t="s">
        <v>1510</v>
      </c>
      <c r="D473" s="42" t="s">
        <v>79</v>
      </c>
      <c r="E473" s="42" t="s">
        <v>680</v>
      </c>
      <c r="F473" s="47">
        <v>160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SUM(TABELA23[[#This Row],[T1]:[T7]])</f>
        <v>0</v>
      </c>
      <c r="P473" s="47">
        <f>TABELA23[[#This Row],[QTDE]]*TABELA23[[#This Row],[PREÇO]]</f>
        <v>0</v>
      </c>
    </row>
    <row r="474" spans="2:16" x14ac:dyDescent="0.2">
      <c r="B474" s="42" t="s">
        <v>1511</v>
      </c>
      <c r="C474" s="42" t="s">
        <v>1512</v>
      </c>
      <c r="D474" s="42" t="s">
        <v>40</v>
      </c>
      <c r="E474" s="42" t="s">
        <v>41</v>
      </c>
      <c r="F474" s="47">
        <v>86.09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SUM(TABELA23[[#This Row],[T1]:[T7]])</f>
        <v>0</v>
      </c>
      <c r="P474" s="47">
        <f>TABELA23[[#This Row],[QTDE]]*TABELA23[[#This Row],[PREÇO]]</f>
        <v>0</v>
      </c>
    </row>
    <row r="475" spans="2:16" x14ac:dyDescent="0.2">
      <c r="B475" s="42" t="s">
        <v>1511</v>
      </c>
      <c r="C475" s="42" t="s">
        <v>1512</v>
      </c>
      <c r="D475" s="42" t="s">
        <v>775</v>
      </c>
      <c r="E475" s="42" t="s">
        <v>750</v>
      </c>
      <c r="F475" s="47">
        <v>86.09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SUM(TABELA23[[#This Row],[T1]:[T7]])</f>
        <v>0</v>
      </c>
      <c r="P475" s="47">
        <f>TABELA23[[#This Row],[QTDE]]*TABELA23[[#This Row],[PREÇO]]</f>
        <v>0</v>
      </c>
    </row>
    <row r="476" spans="2:16" x14ac:dyDescent="0.2">
      <c r="B476" s="42" t="s">
        <v>1513</v>
      </c>
      <c r="C476" s="42" t="s">
        <v>1514</v>
      </c>
      <c r="D476" s="42" t="s">
        <v>735</v>
      </c>
      <c r="E476" s="42" t="s">
        <v>736</v>
      </c>
      <c r="F476" s="47">
        <v>303.48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SUM(TABELA23[[#This Row],[T1]:[T7]])</f>
        <v>0</v>
      </c>
      <c r="P476" s="47">
        <f>TABELA23[[#This Row],[QTDE]]*TABELA23[[#This Row],[PREÇO]]</f>
        <v>0</v>
      </c>
    </row>
    <row r="477" spans="2:16" x14ac:dyDescent="0.2">
      <c r="B477" s="42" t="s">
        <v>1515</v>
      </c>
      <c r="C477" s="42" t="s">
        <v>1516</v>
      </c>
      <c r="D477" s="42" t="s">
        <v>40</v>
      </c>
      <c r="E477" s="42" t="s">
        <v>41</v>
      </c>
      <c r="F477" s="47">
        <v>303.48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SUM(TABELA23[[#This Row],[T1]:[T7]])</f>
        <v>0</v>
      </c>
      <c r="P477" s="47">
        <f>TABELA23[[#This Row],[QTDE]]*TABELA23[[#This Row],[PREÇO]]</f>
        <v>0</v>
      </c>
    </row>
    <row r="478" spans="2:16" x14ac:dyDescent="0.2">
      <c r="B478" s="42" t="s">
        <v>1517</v>
      </c>
      <c r="C478" s="42" t="s">
        <v>1518</v>
      </c>
      <c r="D478" s="42" t="s">
        <v>775</v>
      </c>
      <c r="E478" s="42" t="s">
        <v>750</v>
      </c>
      <c r="F478" s="47">
        <v>238.26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SUM(TABELA23[[#This Row],[T1]:[T7]])</f>
        <v>0</v>
      </c>
      <c r="P478" s="47">
        <f>TABELA23[[#This Row],[QTDE]]*TABELA23[[#This Row],[PREÇO]]</f>
        <v>0</v>
      </c>
    </row>
    <row r="479" spans="2:16" x14ac:dyDescent="0.2">
      <c r="B479" s="42" t="s">
        <v>1519</v>
      </c>
      <c r="C479" s="42" t="s">
        <v>1520</v>
      </c>
      <c r="D479" s="42" t="s">
        <v>689</v>
      </c>
      <c r="E479" s="42" t="s">
        <v>690</v>
      </c>
      <c r="F479" s="47">
        <v>194.78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SUM(TABELA23[[#This Row],[T1]:[T7]])</f>
        <v>0</v>
      </c>
      <c r="P479" s="47">
        <f>TABELA23[[#This Row],[QTDE]]*TABELA23[[#This Row],[PREÇO]]</f>
        <v>0</v>
      </c>
    </row>
    <row r="480" spans="2:16" x14ac:dyDescent="0.2">
      <c r="B480" s="42" t="s">
        <v>1519</v>
      </c>
      <c r="C480" s="42" t="s">
        <v>1520</v>
      </c>
      <c r="D480" s="42" t="s">
        <v>699</v>
      </c>
      <c r="E480" s="42" t="s">
        <v>700</v>
      </c>
      <c r="F480" s="47">
        <v>194.78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SUM(TABELA23[[#This Row],[T1]:[T7]])</f>
        <v>0</v>
      </c>
      <c r="P480" s="47">
        <f>TABELA23[[#This Row],[QTDE]]*TABELA23[[#This Row],[PREÇO]]</f>
        <v>0</v>
      </c>
    </row>
    <row r="481" spans="2:16" x14ac:dyDescent="0.2">
      <c r="B481" s="42" t="s">
        <v>1521</v>
      </c>
      <c r="C481" s="42" t="s">
        <v>1522</v>
      </c>
      <c r="D481" s="42" t="s">
        <v>775</v>
      </c>
      <c r="E481" s="42" t="s">
        <v>750</v>
      </c>
      <c r="F481" s="47">
        <v>173.04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SUM(TABELA23[[#This Row],[T1]:[T7]])</f>
        <v>0</v>
      </c>
      <c r="P481" s="47">
        <f>TABELA23[[#This Row],[QTDE]]*TABELA23[[#This Row],[PREÇO]]</f>
        <v>0</v>
      </c>
    </row>
    <row r="482" spans="2:16" x14ac:dyDescent="0.2">
      <c r="B482" s="42" t="s">
        <v>1521</v>
      </c>
      <c r="C482" s="42" t="s">
        <v>1522</v>
      </c>
      <c r="D482" s="42" t="s">
        <v>771</v>
      </c>
      <c r="E482" s="42" t="s">
        <v>772</v>
      </c>
      <c r="F482" s="47">
        <v>173.04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SUM(TABELA23[[#This Row],[T1]:[T7]])</f>
        <v>0</v>
      </c>
      <c r="P482" s="47">
        <f>TABELA23[[#This Row],[QTDE]]*TABELA23[[#This Row],[PREÇO]]</f>
        <v>0</v>
      </c>
    </row>
    <row r="483" spans="2:16" x14ac:dyDescent="0.2">
      <c r="B483" s="42" t="s">
        <v>1523</v>
      </c>
      <c r="C483" s="42" t="s">
        <v>1524</v>
      </c>
      <c r="D483" s="42" t="s">
        <v>775</v>
      </c>
      <c r="E483" s="42" t="s">
        <v>750</v>
      </c>
      <c r="F483" s="47">
        <v>238.26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SUM(TABELA23[[#This Row],[T1]:[T7]])</f>
        <v>0</v>
      </c>
      <c r="P483" s="47">
        <f>TABELA23[[#This Row],[QTDE]]*TABELA23[[#This Row],[PREÇO]]</f>
        <v>0</v>
      </c>
    </row>
    <row r="484" spans="2:16" x14ac:dyDescent="0.2">
      <c r="B484" s="42" t="s">
        <v>1525</v>
      </c>
      <c r="C484" s="42" t="s">
        <v>1526</v>
      </c>
      <c r="D484" s="42" t="s">
        <v>838</v>
      </c>
      <c r="E484" s="42" t="s">
        <v>839</v>
      </c>
      <c r="F484" s="47">
        <v>160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SUM(TABELA23[[#This Row],[T1]:[T7]])</f>
        <v>0</v>
      </c>
      <c r="P484" s="47">
        <f>TABELA23[[#This Row],[QTDE]]*TABELA23[[#This Row],[PREÇO]]</f>
        <v>0</v>
      </c>
    </row>
    <row r="485" spans="2:16" x14ac:dyDescent="0.2">
      <c r="B485" s="42" t="s">
        <v>1527</v>
      </c>
      <c r="C485" s="42" t="s">
        <v>1528</v>
      </c>
      <c r="D485" s="42" t="s">
        <v>38</v>
      </c>
      <c r="E485" s="42" t="s">
        <v>688</v>
      </c>
      <c r="F485" s="47">
        <v>151.30000000000001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SUM(TABELA23[[#This Row],[T1]:[T7]])</f>
        <v>0</v>
      </c>
      <c r="P485" s="47">
        <f>TABELA23[[#This Row],[QTDE]]*TABELA23[[#This Row],[PREÇO]]</f>
        <v>0</v>
      </c>
    </row>
    <row r="486" spans="2:16" x14ac:dyDescent="0.2">
      <c r="B486" s="42" t="s">
        <v>1529</v>
      </c>
      <c r="C486" s="42" t="s">
        <v>1530</v>
      </c>
      <c r="D486" s="42" t="s">
        <v>208</v>
      </c>
      <c r="E486" s="42" t="s">
        <v>835</v>
      </c>
      <c r="F486" s="47">
        <v>194.78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SUM(TABELA23[[#This Row],[T1]:[T7]])</f>
        <v>0</v>
      </c>
      <c r="P486" s="47">
        <f>TABELA23[[#This Row],[QTDE]]*TABELA23[[#This Row],[PREÇO]]</f>
        <v>0</v>
      </c>
    </row>
    <row r="487" spans="2:16" x14ac:dyDescent="0.2">
      <c r="B487" s="42" t="s">
        <v>1531</v>
      </c>
      <c r="C487" s="42" t="s">
        <v>1532</v>
      </c>
      <c r="D487" s="42" t="s">
        <v>775</v>
      </c>
      <c r="E487" s="42" t="s">
        <v>750</v>
      </c>
      <c r="F487" s="47">
        <v>160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SUM(TABELA23[[#This Row],[T1]:[T7]])</f>
        <v>0</v>
      </c>
      <c r="P487" s="47">
        <f>TABELA23[[#This Row],[QTDE]]*TABELA23[[#This Row],[PREÇO]]</f>
        <v>0</v>
      </c>
    </row>
    <row r="488" spans="2:16" x14ac:dyDescent="0.2">
      <c r="B488" s="42" t="s">
        <v>1531</v>
      </c>
      <c r="C488" s="42" t="s">
        <v>1532</v>
      </c>
      <c r="D488" s="42" t="s">
        <v>714</v>
      </c>
      <c r="E488" s="42" t="s">
        <v>1533</v>
      </c>
      <c r="F488" s="47">
        <v>160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SUM(TABELA23[[#This Row],[T1]:[T7]])</f>
        <v>0</v>
      </c>
      <c r="P488" s="47">
        <f>TABELA23[[#This Row],[QTDE]]*TABELA23[[#This Row],[PREÇO]]</f>
        <v>0</v>
      </c>
    </row>
    <row r="489" spans="2:16" x14ac:dyDescent="0.2">
      <c r="B489" s="42" t="s">
        <v>1534</v>
      </c>
      <c r="C489" s="42" t="s">
        <v>1535</v>
      </c>
      <c r="D489" s="42" t="s">
        <v>38</v>
      </c>
      <c r="E489" s="42" t="s">
        <v>688</v>
      </c>
      <c r="F489" s="47">
        <v>129.57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SUM(TABELA23[[#This Row],[T1]:[T7]])</f>
        <v>0</v>
      </c>
      <c r="P489" s="47">
        <f>TABELA23[[#This Row],[QTDE]]*TABELA23[[#This Row],[PREÇO]]</f>
        <v>0</v>
      </c>
    </row>
    <row r="490" spans="2:16" x14ac:dyDescent="0.2">
      <c r="B490" s="42" t="s">
        <v>1534</v>
      </c>
      <c r="C490" s="42" t="s">
        <v>1535</v>
      </c>
      <c r="D490" s="42" t="s">
        <v>735</v>
      </c>
      <c r="E490" s="42" t="s">
        <v>736</v>
      </c>
      <c r="F490" s="47">
        <v>129.57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SUM(TABELA23[[#This Row],[T1]:[T7]])</f>
        <v>0</v>
      </c>
      <c r="P490" s="47">
        <f>TABELA23[[#This Row],[QTDE]]*TABELA23[[#This Row],[PREÇO]]</f>
        <v>0</v>
      </c>
    </row>
    <row r="491" spans="2:16" x14ac:dyDescent="0.2">
      <c r="B491" s="42" t="s">
        <v>1534</v>
      </c>
      <c r="C491" s="42" t="s">
        <v>1535</v>
      </c>
      <c r="D491" s="42" t="s">
        <v>669</v>
      </c>
      <c r="E491" s="42" t="s">
        <v>670</v>
      </c>
      <c r="F491" s="47">
        <v>129.57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SUM(TABELA23[[#This Row],[T1]:[T7]])</f>
        <v>0</v>
      </c>
      <c r="P491" s="47">
        <f>TABELA23[[#This Row],[QTDE]]*TABELA23[[#This Row],[PREÇO]]</f>
        <v>0</v>
      </c>
    </row>
    <row r="492" spans="2:16" x14ac:dyDescent="0.2">
      <c r="B492" s="42" t="s">
        <v>1536</v>
      </c>
      <c r="C492" s="42" t="s">
        <v>1537</v>
      </c>
      <c r="D492" s="42" t="s">
        <v>689</v>
      </c>
      <c r="E492" s="42" t="s">
        <v>690</v>
      </c>
      <c r="F492" s="47">
        <v>173.04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SUM(TABELA23[[#This Row],[T1]:[T7]])</f>
        <v>0</v>
      </c>
      <c r="P492" s="47">
        <f>TABELA23[[#This Row],[QTDE]]*TABELA23[[#This Row],[PREÇO]]</f>
        <v>0</v>
      </c>
    </row>
    <row r="493" spans="2:16" x14ac:dyDescent="0.2">
      <c r="B493" s="42" t="s">
        <v>1536</v>
      </c>
      <c r="C493" s="42" t="s">
        <v>1537</v>
      </c>
      <c r="D493" s="42" t="s">
        <v>699</v>
      </c>
      <c r="E493" s="42" t="s">
        <v>700</v>
      </c>
      <c r="F493" s="47">
        <v>173.04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SUM(TABELA23[[#This Row],[T1]:[T7]])</f>
        <v>0</v>
      </c>
      <c r="P493" s="47">
        <f>TABELA23[[#This Row],[QTDE]]*TABELA23[[#This Row],[PREÇO]]</f>
        <v>0</v>
      </c>
    </row>
    <row r="494" spans="2:16" x14ac:dyDescent="0.2">
      <c r="B494" s="42" t="s">
        <v>1538</v>
      </c>
      <c r="C494" s="42" t="s">
        <v>1539</v>
      </c>
      <c r="D494" s="42" t="s">
        <v>49</v>
      </c>
      <c r="E494" s="42" t="s">
        <v>1540</v>
      </c>
      <c r="F494" s="47">
        <v>173.04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SUM(TABELA23[[#This Row],[T1]:[T7]])</f>
        <v>0</v>
      </c>
      <c r="P494" s="47">
        <f>TABELA23[[#This Row],[QTDE]]*TABELA23[[#This Row],[PREÇO]]</f>
        <v>0</v>
      </c>
    </row>
    <row r="495" spans="2:16" x14ac:dyDescent="0.2">
      <c r="B495" s="42" t="s">
        <v>1541</v>
      </c>
      <c r="C495" s="42" t="s">
        <v>1542</v>
      </c>
      <c r="D495" s="42" t="s">
        <v>38</v>
      </c>
      <c r="E495" s="42" t="s">
        <v>688</v>
      </c>
      <c r="F495" s="47">
        <v>173.04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SUM(TABELA23[[#This Row],[T1]:[T7]])</f>
        <v>0</v>
      </c>
      <c r="P495" s="47">
        <f>TABELA23[[#This Row],[QTDE]]*TABELA23[[#This Row],[PREÇO]]</f>
        <v>0</v>
      </c>
    </row>
    <row r="496" spans="2:16" x14ac:dyDescent="0.2">
      <c r="B496" s="42" t="s">
        <v>1543</v>
      </c>
      <c r="C496" s="42" t="s">
        <v>1544</v>
      </c>
      <c r="D496" s="42" t="s">
        <v>38</v>
      </c>
      <c r="E496" s="42" t="s">
        <v>688</v>
      </c>
      <c r="F496" s="47">
        <v>186.09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SUM(TABELA23[[#This Row],[T1]:[T7]])</f>
        <v>0</v>
      </c>
      <c r="P496" s="47">
        <f>TABELA23[[#This Row],[QTDE]]*TABELA23[[#This Row],[PREÇO]]</f>
        <v>0</v>
      </c>
    </row>
    <row r="497" spans="2:16" x14ac:dyDescent="0.2">
      <c r="B497" s="42" t="s">
        <v>1543</v>
      </c>
      <c r="C497" s="42" t="s">
        <v>1544</v>
      </c>
      <c r="D497" s="42" t="s">
        <v>79</v>
      </c>
      <c r="E497" s="42" t="s">
        <v>680</v>
      </c>
      <c r="F497" s="47">
        <v>186.09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SUM(TABELA23[[#This Row],[T1]:[T7]])</f>
        <v>0</v>
      </c>
      <c r="P497" s="47">
        <f>TABELA23[[#This Row],[QTDE]]*TABELA23[[#This Row],[PREÇO]]</f>
        <v>0</v>
      </c>
    </row>
    <row r="498" spans="2:16" x14ac:dyDescent="0.2">
      <c r="B498" s="42" t="s">
        <v>1545</v>
      </c>
      <c r="C498" s="42" t="s">
        <v>1546</v>
      </c>
      <c r="D498" s="42" t="s">
        <v>34</v>
      </c>
      <c r="E498" s="42" t="s">
        <v>35</v>
      </c>
      <c r="F498" s="47">
        <v>112.17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SUM(TABELA23[[#This Row],[T1]:[T7]])</f>
        <v>0</v>
      </c>
      <c r="P498" s="47">
        <f>TABELA23[[#This Row],[QTDE]]*TABELA23[[#This Row],[PREÇO]]</f>
        <v>0</v>
      </c>
    </row>
    <row r="499" spans="2:16" x14ac:dyDescent="0.2">
      <c r="B499" s="42" t="s">
        <v>1545</v>
      </c>
      <c r="C499" s="42" t="s">
        <v>1546</v>
      </c>
      <c r="D499" s="42" t="s">
        <v>709</v>
      </c>
      <c r="E499" s="42" t="s">
        <v>710</v>
      </c>
      <c r="F499" s="47">
        <v>112.17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SUM(TABELA23[[#This Row],[T1]:[T7]])</f>
        <v>0</v>
      </c>
      <c r="P499" s="47">
        <f>TABELA23[[#This Row],[QTDE]]*TABELA23[[#This Row],[PREÇO]]</f>
        <v>0</v>
      </c>
    </row>
    <row r="500" spans="2:16" x14ac:dyDescent="0.2">
      <c r="B500" s="42" t="s">
        <v>1545</v>
      </c>
      <c r="C500" s="42" t="s">
        <v>1546</v>
      </c>
      <c r="D500" s="42" t="s">
        <v>669</v>
      </c>
      <c r="E500" s="42" t="s">
        <v>670</v>
      </c>
      <c r="F500" s="47">
        <v>112.17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SUM(TABELA23[[#This Row],[T1]:[T7]])</f>
        <v>0</v>
      </c>
      <c r="P500" s="47">
        <f>TABELA23[[#This Row],[QTDE]]*TABELA23[[#This Row],[PREÇO]]</f>
        <v>0</v>
      </c>
    </row>
    <row r="501" spans="2:16" x14ac:dyDescent="0.2">
      <c r="B501" s="42" t="s">
        <v>1547</v>
      </c>
      <c r="C501" s="42" t="s">
        <v>1548</v>
      </c>
      <c r="D501" s="42" t="s">
        <v>38</v>
      </c>
      <c r="E501" s="42" t="s">
        <v>688</v>
      </c>
      <c r="F501" s="47">
        <v>112.17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SUM(TABELA23[[#This Row],[T1]:[T7]])</f>
        <v>0</v>
      </c>
      <c r="P501" s="47">
        <f>TABELA23[[#This Row],[QTDE]]*TABELA23[[#This Row],[PREÇO]]</f>
        <v>0</v>
      </c>
    </row>
    <row r="502" spans="2:16" x14ac:dyDescent="0.2">
      <c r="B502" s="42" t="s">
        <v>1547</v>
      </c>
      <c r="C502" s="42" t="s">
        <v>1548</v>
      </c>
      <c r="D502" s="42" t="s">
        <v>48</v>
      </c>
      <c r="E502" s="42" t="s">
        <v>673</v>
      </c>
      <c r="F502" s="47">
        <v>112.17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SUM(TABELA23[[#This Row],[T1]:[T7]])</f>
        <v>0</v>
      </c>
      <c r="P502" s="47">
        <f>TABELA23[[#This Row],[QTDE]]*TABELA23[[#This Row],[PREÇO]]</f>
        <v>0</v>
      </c>
    </row>
    <row r="503" spans="2:16" x14ac:dyDescent="0.2">
      <c r="B503" s="42" t="s">
        <v>1547</v>
      </c>
      <c r="C503" s="42" t="s">
        <v>1548</v>
      </c>
      <c r="D503" s="42" t="s">
        <v>79</v>
      </c>
      <c r="E503" s="42" t="s">
        <v>680</v>
      </c>
      <c r="F503" s="47">
        <v>112.17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SUM(TABELA23[[#This Row],[T1]:[T7]])</f>
        <v>0</v>
      </c>
      <c r="P503" s="47">
        <f>TABELA23[[#This Row],[QTDE]]*TABELA23[[#This Row],[PREÇO]]</f>
        <v>0</v>
      </c>
    </row>
    <row r="504" spans="2:16" x14ac:dyDescent="0.2">
      <c r="B504" s="42" t="s">
        <v>1549</v>
      </c>
      <c r="C504" s="42" t="s">
        <v>1550</v>
      </c>
      <c r="D504" s="42" t="s">
        <v>34</v>
      </c>
      <c r="E504" s="42" t="s">
        <v>35</v>
      </c>
      <c r="F504" s="47">
        <v>120.87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SUM(TABELA23[[#This Row],[T1]:[T7]])</f>
        <v>0</v>
      </c>
      <c r="P504" s="47">
        <f>TABELA23[[#This Row],[QTDE]]*TABELA23[[#This Row],[PREÇO]]</f>
        <v>0</v>
      </c>
    </row>
    <row r="505" spans="2:16" x14ac:dyDescent="0.2">
      <c r="B505" s="42" t="s">
        <v>1549</v>
      </c>
      <c r="C505" s="42" t="s">
        <v>1550</v>
      </c>
      <c r="D505" s="42" t="s">
        <v>38</v>
      </c>
      <c r="E505" s="42" t="s">
        <v>688</v>
      </c>
      <c r="F505" s="47">
        <v>120.87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SUM(TABELA23[[#This Row],[T1]:[T7]])</f>
        <v>0</v>
      </c>
      <c r="P505" s="47">
        <f>TABELA23[[#This Row],[QTDE]]*TABELA23[[#This Row],[PREÇO]]</f>
        <v>0</v>
      </c>
    </row>
    <row r="506" spans="2:16" x14ac:dyDescent="0.2">
      <c r="B506" s="42" t="s">
        <v>1549</v>
      </c>
      <c r="C506" s="42" t="s">
        <v>1550</v>
      </c>
      <c r="D506" s="42" t="s">
        <v>775</v>
      </c>
      <c r="E506" s="42" t="s">
        <v>750</v>
      </c>
      <c r="F506" s="47">
        <v>120.87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SUM(TABELA23[[#This Row],[T1]:[T7]])</f>
        <v>0</v>
      </c>
      <c r="P506" s="47">
        <f>TABELA23[[#This Row],[QTDE]]*TABELA23[[#This Row],[PREÇO]]</f>
        <v>0</v>
      </c>
    </row>
    <row r="507" spans="2:16" x14ac:dyDescent="0.2">
      <c r="B507" s="42" t="s">
        <v>1549</v>
      </c>
      <c r="C507" s="42" t="s">
        <v>1550</v>
      </c>
      <c r="D507" s="42" t="s">
        <v>791</v>
      </c>
      <c r="E507" s="42" t="s">
        <v>713</v>
      </c>
      <c r="F507" s="47">
        <v>120.87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SUM(TABELA23[[#This Row],[T1]:[T7]])</f>
        <v>0</v>
      </c>
      <c r="P507" s="47">
        <f>TABELA23[[#This Row],[QTDE]]*TABELA23[[#This Row],[PREÇO]]</f>
        <v>0</v>
      </c>
    </row>
    <row r="508" spans="2:16" x14ac:dyDescent="0.2">
      <c r="B508" s="42" t="s">
        <v>1551</v>
      </c>
      <c r="C508" s="42" t="s">
        <v>1552</v>
      </c>
      <c r="D508" s="42" t="s">
        <v>869</v>
      </c>
      <c r="E508" s="42" t="s">
        <v>870</v>
      </c>
      <c r="F508" s="47">
        <v>120.87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SUM(TABELA23[[#This Row],[T1]:[T7]])</f>
        <v>0</v>
      </c>
      <c r="P508" s="47">
        <f>TABELA23[[#This Row],[QTDE]]*TABELA23[[#This Row],[PREÇO]]</f>
        <v>0</v>
      </c>
    </row>
    <row r="509" spans="2:16" x14ac:dyDescent="0.2">
      <c r="B509" s="42" t="s">
        <v>1553</v>
      </c>
      <c r="C509" s="42" t="s">
        <v>1535</v>
      </c>
      <c r="D509" s="42" t="s">
        <v>869</v>
      </c>
      <c r="E509" s="42" t="s">
        <v>870</v>
      </c>
      <c r="F509" s="47">
        <v>151.30000000000001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SUM(TABELA23[[#This Row],[T1]:[T7]])</f>
        <v>0</v>
      </c>
      <c r="P509" s="47">
        <f>TABELA23[[#This Row],[QTDE]]*TABELA23[[#This Row],[PREÇO]]</f>
        <v>0</v>
      </c>
    </row>
    <row r="510" spans="2:16" x14ac:dyDescent="0.2">
      <c r="B510" s="42" t="s">
        <v>1553</v>
      </c>
      <c r="C510" s="42" t="s">
        <v>1535</v>
      </c>
      <c r="D510" s="42" t="s">
        <v>79</v>
      </c>
      <c r="E510" s="42" t="s">
        <v>680</v>
      </c>
      <c r="F510" s="47">
        <v>151.30000000000001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SUM(TABELA23[[#This Row],[T1]:[T7]])</f>
        <v>0</v>
      </c>
      <c r="P510" s="47">
        <f>TABELA23[[#This Row],[QTDE]]*TABELA23[[#This Row],[PREÇO]]</f>
        <v>0</v>
      </c>
    </row>
    <row r="511" spans="2:16" x14ac:dyDescent="0.2">
      <c r="B511" s="42" t="s">
        <v>1553</v>
      </c>
      <c r="C511" s="42" t="s">
        <v>1535</v>
      </c>
      <c r="D511" s="42" t="s">
        <v>771</v>
      </c>
      <c r="E511" s="42" t="s">
        <v>772</v>
      </c>
      <c r="F511" s="47">
        <v>151.30000000000001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SUM(TABELA23[[#This Row],[T1]:[T7]])</f>
        <v>0</v>
      </c>
      <c r="P511" s="47">
        <f>TABELA23[[#This Row],[QTDE]]*TABELA23[[#This Row],[PREÇO]]</f>
        <v>0</v>
      </c>
    </row>
    <row r="512" spans="2:16" x14ac:dyDescent="0.2">
      <c r="B512" s="42" t="s">
        <v>1554</v>
      </c>
      <c r="C512" s="42" t="s">
        <v>1555</v>
      </c>
      <c r="D512" s="42" t="s">
        <v>49</v>
      </c>
      <c r="E512" s="42" t="s">
        <v>1556</v>
      </c>
      <c r="F512" s="47">
        <v>120.87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SUM(TABELA23[[#This Row],[T1]:[T7]])</f>
        <v>0</v>
      </c>
      <c r="P512" s="47">
        <f>TABELA23[[#This Row],[QTDE]]*TABELA23[[#This Row],[PREÇO]]</f>
        <v>0</v>
      </c>
    </row>
    <row r="513" spans="2:16" x14ac:dyDescent="0.2">
      <c r="B513" s="42" t="s">
        <v>1557</v>
      </c>
      <c r="C513" s="42" t="s">
        <v>1558</v>
      </c>
      <c r="D513" s="42" t="s">
        <v>49</v>
      </c>
      <c r="E513" s="42" t="s">
        <v>71</v>
      </c>
      <c r="F513" s="47">
        <v>186.09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SUM(TABELA23[[#This Row],[T1]:[T7]])</f>
        <v>0</v>
      </c>
      <c r="P513" s="47">
        <f>TABELA23[[#This Row],[QTDE]]*TABELA23[[#This Row],[PREÇO]]</f>
        <v>0</v>
      </c>
    </row>
    <row r="514" spans="2:16" x14ac:dyDescent="0.2">
      <c r="B514" s="42" t="s">
        <v>1559</v>
      </c>
      <c r="C514" s="42" t="s">
        <v>1560</v>
      </c>
      <c r="D514" s="42" t="s">
        <v>34</v>
      </c>
      <c r="E514" s="42" t="s">
        <v>35</v>
      </c>
      <c r="F514" s="47">
        <v>99.13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SUM(TABELA23[[#This Row],[T1]:[T7]])</f>
        <v>0</v>
      </c>
      <c r="P514" s="47">
        <f>TABELA23[[#This Row],[QTDE]]*TABELA23[[#This Row],[PREÇO]]</f>
        <v>0</v>
      </c>
    </row>
    <row r="515" spans="2:16" x14ac:dyDescent="0.2">
      <c r="B515" s="42" t="s">
        <v>1559</v>
      </c>
      <c r="C515" s="42" t="s">
        <v>1560</v>
      </c>
      <c r="D515" s="42" t="s">
        <v>38</v>
      </c>
      <c r="E515" s="42" t="s">
        <v>688</v>
      </c>
      <c r="F515" s="47">
        <v>99.13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SUM(TABELA23[[#This Row],[T1]:[T7]])</f>
        <v>0</v>
      </c>
      <c r="P515" s="47">
        <f>TABELA23[[#This Row],[QTDE]]*TABELA23[[#This Row],[PREÇO]]</f>
        <v>0</v>
      </c>
    </row>
    <row r="516" spans="2:16" x14ac:dyDescent="0.2">
      <c r="B516" s="42" t="s">
        <v>1559</v>
      </c>
      <c r="C516" s="42" t="s">
        <v>1560</v>
      </c>
      <c r="D516" s="42" t="s">
        <v>775</v>
      </c>
      <c r="E516" s="42" t="s">
        <v>750</v>
      </c>
      <c r="F516" s="47">
        <v>99.13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SUM(TABELA23[[#This Row],[T1]:[T7]])</f>
        <v>0</v>
      </c>
      <c r="P516" s="47">
        <f>TABELA23[[#This Row],[QTDE]]*TABELA23[[#This Row],[PREÇO]]</f>
        <v>0</v>
      </c>
    </row>
    <row r="517" spans="2:16" x14ac:dyDescent="0.2">
      <c r="B517" s="42" t="s">
        <v>1559</v>
      </c>
      <c r="C517" s="42" t="s">
        <v>1560</v>
      </c>
      <c r="D517" s="42" t="s">
        <v>771</v>
      </c>
      <c r="E517" s="42" t="s">
        <v>772</v>
      </c>
      <c r="F517" s="47">
        <v>99.13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SUM(TABELA23[[#This Row],[T1]:[T7]])</f>
        <v>0</v>
      </c>
      <c r="P517" s="47">
        <f>TABELA23[[#This Row],[QTDE]]*TABELA23[[#This Row],[PREÇO]]</f>
        <v>0</v>
      </c>
    </row>
    <row r="518" spans="2:16" x14ac:dyDescent="0.2">
      <c r="B518" s="42" t="s">
        <v>1561</v>
      </c>
      <c r="C518" s="42" t="s">
        <v>1562</v>
      </c>
      <c r="D518" s="42" t="s">
        <v>49</v>
      </c>
      <c r="E518" s="42" t="s">
        <v>1563</v>
      </c>
      <c r="F518" s="47">
        <v>194.78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SUM(TABELA23[[#This Row],[T1]:[T7]])</f>
        <v>0</v>
      </c>
      <c r="P518" s="47">
        <f>TABELA23[[#This Row],[QTDE]]*TABELA23[[#This Row],[PREÇO]]</f>
        <v>0</v>
      </c>
    </row>
    <row r="519" spans="2:16" x14ac:dyDescent="0.2">
      <c r="B519" s="42" t="s">
        <v>1564</v>
      </c>
      <c r="C519" s="42" t="s">
        <v>1565</v>
      </c>
      <c r="D519" s="42" t="s">
        <v>661</v>
      </c>
      <c r="E519" s="42" t="s">
        <v>662</v>
      </c>
      <c r="F519" s="47">
        <v>107.83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SUM(TABELA23[[#This Row],[T1]:[T7]])</f>
        <v>0</v>
      </c>
      <c r="P519" s="47">
        <f>TABELA23[[#This Row],[QTDE]]*TABELA23[[#This Row],[PREÇO]]</f>
        <v>0</v>
      </c>
    </row>
    <row r="520" spans="2:16" x14ac:dyDescent="0.2">
      <c r="B520" s="42" t="s">
        <v>1566</v>
      </c>
      <c r="C520" s="42" t="s">
        <v>1567</v>
      </c>
      <c r="D520" s="42" t="s">
        <v>49</v>
      </c>
      <c r="E520" s="42" t="s">
        <v>953</v>
      </c>
      <c r="F520" s="47">
        <v>107.83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SUM(TABELA23[[#This Row],[T1]:[T7]])</f>
        <v>0</v>
      </c>
      <c r="P520" s="47">
        <f>TABELA23[[#This Row],[QTDE]]*TABELA23[[#This Row],[PREÇO]]</f>
        <v>0</v>
      </c>
    </row>
    <row r="521" spans="2:16" x14ac:dyDescent="0.2">
      <c r="B521" s="42" t="s">
        <v>1568</v>
      </c>
      <c r="C521" s="42" t="s">
        <v>1569</v>
      </c>
      <c r="D521" s="42" t="s">
        <v>38</v>
      </c>
      <c r="E521" s="42" t="s">
        <v>688</v>
      </c>
      <c r="F521" s="47">
        <v>103.48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SUM(TABELA23[[#This Row],[T1]:[T7]])</f>
        <v>0</v>
      </c>
      <c r="P521" s="47">
        <f>TABELA23[[#This Row],[QTDE]]*TABELA23[[#This Row],[PREÇO]]</f>
        <v>0</v>
      </c>
    </row>
    <row r="522" spans="2:16" x14ac:dyDescent="0.2">
      <c r="B522" s="42" t="s">
        <v>1568</v>
      </c>
      <c r="C522" s="42" t="s">
        <v>1569</v>
      </c>
      <c r="D522" s="42" t="s">
        <v>665</v>
      </c>
      <c r="E522" s="42" t="s">
        <v>666</v>
      </c>
      <c r="F522" s="47">
        <v>103.48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SUM(TABELA23[[#This Row],[T1]:[T7]])</f>
        <v>0</v>
      </c>
      <c r="P522" s="47">
        <f>TABELA23[[#This Row],[QTDE]]*TABELA23[[#This Row],[PREÇO]]</f>
        <v>0</v>
      </c>
    </row>
    <row r="523" spans="2:16" x14ac:dyDescent="0.2">
      <c r="B523" s="42" t="s">
        <v>1570</v>
      </c>
      <c r="C523" s="42" t="s">
        <v>1571</v>
      </c>
      <c r="D523" s="42" t="s">
        <v>34</v>
      </c>
      <c r="E523" s="42" t="s">
        <v>35</v>
      </c>
      <c r="F523" s="47">
        <v>129.57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SUM(TABELA23[[#This Row],[T1]:[T7]])</f>
        <v>0</v>
      </c>
      <c r="P523" s="47">
        <f>TABELA23[[#This Row],[QTDE]]*TABELA23[[#This Row],[PREÇO]]</f>
        <v>0</v>
      </c>
    </row>
    <row r="524" spans="2:16" x14ac:dyDescent="0.2">
      <c r="B524" s="42" t="s">
        <v>1570</v>
      </c>
      <c r="C524" s="42" t="s">
        <v>1571</v>
      </c>
      <c r="D524" s="42" t="s">
        <v>38</v>
      </c>
      <c r="E524" s="42" t="s">
        <v>688</v>
      </c>
      <c r="F524" s="47">
        <v>129.57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SUM(TABELA23[[#This Row],[T1]:[T7]])</f>
        <v>0</v>
      </c>
      <c r="P524" s="47">
        <f>TABELA23[[#This Row],[QTDE]]*TABELA23[[#This Row],[PREÇO]]</f>
        <v>0</v>
      </c>
    </row>
    <row r="525" spans="2:16" x14ac:dyDescent="0.2">
      <c r="B525" s="42" t="s">
        <v>1572</v>
      </c>
      <c r="C525" s="42" t="s">
        <v>1573</v>
      </c>
      <c r="D525" s="42" t="s">
        <v>208</v>
      </c>
      <c r="E525" s="42" t="s">
        <v>835</v>
      </c>
      <c r="F525" s="47">
        <v>99.13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SUM(TABELA23[[#This Row],[T1]:[T7]])</f>
        <v>0</v>
      </c>
      <c r="P525" s="47">
        <f>TABELA23[[#This Row],[QTDE]]*TABELA23[[#This Row],[PREÇO]]</f>
        <v>0</v>
      </c>
    </row>
    <row r="526" spans="2:16" x14ac:dyDescent="0.2">
      <c r="B526" s="42" t="s">
        <v>1574</v>
      </c>
      <c r="C526" s="42" t="s">
        <v>1575</v>
      </c>
      <c r="D526" s="42" t="s">
        <v>665</v>
      </c>
      <c r="E526" s="42" t="s">
        <v>782</v>
      </c>
      <c r="F526" s="47">
        <v>99.13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SUM(TABELA23[[#This Row],[T1]:[T7]])</f>
        <v>0</v>
      </c>
      <c r="P526" s="47">
        <f>TABELA23[[#This Row],[QTDE]]*TABELA23[[#This Row],[PREÇO]]</f>
        <v>0</v>
      </c>
    </row>
    <row r="527" spans="2:16" x14ac:dyDescent="0.2">
      <c r="B527" s="42" t="s">
        <v>1574</v>
      </c>
      <c r="C527" s="42" t="s">
        <v>1575</v>
      </c>
      <c r="D527" s="42" t="s">
        <v>709</v>
      </c>
      <c r="E527" s="42" t="s">
        <v>710</v>
      </c>
      <c r="F527" s="47">
        <v>99.13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SUM(TABELA23[[#This Row],[T1]:[T7]])</f>
        <v>0</v>
      </c>
      <c r="P527" s="47">
        <f>TABELA23[[#This Row],[QTDE]]*TABELA23[[#This Row],[PREÇO]]</f>
        <v>0</v>
      </c>
    </row>
    <row r="528" spans="2:16" x14ac:dyDescent="0.2">
      <c r="B528" s="42" t="s">
        <v>1576</v>
      </c>
      <c r="C528" s="42" t="s">
        <v>1577</v>
      </c>
      <c r="D528" s="42" t="s">
        <v>749</v>
      </c>
      <c r="E528" s="42" t="s">
        <v>1192</v>
      </c>
      <c r="F528" s="47">
        <v>60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SUM(TABELA23[[#This Row],[T1]:[T7]])</f>
        <v>0</v>
      </c>
      <c r="P528" s="47">
        <f>TABELA23[[#This Row],[QTDE]]*TABELA23[[#This Row],[PREÇO]]</f>
        <v>0</v>
      </c>
    </row>
    <row r="529" spans="2:16" x14ac:dyDescent="0.2">
      <c r="B529" s="42" t="s">
        <v>1576</v>
      </c>
      <c r="C529" s="42" t="s">
        <v>1577</v>
      </c>
      <c r="D529" s="42" t="s">
        <v>771</v>
      </c>
      <c r="E529" s="42" t="s">
        <v>772</v>
      </c>
      <c r="F529" s="47">
        <v>60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SUM(TABELA23[[#This Row],[T1]:[T7]])</f>
        <v>0</v>
      </c>
      <c r="P529" s="47">
        <f>TABELA23[[#This Row],[QTDE]]*TABELA23[[#This Row],[PREÇO]]</f>
        <v>0</v>
      </c>
    </row>
    <row r="530" spans="2:16" x14ac:dyDescent="0.2">
      <c r="B530" s="42" t="s">
        <v>1578</v>
      </c>
      <c r="C530" s="42" t="s">
        <v>1579</v>
      </c>
      <c r="D530" s="42" t="s">
        <v>34</v>
      </c>
      <c r="E530" s="42" t="s">
        <v>35</v>
      </c>
      <c r="F530" s="47">
        <v>68.7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SUM(TABELA23[[#This Row],[T1]:[T7]])</f>
        <v>0</v>
      </c>
      <c r="P530" s="47">
        <f>TABELA23[[#This Row],[QTDE]]*TABELA23[[#This Row],[PREÇO]]</f>
        <v>0</v>
      </c>
    </row>
    <row r="531" spans="2:16" x14ac:dyDescent="0.2">
      <c r="B531" s="42" t="s">
        <v>1578</v>
      </c>
      <c r="C531" s="42" t="s">
        <v>1579</v>
      </c>
      <c r="D531" s="42" t="s">
        <v>38</v>
      </c>
      <c r="E531" s="42" t="s">
        <v>688</v>
      </c>
      <c r="F531" s="47">
        <v>68.7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SUM(TABELA23[[#This Row],[T1]:[T7]])</f>
        <v>0</v>
      </c>
      <c r="P531" s="47">
        <f>TABELA23[[#This Row],[QTDE]]*TABELA23[[#This Row],[PREÇO]]</f>
        <v>0</v>
      </c>
    </row>
    <row r="532" spans="2:16" x14ac:dyDescent="0.2">
      <c r="B532" s="42" t="s">
        <v>1578</v>
      </c>
      <c r="C532" s="42" t="s">
        <v>1579</v>
      </c>
      <c r="D532" s="42" t="s">
        <v>48</v>
      </c>
      <c r="E532" s="42" t="s">
        <v>673</v>
      </c>
      <c r="F532" s="47">
        <v>68.7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SUM(TABELA23[[#This Row],[T1]:[T7]])</f>
        <v>0</v>
      </c>
      <c r="P532" s="47">
        <f>TABELA23[[#This Row],[QTDE]]*TABELA23[[#This Row],[PREÇO]]</f>
        <v>0</v>
      </c>
    </row>
    <row r="533" spans="2:16" x14ac:dyDescent="0.2">
      <c r="B533" s="42" t="s">
        <v>1578</v>
      </c>
      <c r="C533" s="42" t="s">
        <v>1579</v>
      </c>
      <c r="D533" s="42" t="s">
        <v>791</v>
      </c>
      <c r="E533" s="42" t="s">
        <v>713</v>
      </c>
      <c r="F533" s="47">
        <v>68.7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SUM(TABELA23[[#This Row],[T1]:[T7]])</f>
        <v>0</v>
      </c>
      <c r="P533" s="47">
        <f>TABELA23[[#This Row],[QTDE]]*TABELA23[[#This Row],[PREÇO]]</f>
        <v>0</v>
      </c>
    </row>
    <row r="534" spans="2:16" x14ac:dyDescent="0.2">
      <c r="B534" s="42" t="s">
        <v>1580</v>
      </c>
      <c r="C534" s="42" t="s">
        <v>1581</v>
      </c>
      <c r="D534" s="42" t="s">
        <v>34</v>
      </c>
      <c r="E534" s="42" t="s">
        <v>35</v>
      </c>
      <c r="F534" s="47">
        <v>68.7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SUM(TABELA23[[#This Row],[T1]:[T7]])</f>
        <v>0</v>
      </c>
      <c r="P534" s="47">
        <f>TABELA23[[#This Row],[QTDE]]*TABELA23[[#This Row],[PREÇO]]</f>
        <v>0</v>
      </c>
    </row>
    <row r="535" spans="2:16" x14ac:dyDescent="0.2">
      <c r="B535" s="42" t="s">
        <v>1580</v>
      </c>
      <c r="C535" s="42" t="s">
        <v>1581</v>
      </c>
      <c r="D535" s="42" t="s">
        <v>46</v>
      </c>
      <c r="E535" s="42" t="s">
        <v>685</v>
      </c>
      <c r="F535" s="47">
        <v>68.7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SUM(TABELA23[[#This Row],[T1]:[T7]])</f>
        <v>0</v>
      </c>
      <c r="P535" s="47">
        <f>TABELA23[[#This Row],[QTDE]]*TABELA23[[#This Row],[PREÇO]]</f>
        <v>0</v>
      </c>
    </row>
    <row r="536" spans="2:16" x14ac:dyDescent="0.2">
      <c r="B536" s="42" t="s">
        <v>1582</v>
      </c>
      <c r="C536" s="42" t="s">
        <v>1583</v>
      </c>
      <c r="D536" s="42" t="s">
        <v>34</v>
      </c>
      <c r="E536" s="42" t="s">
        <v>41</v>
      </c>
      <c r="F536" s="47">
        <v>107.83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SUM(TABELA23[[#This Row],[T1]:[T7]])</f>
        <v>0</v>
      </c>
      <c r="P536" s="47">
        <f>TABELA23[[#This Row],[QTDE]]*TABELA23[[#This Row],[PREÇO]]</f>
        <v>0</v>
      </c>
    </row>
    <row r="537" spans="2:16" x14ac:dyDescent="0.2">
      <c r="B537" s="42" t="s">
        <v>1582</v>
      </c>
      <c r="C537" s="42" t="s">
        <v>1583</v>
      </c>
      <c r="D537" s="42" t="s">
        <v>38</v>
      </c>
      <c r="E537" s="42" t="s">
        <v>688</v>
      </c>
      <c r="F537" s="47">
        <v>107.83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SUM(TABELA23[[#This Row],[T1]:[T7]])</f>
        <v>0</v>
      </c>
      <c r="P537" s="47">
        <f>TABELA23[[#This Row],[QTDE]]*TABELA23[[#This Row],[PREÇO]]</f>
        <v>0</v>
      </c>
    </row>
    <row r="538" spans="2:16" x14ac:dyDescent="0.2">
      <c r="B538" s="42" t="s">
        <v>1584</v>
      </c>
      <c r="C538" s="42" t="s">
        <v>1585</v>
      </c>
      <c r="D538" s="42" t="s">
        <v>34</v>
      </c>
      <c r="E538" s="42" t="s">
        <v>35</v>
      </c>
      <c r="F538" s="47">
        <v>77.39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SUM(TABELA23[[#This Row],[T1]:[T7]])</f>
        <v>0</v>
      </c>
      <c r="P538" s="47">
        <f>TABELA23[[#This Row],[QTDE]]*TABELA23[[#This Row],[PREÇO]]</f>
        <v>0</v>
      </c>
    </row>
    <row r="539" spans="2:16" x14ac:dyDescent="0.2">
      <c r="B539" s="42" t="s">
        <v>1584</v>
      </c>
      <c r="C539" s="42" t="s">
        <v>1585</v>
      </c>
      <c r="D539" s="42" t="s">
        <v>775</v>
      </c>
      <c r="E539" s="42" t="s">
        <v>750</v>
      </c>
      <c r="F539" s="47">
        <v>77.39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SUM(TABELA23[[#This Row],[T1]:[T7]])</f>
        <v>0</v>
      </c>
      <c r="P539" s="47">
        <f>TABELA23[[#This Row],[QTDE]]*TABELA23[[#This Row],[PREÇO]]</f>
        <v>0</v>
      </c>
    </row>
    <row r="540" spans="2:16" x14ac:dyDescent="0.2">
      <c r="B540" s="42" t="s">
        <v>1586</v>
      </c>
      <c r="C540" s="42" t="s">
        <v>1587</v>
      </c>
      <c r="D540" s="42" t="s">
        <v>775</v>
      </c>
      <c r="E540" s="42" t="s">
        <v>750</v>
      </c>
      <c r="F540" s="47">
        <v>68.7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SUM(TABELA23[[#This Row],[T1]:[T7]])</f>
        <v>0</v>
      </c>
      <c r="P540" s="47">
        <f>TABELA23[[#This Row],[QTDE]]*TABELA23[[#This Row],[PREÇO]]</f>
        <v>0</v>
      </c>
    </row>
    <row r="541" spans="2:16" x14ac:dyDescent="0.2">
      <c r="B541" s="42" t="s">
        <v>1586</v>
      </c>
      <c r="C541" s="42" t="s">
        <v>1587</v>
      </c>
      <c r="D541" s="42" t="s">
        <v>669</v>
      </c>
      <c r="E541" s="42" t="s">
        <v>670</v>
      </c>
      <c r="F541" s="47">
        <v>68.7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SUM(TABELA23[[#This Row],[T1]:[T7]])</f>
        <v>0</v>
      </c>
      <c r="P541" s="47">
        <f>TABELA23[[#This Row],[QTDE]]*TABELA23[[#This Row],[PREÇO]]</f>
        <v>0</v>
      </c>
    </row>
    <row r="542" spans="2:16" x14ac:dyDescent="0.2">
      <c r="B542" s="42" t="s">
        <v>1586</v>
      </c>
      <c r="C542" s="42" t="s">
        <v>1587</v>
      </c>
      <c r="D542" s="42" t="s">
        <v>689</v>
      </c>
      <c r="E542" s="42" t="s">
        <v>690</v>
      </c>
      <c r="F542" s="47">
        <v>68.7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SUM(TABELA23[[#This Row],[T1]:[T7]])</f>
        <v>0</v>
      </c>
      <c r="P542" s="47">
        <f>TABELA23[[#This Row],[QTDE]]*TABELA23[[#This Row],[PREÇO]]</f>
        <v>0</v>
      </c>
    </row>
    <row r="543" spans="2:16" x14ac:dyDescent="0.2">
      <c r="B543" s="42" t="s">
        <v>1588</v>
      </c>
      <c r="C543" s="42" t="s">
        <v>1589</v>
      </c>
      <c r="D543" s="42" t="s">
        <v>49</v>
      </c>
      <c r="E543" s="42" t="s">
        <v>953</v>
      </c>
      <c r="F543" s="47">
        <v>55.65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SUM(TABELA23[[#This Row],[T1]:[T7]])</f>
        <v>0</v>
      </c>
      <c r="P543" s="47">
        <f>TABELA23[[#This Row],[QTDE]]*TABELA23[[#This Row],[PREÇO]]</f>
        <v>0</v>
      </c>
    </row>
    <row r="544" spans="2:16" x14ac:dyDescent="0.2">
      <c r="B544" s="42" t="s">
        <v>1590</v>
      </c>
      <c r="C544" s="42" t="s">
        <v>1591</v>
      </c>
      <c r="D544" s="42" t="s">
        <v>48</v>
      </c>
      <c r="E544" s="42" t="s">
        <v>673</v>
      </c>
      <c r="F544" s="47">
        <v>216.52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SUM(TABELA23[[#This Row],[T1]:[T7]])</f>
        <v>0</v>
      </c>
      <c r="P544" s="47">
        <f>TABELA23[[#This Row],[QTDE]]*TABELA23[[#This Row],[PREÇO]]</f>
        <v>0</v>
      </c>
    </row>
    <row r="545" spans="2:16" x14ac:dyDescent="0.2">
      <c r="B545" s="42" t="s">
        <v>1592</v>
      </c>
      <c r="C545" s="42" t="s">
        <v>1593</v>
      </c>
      <c r="D545" s="42" t="s">
        <v>48</v>
      </c>
      <c r="E545" s="42" t="s">
        <v>673</v>
      </c>
      <c r="F545" s="47">
        <v>142.61000000000001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SUM(TABELA23[[#This Row],[T1]:[T7]])</f>
        <v>0</v>
      </c>
      <c r="P545" s="47">
        <f>TABELA23[[#This Row],[QTDE]]*TABELA23[[#This Row],[PREÇO]]</f>
        <v>0</v>
      </c>
    </row>
    <row r="546" spans="2:16" x14ac:dyDescent="0.2">
      <c r="B546" s="42" t="s">
        <v>1592</v>
      </c>
      <c r="C546" s="42" t="s">
        <v>1593</v>
      </c>
      <c r="D546" s="42" t="s">
        <v>260</v>
      </c>
      <c r="E546" s="42" t="s">
        <v>1242</v>
      </c>
      <c r="F546" s="47">
        <v>142.61000000000001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SUM(TABELA23[[#This Row],[T1]:[T7]])</f>
        <v>0</v>
      </c>
      <c r="P546" s="47">
        <f>TABELA23[[#This Row],[QTDE]]*TABELA23[[#This Row],[PREÇO]]</f>
        <v>0</v>
      </c>
    </row>
    <row r="547" spans="2:16" x14ac:dyDescent="0.2">
      <c r="B547" s="42" t="s">
        <v>1594</v>
      </c>
      <c r="C547" s="42" t="s">
        <v>1595</v>
      </c>
      <c r="D547" s="42" t="s">
        <v>38</v>
      </c>
      <c r="E547" s="42" t="s">
        <v>688</v>
      </c>
      <c r="F547" s="47">
        <v>112.17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SUM(TABELA23[[#This Row],[T1]:[T7]])</f>
        <v>0</v>
      </c>
      <c r="P547" s="47">
        <f>TABELA23[[#This Row],[QTDE]]*TABELA23[[#This Row],[PREÇO]]</f>
        <v>0</v>
      </c>
    </row>
    <row r="548" spans="2:16" x14ac:dyDescent="0.2">
      <c r="B548" s="42" t="s">
        <v>1594</v>
      </c>
      <c r="C548" s="42" t="s">
        <v>1595</v>
      </c>
      <c r="D548" s="42" t="s">
        <v>771</v>
      </c>
      <c r="E548" s="42" t="s">
        <v>772</v>
      </c>
      <c r="F548" s="47">
        <v>112.17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SUM(TABELA23[[#This Row],[T1]:[T7]])</f>
        <v>0</v>
      </c>
      <c r="P548" s="47">
        <f>TABELA23[[#This Row],[QTDE]]*TABELA23[[#This Row],[PREÇO]]</f>
        <v>0</v>
      </c>
    </row>
    <row r="549" spans="2:16" x14ac:dyDescent="0.2">
      <c r="B549" s="42" t="s">
        <v>1596</v>
      </c>
      <c r="C549" s="42" t="s">
        <v>1597</v>
      </c>
      <c r="D549" s="42" t="s">
        <v>775</v>
      </c>
      <c r="E549" s="42" t="s">
        <v>750</v>
      </c>
      <c r="F549" s="47">
        <v>129.57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SUM(TABELA23[[#This Row],[T1]:[T7]])</f>
        <v>0</v>
      </c>
      <c r="P549" s="47">
        <f>TABELA23[[#This Row],[QTDE]]*TABELA23[[#This Row],[PREÇO]]</f>
        <v>0</v>
      </c>
    </row>
    <row r="550" spans="2:16" x14ac:dyDescent="0.2">
      <c r="B550" s="42" t="s">
        <v>1596</v>
      </c>
      <c r="C550" s="42" t="s">
        <v>1597</v>
      </c>
      <c r="D550" s="42" t="s">
        <v>709</v>
      </c>
      <c r="E550" s="42" t="s">
        <v>710</v>
      </c>
      <c r="F550" s="47">
        <v>129.57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SUM(TABELA23[[#This Row],[T1]:[T7]])</f>
        <v>0</v>
      </c>
      <c r="P550" s="47">
        <f>TABELA23[[#This Row],[QTDE]]*TABELA23[[#This Row],[PREÇO]]</f>
        <v>0</v>
      </c>
    </row>
    <row r="551" spans="2:16" x14ac:dyDescent="0.2">
      <c r="B551" s="42" t="s">
        <v>1598</v>
      </c>
      <c r="C551" s="42" t="s">
        <v>1599</v>
      </c>
      <c r="D551" s="42" t="s">
        <v>869</v>
      </c>
      <c r="E551" s="42" t="s">
        <v>870</v>
      </c>
      <c r="F551" s="47">
        <v>116.52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SUM(TABELA23[[#This Row],[T1]:[T7]])</f>
        <v>0</v>
      </c>
      <c r="P551" s="47">
        <f>TABELA23[[#This Row],[QTDE]]*TABELA23[[#This Row],[PREÇO]]</f>
        <v>0</v>
      </c>
    </row>
    <row r="552" spans="2:16" x14ac:dyDescent="0.2">
      <c r="B552" s="42" t="s">
        <v>1598</v>
      </c>
      <c r="C552" s="42" t="s">
        <v>1599</v>
      </c>
      <c r="D552" s="42" t="s">
        <v>707</v>
      </c>
      <c r="E552" s="42" t="s">
        <v>808</v>
      </c>
      <c r="F552" s="47">
        <v>116.52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SUM(TABELA23[[#This Row],[T1]:[T7]])</f>
        <v>0</v>
      </c>
      <c r="P552" s="47">
        <f>TABELA23[[#This Row],[QTDE]]*TABELA23[[#This Row],[PREÇO]]</f>
        <v>0</v>
      </c>
    </row>
    <row r="553" spans="2:16" x14ac:dyDescent="0.2">
      <c r="B553" s="42" t="s">
        <v>1600</v>
      </c>
      <c r="C553" s="42" t="s">
        <v>1601</v>
      </c>
      <c r="D553" s="42" t="s">
        <v>49</v>
      </c>
      <c r="E553" s="42" t="s">
        <v>1602</v>
      </c>
      <c r="F553" s="47">
        <v>116.52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SUM(TABELA23[[#This Row],[T1]:[T7]])</f>
        <v>0</v>
      </c>
      <c r="P553" s="47">
        <f>TABELA23[[#This Row],[QTDE]]*TABELA23[[#This Row],[PREÇO]]</f>
        <v>0</v>
      </c>
    </row>
    <row r="554" spans="2:16" x14ac:dyDescent="0.2">
      <c r="B554" s="42" t="s">
        <v>1603</v>
      </c>
      <c r="C554" s="42" t="s">
        <v>1604</v>
      </c>
      <c r="D554" s="42" t="s">
        <v>79</v>
      </c>
      <c r="E554" s="42" t="s">
        <v>835</v>
      </c>
      <c r="F554" s="47">
        <v>77.39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SUM(TABELA23[[#This Row],[T1]:[T7]])</f>
        <v>0</v>
      </c>
      <c r="P554" s="47">
        <f>TABELA23[[#This Row],[QTDE]]*TABELA23[[#This Row],[PREÇO]]</f>
        <v>0</v>
      </c>
    </row>
    <row r="555" spans="2:16" x14ac:dyDescent="0.2">
      <c r="B555" s="42" t="s">
        <v>1603</v>
      </c>
      <c r="C555" s="42" t="s">
        <v>1604</v>
      </c>
      <c r="D555" s="42" t="s">
        <v>709</v>
      </c>
      <c r="E555" s="42" t="s">
        <v>710</v>
      </c>
      <c r="F555" s="47">
        <v>77.39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SUM(TABELA23[[#This Row],[T1]:[T7]])</f>
        <v>0</v>
      </c>
      <c r="P555" s="47">
        <f>TABELA23[[#This Row],[QTDE]]*TABELA23[[#This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2:P555"/>
  <sheetViews>
    <sheetView showGridLines="0" workbookViewId="0">
      <selection activeCell="A4" sqref="A4:XFD4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6.140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8" width="5" style="1" customWidth="1"/>
    <col min="9" max="9" width="10.85546875" style="1" bestFit="1" customWidth="1"/>
    <col min="10" max="14" width="5" style="1" customWidth="1"/>
    <col min="15" max="15" width="9" style="1" customWidth="1"/>
    <col min="16" max="16" width="13.5703125" style="2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SUM(TABELA24[VALOR])</f>
        <v>0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18" t="s">
        <v>657</v>
      </c>
      <c r="C16" s="19" t="s">
        <v>658</v>
      </c>
      <c r="D16" s="19" t="s">
        <v>34</v>
      </c>
      <c r="E16" s="19" t="s">
        <v>35</v>
      </c>
      <c r="F16" s="20">
        <v>249.17</v>
      </c>
      <c r="G16" s="19" t="s">
        <v>44</v>
      </c>
      <c r="H16" s="19"/>
      <c r="I16" s="19"/>
      <c r="J16" s="19"/>
      <c r="K16" s="19"/>
      <c r="L16" s="19"/>
      <c r="M16" s="19"/>
      <c r="N16" s="19"/>
      <c r="O16" s="19">
        <f>SUM(TABELA24[[#This Row],[T1]:[T7]])</f>
        <v>0</v>
      </c>
      <c r="P16" s="21">
        <f>TABELA24[[#This Row],[QTDE]]*TABELA24[[#This Row],[PREÇO]]</f>
        <v>0</v>
      </c>
    </row>
    <row r="17" spans="2:16" x14ac:dyDescent="0.2">
      <c r="B17" s="18" t="s">
        <v>659</v>
      </c>
      <c r="C17" s="19" t="s">
        <v>660</v>
      </c>
      <c r="D17" s="19" t="s">
        <v>661</v>
      </c>
      <c r="E17" s="19" t="s">
        <v>662</v>
      </c>
      <c r="F17" s="20">
        <v>178.33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SUM(TABELA24[[#This Row],[T1]:[T7]])</f>
        <v>0</v>
      </c>
      <c r="P17" s="21">
        <f>TABELA24[[#This Row],[QTDE]]*TABELA24[[#This Row],[PREÇO]]</f>
        <v>0</v>
      </c>
    </row>
    <row r="18" spans="2:16" x14ac:dyDescent="0.2">
      <c r="B18" s="18" t="s">
        <v>663</v>
      </c>
      <c r="C18" s="19" t="s">
        <v>664</v>
      </c>
      <c r="D18" s="19" t="s">
        <v>665</v>
      </c>
      <c r="E18" s="19" t="s">
        <v>666</v>
      </c>
      <c r="F18" s="20">
        <v>353.33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SUM(TABELA24[[#This Row],[T1]:[T7]])</f>
        <v>0</v>
      </c>
      <c r="P18" s="21">
        <f>TABELA24[[#This Row],[QTDE]]*TABELA24[[#This Row],[PREÇO]]</f>
        <v>0</v>
      </c>
    </row>
    <row r="19" spans="2:16" x14ac:dyDescent="0.2">
      <c r="B19" s="18" t="s">
        <v>667</v>
      </c>
      <c r="C19" s="19" t="s">
        <v>668</v>
      </c>
      <c r="D19" s="19" t="s">
        <v>669</v>
      </c>
      <c r="E19" s="19" t="s">
        <v>670</v>
      </c>
      <c r="F19" s="20">
        <v>186.67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SUM(TABELA24[[#This Row],[T1]:[T7]])</f>
        <v>0</v>
      </c>
      <c r="P19" s="21">
        <f>TABELA24[[#This Row],[QTDE]]*TABELA24[[#This Row],[PREÇO]]</f>
        <v>0</v>
      </c>
    </row>
    <row r="20" spans="2:16" x14ac:dyDescent="0.2">
      <c r="B20" s="18" t="s">
        <v>671</v>
      </c>
      <c r="C20" s="19" t="s">
        <v>672</v>
      </c>
      <c r="D20" s="19" t="s">
        <v>48</v>
      </c>
      <c r="E20" s="19" t="s">
        <v>673</v>
      </c>
      <c r="F20" s="20">
        <v>540.83000000000004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SUM(TABELA24[[#This Row],[T1]:[T7]])</f>
        <v>0</v>
      </c>
      <c r="P20" s="21">
        <f>TABELA24[[#This Row],[QTDE]]*TABELA24[[#This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332.5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SUM(TABELA24[[#This Row],[T1]:[T7]])</f>
        <v>0</v>
      </c>
      <c r="P21" s="21">
        <f>TABELA24[[#This Row],[QTDE]]*TABELA24[[#This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415.83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SUM(TABELA24[[#This Row],[T1]:[T7]])</f>
        <v>0</v>
      </c>
      <c r="P22" s="21">
        <f>TABELA24[[#This Row],[QTDE]]*TABELA24[[#This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499.17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SUM(TABELA24[[#This Row],[T1]:[T7]])</f>
        <v>0</v>
      </c>
      <c r="P23" s="21">
        <f>TABELA24[[#This Row],[QTDE]]*TABELA24[[#This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499.17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SUM(TABELA24[[#This Row],[T1]:[T7]])</f>
        <v>0</v>
      </c>
      <c r="P24" s="21">
        <f>TABELA24[[#This Row],[QTDE]]*TABELA24[[#This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540.83000000000004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SUM(TABELA24[[#This Row],[T1]:[T7]])</f>
        <v>0</v>
      </c>
      <c r="P25" s="21">
        <f>TABELA24[[#This Row],[QTDE]]*TABELA24[[#This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540.83000000000004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SUM(TABELA24[[#This Row],[T1]:[T7]])</f>
        <v>0</v>
      </c>
      <c r="P26" s="21">
        <f>TABELA24[[#This Row],[QTDE]]*TABELA24[[#This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415.83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SUM(TABELA24[[#This Row],[T1]:[T7]])</f>
        <v>0</v>
      </c>
      <c r="P27" s="21">
        <f>TABELA24[[#This Row],[QTDE]]*TABELA24[[#This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499.17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SUM(TABELA24[[#This Row],[T1]:[T7]])</f>
        <v>0</v>
      </c>
      <c r="P28" s="21">
        <f>TABELA24[[#This Row],[QTDE]]*TABELA24[[#This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332.5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SUM(TABELA24[[#This Row],[T1]:[T7]])</f>
        <v>0</v>
      </c>
      <c r="P29" s="21">
        <f>TABELA24[[#This Row],[QTDE]]*TABELA24[[#This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415.83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SUM(TABELA24[[#This Row],[T1]:[T7]])</f>
        <v>0</v>
      </c>
      <c r="P30" s="21">
        <f>TABELA24[[#This Row],[QTDE]]*TABELA24[[#This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220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SUM(TABELA24[[#This Row],[T1]:[T7]])</f>
        <v>0</v>
      </c>
      <c r="P31" s="21">
        <f>TABELA24[[#This Row],[QTDE]]*TABELA24[[#This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220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SUM(TABELA24[[#This Row],[T1]:[T7]])</f>
        <v>0</v>
      </c>
      <c r="P32" s="21">
        <f>TABELA24[[#This Row],[QTDE]]*TABELA24[[#This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311.67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SUM(TABELA24[[#This Row],[T1]:[T7]])</f>
        <v>0</v>
      </c>
      <c r="P33" s="21">
        <f>TABELA24[[#This Row],[QTDE]]*TABELA24[[#This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311.67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SUM(TABELA24[[#This Row],[T1]:[T7]])</f>
        <v>0</v>
      </c>
      <c r="P34" s="21">
        <f>TABELA24[[#This Row],[QTDE]]*TABELA24[[#This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415.83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SUM(TABELA24[[#This Row],[T1]:[T7]])</f>
        <v>0</v>
      </c>
      <c r="P35" s="21">
        <f>TABELA24[[#This Row],[QTDE]]*TABELA24[[#This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499.17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SUM(TABELA24[[#This Row],[T1]:[T7]])</f>
        <v>0</v>
      </c>
      <c r="P36" s="21">
        <f>TABELA24[[#This Row],[QTDE]]*TABELA24[[#This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374.17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SUM(TABELA24[[#This Row],[T1]:[T7]])</f>
        <v>0</v>
      </c>
      <c r="P37" s="21">
        <f>TABELA24[[#This Row],[QTDE]]*TABELA24[[#This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332.5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SUM(TABELA24[[#This Row],[T1]:[T7]])</f>
        <v>0</v>
      </c>
      <c r="P38" s="21">
        <f>TABELA24[[#This Row],[QTDE]]*TABELA24[[#This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220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SUM(TABELA24[[#This Row],[T1]:[T7]])</f>
        <v>0</v>
      </c>
      <c r="P39" s="21">
        <f>TABELA24[[#This Row],[QTDE]]*TABELA24[[#This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365.83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SUM(TABELA24[[#This Row],[T1]:[T7]])</f>
        <v>0</v>
      </c>
      <c r="P40" s="21">
        <f>TABELA24[[#This Row],[QTDE]]*TABELA24[[#This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374.17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SUM(TABELA24[[#This Row],[T1]:[T7]])</f>
        <v>0</v>
      </c>
      <c r="P41" s="21">
        <f>TABELA24[[#This Row],[QTDE]]*TABELA24[[#This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332.5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SUM(TABELA24[[#This Row],[T1]:[T7]])</f>
        <v>0</v>
      </c>
      <c r="P42" s="21">
        <f>TABELA24[[#This Row],[QTDE]]*TABELA24[[#This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415.83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SUM(TABELA24[[#This Row],[T1]:[T7]])</f>
        <v>0</v>
      </c>
      <c r="P43" s="21">
        <f>TABELA24[[#This Row],[QTDE]]*TABELA24[[#This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290.83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SUM(TABELA24[[#This Row],[T1]:[T7]])</f>
        <v>0</v>
      </c>
      <c r="P44" s="21">
        <f>TABELA24[[#This Row],[QTDE]]*TABELA24[[#This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374.17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SUM(TABELA24[[#This Row],[T1]:[T7]])</f>
        <v>0</v>
      </c>
      <c r="P45" s="21">
        <f>TABELA24[[#This Row],[QTDE]]*TABELA24[[#This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415.83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SUM(TABELA24[[#This Row],[T1]:[T7]])</f>
        <v>0</v>
      </c>
      <c r="P46" s="21">
        <f>TABELA24[[#This Row],[QTDE]]*TABELA24[[#This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311.67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SUM(TABELA24[[#This Row],[T1]:[T7]])</f>
        <v>0</v>
      </c>
      <c r="P47" s="21">
        <f>TABELA24[[#This Row],[QTDE]]*TABELA24[[#This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332.5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SUM(TABELA24[[#This Row],[T1]:[T7]])</f>
        <v>0</v>
      </c>
      <c r="P48" s="21">
        <f>TABELA24[[#This Row],[QTDE]]*TABELA24[[#This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332.5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SUM(TABELA24[[#This Row],[T1]:[T7]])</f>
        <v>0</v>
      </c>
      <c r="P49" s="21">
        <f>TABELA24[[#This Row],[QTDE]]*TABELA24[[#This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270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SUM(TABELA24[[#This Row],[T1]:[T7]])</f>
        <v>0</v>
      </c>
      <c r="P50" s="21">
        <f>TABELA24[[#This Row],[QTDE]]*TABELA24[[#This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499.17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SUM(TABELA24[[#This Row],[T1]:[T7]])</f>
        <v>0</v>
      </c>
      <c r="P51" s="21">
        <f>TABELA24[[#This Row],[QTDE]]*TABELA24[[#This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353.33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SUM(TABELA24[[#This Row],[T1]:[T7]])</f>
        <v>0</v>
      </c>
      <c r="P52" s="21">
        <f>TABELA24[[#This Row],[QTDE]]*TABELA24[[#This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249.17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SUM(TABELA24[[#This Row],[T1]:[T7]])</f>
        <v>0</v>
      </c>
      <c r="P53" s="21">
        <f>TABELA24[[#This Row],[QTDE]]*TABELA24[[#This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399.17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SUM(TABELA24[[#This Row],[T1]:[T7]])</f>
        <v>0</v>
      </c>
      <c r="P54" s="21">
        <f>TABELA24[[#This Row],[QTDE]]*TABELA24[[#This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290.83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SUM(TABELA24[[#This Row],[T1]:[T7]])</f>
        <v>0</v>
      </c>
      <c r="P55" s="21">
        <f>TABELA24[[#This Row],[QTDE]]*TABELA24[[#This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290.83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SUM(TABELA24[[#This Row],[T1]:[T7]])</f>
        <v>0</v>
      </c>
      <c r="P56" s="21">
        <f>TABELA24[[#This Row],[QTDE]]*TABELA24[[#This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186.67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SUM(TABELA24[[#This Row],[T1]:[T7]])</f>
        <v>0</v>
      </c>
      <c r="P57" s="21">
        <f>TABELA24[[#This Row],[QTDE]]*TABELA24[[#This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207.5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SUM(TABELA24[[#This Row],[T1]:[T7]])</f>
        <v>0</v>
      </c>
      <c r="P58" s="21">
        <f>TABELA24[[#This Row],[QTDE]]*TABELA24[[#This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207.5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SUM(TABELA24[[#This Row],[T1]:[T7]])</f>
        <v>0</v>
      </c>
      <c r="P59" s="21">
        <f>TABELA24[[#This Row],[QTDE]]*TABELA24[[#This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332.5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SUM(TABELA24[[#This Row],[T1]:[T7]])</f>
        <v>0</v>
      </c>
      <c r="P60" s="21">
        <f>TABELA24[[#This Row],[QTDE]]*TABELA24[[#This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332.5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SUM(TABELA24[[#This Row],[T1]:[T7]])</f>
        <v>0</v>
      </c>
      <c r="P61" s="21">
        <f>TABELA24[[#This Row],[QTDE]]*TABELA24[[#This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249.17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SUM(TABELA24[[#This Row],[T1]:[T7]])</f>
        <v>0</v>
      </c>
      <c r="P62" s="21">
        <f>TABELA24[[#This Row],[QTDE]]*TABELA24[[#This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207.5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SUM(TABELA24[[#This Row],[T1]:[T7]])</f>
        <v>0</v>
      </c>
      <c r="P63" s="21">
        <f>TABELA24[[#This Row],[QTDE]]*TABELA24[[#This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220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SUM(TABELA24[[#This Row],[T1]:[T7]])</f>
        <v>0</v>
      </c>
      <c r="P64" s="21">
        <f>TABELA24[[#This Row],[QTDE]]*TABELA24[[#This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165.83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SUM(TABELA24[[#This Row],[T1]:[T7]])</f>
        <v>0</v>
      </c>
      <c r="P65" s="21">
        <f>TABELA24[[#This Row],[QTDE]]*TABELA24[[#This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165.83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SUM(TABELA24[[#This Row],[T1]:[T7]])</f>
        <v>0</v>
      </c>
      <c r="P66" s="21">
        <f>TABELA24[[#This Row],[QTDE]]*TABELA24[[#This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132.5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SUM(TABELA24[[#This Row],[T1]:[T7]])</f>
        <v>0</v>
      </c>
      <c r="P67" s="21">
        <f>TABELA24[[#This Row],[QTDE]]*TABELA24[[#This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136.66999999999999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SUM(TABELA24[[#This Row],[T1]:[T7]])</f>
        <v>0</v>
      </c>
      <c r="P68" s="21">
        <f>TABELA24[[#This Row],[QTDE]]*TABELA24[[#This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165.83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SUM(TABELA24[[#This Row],[T1]:[T7]])</f>
        <v>0</v>
      </c>
      <c r="P69" s="21">
        <f>TABELA24[[#This Row],[QTDE]]*TABELA24[[#This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165.83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SUM(TABELA24[[#This Row],[T1]:[T7]])</f>
        <v>0</v>
      </c>
      <c r="P70" s="21">
        <f>TABELA24[[#This Row],[QTDE]]*TABELA24[[#This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165.83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SUM(TABELA24[[#This Row],[T1]:[T7]])</f>
        <v>0</v>
      </c>
      <c r="P71" s="21">
        <f>TABELA24[[#This Row],[QTDE]]*TABELA24[[#This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165.83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SUM(TABELA24[[#This Row],[T1]:[T7]])</f>
        <v>0</v>
      </c>
      <c r="P72" s="21">
        <f>TABELA24[[#This Row],[QTDE]]*TABELA24[[#This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195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SUM(TABELA24[[#This Row],[T1]:[T7]])</f>
        <v>0</v>
      </c>
      <c r="P73" s="21">
        <f>TABELA24[[#This Row],[QTDE]]*TABELA24[[#This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207.5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SUM(TABELA24[[#This Row],[T1]:[T7]])</f>
        <v>0</v>
      </c>
      <c r="P74" s="21">
        <f>TABELA24[[#This Row],[QTDE]]*TABELA24[[#This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165.83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SUM(TABELA24[[#This Row],[T1]:[T7]])</f>
        <v>0</v>
      </c>
      <c r="P75" s="21">
        <f>TABELA24[[#This Row],[QTDE]]*TABELA24[[#This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186.67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SUM(TABELA24[[#This Row],[T1]:[T7]])</f>
        <v>0</v>
      </c>
      <c r="P76" s="21">
        <f>TABELA24[[#This Row],[QTDE]]*TABELA24[[#This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249.17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SUM(TABELA24[[#This Row],[T1]:[T7]])</f>
        <v>0</v>
      </c>
      <c r="P77" s="21">
        <f>TABELA24[[#This Row],[QTDE]]*TABELA24[[#This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178.33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SUM(TABELA24[[#This Row],[T1]:[T7]])</f>
        <v>0</v>
      </c>
      <c r="P78" s="21">
        <f>TABELA24[[#This Row],[QTDE]]*TABELA24[[#This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353.33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SUM(TABELA24[[#This Row],[T1]:[T7]])</f>
        <v>0</v>
      </c>
      <c r="P79" s="21">
        <f>TABELA24[[#This Row],[QTDE]]*TABELA24[[#This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207.5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SUM(TABELA24[[#This Row],[T1]:[T7]])</f>
        <v>0</v>
      </c>
      <c r="P80" s="21">
        <f>TABELA24[[#This Row],[QTDE]]*TABELA24[[#This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124.17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SUM(TABELA24[[#This Row],[T1]:[T7]])</f>
        <v>0</v>
      </c>
      <c r="P81" s="21">
        <f>TABELA24[[#This Row],[QTDE]]*TABELA24[[#This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165.83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SUM(TABELA24[[#This Row],[T1]:[T7]])</f>
        <v>0</v>
      </c>
      <c r="P82" s="21">
        <f>TABELA24[[#This Row],[QTDE]]*TABELA24[[#This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195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SUM(TABELA24[[#This Row],[T1]:[T7]])</f>
        <v>0</v>
      </c>
      <c r="P83" s="21">
        <f>TABELA24[[#This Row],[QTDE]]*TABELA24[[#This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165.83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SUM(TABELA24[[#This Row],[T1]:[T7]])</f>
        <v>0</v>
      </c>
      <c r="P84" s="21">
        <f>TABELA24[[#This Row],[QTDE]]*TABELA24[[#This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165.83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SUM(TABELA24[[#This Row],[T1]:[T7]])</f>
        <v>0</v>
      </c>
      <c r="P85" s="21">
        <f>TABELA24[[#This Row],[QTDE]]*TABELA24[[#This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249.17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SUM(TABELA24[[#This Row],[T1]:[T7]])</f>
        <v>0</v>
      </c>
      <c r="P86" s="21">
        <f>TABELA24[[#This Row],[QTDE]]*TABELA24[[#This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270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SUM(TABELA24[[#This Row],[T1]:[T7]])</f>
        <v>0</v>
      </c>
      <c r="P87" s="21">
        <f>TABELA24[[#This Row],[QTDE]]*TABELA24[[#This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270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SUM(TABELA24[[#This Row],[T1]:[T7]])</f>
        <v>0</v>
      </c>
      <c r="P88" s="21">
        <f>TABELA24[[#This Row],[QTDE]]*TABELA24[[#This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249.17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SUM(TABELA24[[#This Row],[T1]:[T7]])</f>
        <v>0</v>
      </c>
      <c r="P89" s="21">
        <f>TABELA24[[#This Row],[QTDE]]*TABELA24[[#This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195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SUM(TABELA24[[#This Row],[T1]:[T7]])</f>
        <v>0</v>
      </c>
      <c r="P90" s="21">
        <f>TABELA24[[#This Row],[QTDE]]*TABELA24[[#This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195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SUM(TABELA24[[#This Row],[T1]:[T7]])</f>
        <v>0</v>
      </c>
      <c r="P91" s="21">
        <f>TABELA24[[#This Row],[QTDE]]*TABELA24[[#This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195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SUM(TABELA24[[#This Row],[T1]:[T7]])</f>
        <v>0</v>
      </c>
      <c r="P92" s="21">
        <f>TABELA24[[#This Row],[QTDE]]*TABELA24[[#This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303.33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SUM(TABELA24[[#This Row],[T1]:[T7]])</f>
        <v>0</v>
      </c>
      <c r="P93" s="21">
        <f>TABELA24[[#This Row],[QTDE]]*TABELA24[[#This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178.33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SUM(TABELA24[[#This Row],[T1]:[T7]])</f>
        <v>0</v>
      </c>
      <c r="P94" s="21">
        <f>TABELA24[[#This Row],[QTDE]]*TABELA24[[#This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165.83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SUM(TABELA24[[#This Row],[T1]:[T7]])</f>
        <v>0</v>
      </c>
      <c r="P95" s="21">
        <f>TABELA24[[#This Row],[QTDE]]*TABELA24[[#This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165.83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SUM(TABELA24[[#This Row],[T1]:[T7]])</f>
        <v>0</v>
      </c>
      <c r="P96" s="21">
        <f>TABELA24[[#This Row],[QTDE]]*TABELA24[[#This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332.5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SUM(TABELA24[[#This Row],[T1]:[T7]])</f>
        <v>0</v>
      </c>
      <c r="P97" s="21">
        <f>TABELA24[[#This Row],[QTDE]]*TABELA24[[#This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290.83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SUM(TABELA24[[#This Row],[T1]:[T7]])</f>
        <v>0</v>
      </c>
      <c r="P98" s="21">
        <f>TABELA24[[#This Row],[QTDE]]*TABELA24[[#This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290.83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SUM(TABELA24[[#This Row],[T1]:[T7]])</f>
        <v>0</v>
      </c>
      <c r="P99" s="21">
        <f>TABELA24[[#This Row],[QTDE]]*TABELA24[[#This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228.33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SUM(TABELA24[[#This Row],[T1]:[T7]])</f>
        <v>0</v>
      </c>
      <c r="P100" s="21">
        <f>TABELA24[[#This Row],[QTDE]]*TABELA24[[#This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190.83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SUM(TABELA24[[#This Row],[T1]:[T7]])</f>
        <v>0</v>
      </c>
      <c r="P101" s="21">
        <f>TABELA24[[#This Row],[QTDE]]*TABELA24[[#This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178.33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SUM(TABELA24[[#This Row],[T1]:[T7]])</f>
        <v>0</v>
      </c>
      <c r="P102" s="21">
        <f>TABELA24[[#This Row],[QTDE]]*TABELA24[[#This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136.66999999999999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SUM(TABELA24[[#This Row],[T1]:[T7]])</f>
        <v>0</v>
      </c>
      <c r="P103" s="21">
        <f>TABELA24[[#This Row],[QTDE]]*TABELA24[[#This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220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SUM(TABELA24[[#This Row],[T1]:[T7]])</f>
        <v>0</v>
      </c>
      <c r="P104" s="21">
        <f>TABELA24[[#This Row],[QTDE]]*TABELA24[[#This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220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SUM(TABELA24[[#This Row],[T1]:[T7]])</f>
        <v>0</v>
      </c>
      <c r="P105" s="21">
        <f>TABELA24[[#This Row],[QTDE]]*TABELA24[[#This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149.16999999999999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SUM(TABELA24[[#This Row],[T1]:[T7]])</f>
        <v>0</v>
      </c>
      <c r="P106" s="21">
        <f>TABELA24[[#This Row],[QTDE]]*TABELA24[[#This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190.83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SUM(TABELA24[[#This Row],[T1]:[T7]])</f>
        <v>0</v>
      </c>
      <c r="P107" s="21">
        <f>TABELA24[[#This Row],[QTDE]]*TABELA24[[#This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136.66999999999999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SUM(TABELA24[[#This Row],[T1]:[T7]])</f>
        <v>0</v>
      </c>
      <c r="P108" s="21">
        <f>TABELA24[[#This Row],[QTDE]]*TABELA24[[#This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165.83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SUM(TABELA24[[#This Row],[T1]:[T7]])</f>
        <v>0</v>
      </c>
      <c r="P109" s="21">
        <f>TABELA24[[#This Row],[QTDE]]*TABELA24[[#This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190.83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SUM(TABELA24[[#This Row],[T1]:[T7]])</f>
        <v>0</v>
      </c>
      <c r="P110" s="21">
        <f>TABELA24[[#This Row],[QTDE]]*TABELA24[[#This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186.67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SUM(TABELA24[[#This Row],[T1]:[T7]])</f>
        <v>0</v>
      </c>
      <c r="P111" s="21">
        <f>TABELA24[[#This Row],[QTDE]]*TABELA24[[#This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165.83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SUM(TABELA24[[#This Row],[T1]:[T7]])</f>
        <v>0</v>
      </c>
      <c r="P112" s="21">
        <f>TABELA24[[#This Row],[QTDE]]*TABELA24[[#This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149.16999999999999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SUM(TABELA24[[#This Row],[T1]:[T7]])</f>
        <v>0</v>
      </c>
      <c r="P113" s="21">
        <f>TABELA24[[#This Row],[QTDE]]*TABELA24[[#This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232.5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SUM(TABELA24[[#This Row],[T1]:[T7]])</f>
        <v>0</v>
      </c>
      <c r="P114" s="21">
        <f>TABELA24[[#This Row],[QTDE]]*TABELA24[[#This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178.33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SUM(TABELA24[[#This Row],[T1]:[T7]])</f>
        <v>0</v>
      </c>
      <c r="P115" s="21">
        <f>TABELA24[[#This Row],[QTDE]]*TABELA24[[#This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165.83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SUM(TABELA24[[#This Row],[T1]:[T7]])</f>
        <v>0</v>
      </c>
      <c r="P116" s="21">
        <f>TABELA24[[#This Row],[QTDE]]*TABELA24[[#This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165.83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SUM(TABELA24[[#This Row],[T1]:[T7]])</f>
        <v>0</v>
      </c>
      <c r="P117" s="21">
        <f>TABELA24[[#This Row],[QTDE]]*TABELA24[[#This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195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SUM(TABELA24[[#This Row],[T1]:[T7]])</f>
        <v>0</v>
      </c>
      <c r="P118" s="21">
        <f>TABELA24[[#This Row],[QTDE]]*TABELA24[[#This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207.5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SUM(TABELA24[[#This Row],[T1]:[T7]])</f>
        <v>0</v>
      </c>
      <c r="P119" s="21">
        <f>TABELA24[[#This Row],[QTDE]]*TABELA24[[#This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199.13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SUM(TABELA24[[#This Row],[T1]:[T7]])</f>
        <v>0</v>
      </c>
      <c r="P120" s="21">
        <f>TABELA24[[#This Row],[QTDE]]*TABELA24[[#This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199.13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SUM(TABELA24[[#This Row],[T1]:[T7]])</f>
        <v>0</v>
      </c>
      <c r="P121" s="21">
        <f>TABELA24[[#This Row],[QTDE]]*TABELA24[[#This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178.33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SUM(TABELA24[[#This Row],[T1]:[T7]])</f>
        <v>0</v>
      </c>
      <c r="P122" s="21">
        <f>TABELA24[[#This Row],[QTDE]]*TABELA24[[#This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165.83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SUM(TABELA24[[#This Row],[T1]:[T7]])</f>
        <v>0</v>
      </c>
      <c r="P123" s="21">
        <f>TABELA24[[#This Row],[QTDE]]*TABELA24[[#This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249.17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SUM(TABELA24[[#This Row],[T1]:[T7]])</f>
        <v>0</v>
      </c>
      <c r="P124" s="21">
        <f>TABELA24[[#This Row],[QTDE]]*TABELA24[[#This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178.33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SUM(TABELA24[[#This Row],[T1]:[T7]])</f>
        <v>0</v>
      </c>
      <c r="P125" s="21">
        <f>TABELA24[[#This Row],[QTDE]]*TABELA24[[#This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115.83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SUM(TABELA24[[#This Row],[T1]:[T7]])</f>
        <v>0</v>
      </c>
      <c r="P126" s="21">
        <f>TABELA24[[#This Row],[QTDE]]*TABELA24[[#This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115.83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SUM(TABELA24[[#This Row],[T1]:[T7]])</f>
        <v>0</v>
      </c>
      <c r="P127" s="21">
        <f>TABELA24[[#This Row],[QTDE]]*TABELA24[[#This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165.83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SUM(TABELA24[[#This Row],[T1]:[T7]])</f>
        <v>0</v>
      </c>
      <c r="P128" s="21">
        <f>TABELA24[[#This Row],[QTDE]]*TABELA24[[#This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290.83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SUM(TABELA24[[#This Row],[T1]:[T7]])</f>
        <v>0</v>
      </c>
      <c r="P129" s="21">
        <f>TABELA24[[#This Row],[QTDE]]*TABELA24[[#This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320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SUM(TABELA24[[#This Row],[T1]:[T7]])</f>
        <v>0</v>
      </c>
      <c r="P130" s="21">
        <f>TABELA24[[#This Row],[QTDE]]*TABELA24[[#This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228.33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SUM(TABELA24[[#This Row],[T1]:[T7]])</f>
        <v>0</v>
      </c>
      <c r="P131" s="21">
        <f>TABELA24[[#This Row],[QTDE]]*TABELA24[[#This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228.33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SUM(TABELA24[[#This Row],[T1]:[T7]])</f>
        <v>0</v>
      </c>
      <c r="P132" s="21">
        <f>TABELA24[[#This Row],[QTDE]]*TABELA24[[#This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228.33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SUM(TABELA24[[#This Row],[T1]:[T7]])</f>
        <v>0</v>
      </c>
      <c r="P133" s="21">
        <f>TABELA24[[#This Row],[QTDE]]*TABELA24[[#This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332.5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SUM(TABELA24[[#This Row],[T1]:[T7]])</f>
        <v>0</v>
      </c>
      <c r="P134" s="21">
        <f>TABELA24[[#This Row],[QTDE]]*TABELA24[[#This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207.5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SUM(TABELA24[[#This Row],[T1]:[T7]])</f>
        <v>0</v>
      </c>
      <c r="P135" s="21">
        <f>TABELA24[[#This Row],[QTDE]]*TABELA24[[#This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186.67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SUM(TABELA24[[#This Row],[T1]:[T7]])</f>
        <v>0</v>
      </c>
      <c r="P136" s="21">
        <f>TABELA24[[#This Row],[QTDE]]*TABELA24[[#This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374.17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SUM(TABELA24[[#This Row],[T1]:[T7]])</f>
        <v>0</v>
      </c>
      <c r="P137" s="21">
        <f>TABELA24[[#This Row],[QTDE]]*TABELA24[[#This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165.83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SUM(TABELA24[[#This Row],[T1]:[T7]])</f>
        <v>0</v>
      </c>
      <c r="P138" s="21">
        <f>TABELA24[[#This Row],[QTDE]]*TABELA24[[#This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220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SUM(TABELA24[[#This Row],[T1]:[T7]])</f>
        <v>0</v>
      </c>
      <c r="P139" s="21">
        <f>TABELA24[[#This Row],[QTDE]]*TABELA24[[#This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232.5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SUM(TABELA24[[#This Row],[T1]:[T7]])</f>
        <v>0</v>
      </c>
      <c r="P140" s="21">
        <f>TABELA24[[#This Row],[QTDE]]*TABELA24[[#This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178.3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SUM(TABELA24[[#This Row],[T1]:[T7]])</f>
        <v>0</v>
      </c>
      <c r="P141" s="21">
        <f>TABELA24[[#This Row],[QTDE]]*TABELA24[[#This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149.16999999999999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SUM(TABELA24[[#This Row],[T1]:[T7]])</f>
        <v>0</v>
      </c>
      <c r="P142" s="21">
        <f>TABELA24[[#This Row],[QTDE]]*TABELA24[[#This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232.5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SUM(TABELA24[[#This Row],[T1]:[T7]])</f>
        <v>0</v>
      </c>
      <c r="P143" s="21">
        <f>TABELA24[[#This Row],[QTDE]]*TABELA24[[#This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207.5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SUM(TABELA24[[#This Row],[T1]:[T7]])</f>
        <v>0</v>
      </c>
      <c r="P144" s="21">
        <f>TABELA24[[#This Row],[QTDE]]*TABELA24[[#This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220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SUM(TABELA24[[#This Row],[T1]:[T7]])</f>
        <v>0</v>
      </c>
      <c r="P145" s="21">
        <f>TABELA24[[#This Row],[QTDE]]*TABELA24[[#This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374.17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SUM(TABELA24[[#This Row],[T1]:[T7]])</f>
        <v>0</v>
      </c>
      <c r="P146" s="21">
        <f>TABELA24[[#This Row],[QTDE]]*TABELA24[[#This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374.17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SUM(TABELA24[[#This Row],[T1]:[T7]])</f>
        <v>0</v>
      </c>
      <c r="P147" s="21">
        <f>TABELA24[[#This Row],[QTDE]]*TABELA24[[#This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332.5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SUM(TABELA24[[#This Row],[T1]:[T7]])</f>
        <v>0</v>
      </c>
      <c r="P148" s="21">
        <f>TABELA24[[#This Row],[QTDE]]*TABELA24[[#This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353.33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SUM(TABELA24[[#This Row],[T1]:[T7]])</f>
        <v>0</v>
      </c>
      <c r="P149" s="21">
        <f>TABELA24[[#This Row],[QTDE]]*TABELA24[[#This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315.83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SUM(TABELA24[[#This Row],[T1]:[T7]])</f>
        <v>0</v>
      </c>
      <c r="P150" s="21">
        <f>TABELA24[[#This Row],[QTDE]]*TABELA24[[#This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332.45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SUM(TABELA24[[#This Row],[T1]:[T7]])</f>
        <v>0</v>
      </c>
      <c r="P151" s="21">
        <f>TABELA24[[#This Row],[QTDE]]*TABELA24[[#This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332.45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SUM(TABELA24[[#This Row],[T1]:[T7]])</f>
        <v>0</v>
      </c>
      <c r="P152" s="21">
        <f>TABELA24[[#This Row],[QTDE]]*TABELA24[[#This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249.17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SUM(TABELA24[[#This Row],[T1]:[T7]])</f>
        <v>0</v>
      </c>
      <c r="P153" s="21">
        <f>TABELA24[[#This Row],[QTDE]]*TABELA24[[#This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303.33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SUM(TABELA24[[#This Row],[T1]:[T7]])</f>
        <v>0</v>
      </c>
      <c r="P154" s="21">
        <f>TABELA24[[#This Row],[QTDE]]*TABELA24[[#This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303.33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SUM(TABELA24[[#This Row],[T1]:[T7]])</f>
        <v>0</v>
      </c>
      <c r="P155" s="21">
        <f>TABELA24[[#This Row],[QTDE]]*TABELA24[[#This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207.5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SUM(TABELA24[[#This Row],[T1]:[T7]])</f>
        <v>0</v>
      </c>
      <c r="P156" s="21">
        <f>TABELA24[[#This Row],[QTDE]]*TABELA24[[#This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207.5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SUM(TABELA24[[#This Row],[T1]:[T7]])</f>
        <v>0</v>
      </c>
      <c r="P157" s="21">
        <f>TABELA24[[#This Row],[QTDE]]*TABELA24[[#This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207.5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SUM(TABELA24[[#This Row],[T1]:[T7]])</f>
        <v>0</v>
      </c>
      <c r="P158" s="21">
        <f>TABELA24[[#This Row],[QTDE]]*TABELA24[[#This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415.83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SUM(TABELA24[[#This Row],[T1]:[T7]])</f>
        <v>0</v>
      </c>
      <c r="P159" s="21">
        <f>TABELA24[[#This Row],[QTDE]]*TABELA24[[#This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415.83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SUM(TABELA24[[#This Row],[T1]:[T7]])</f>
        <v>0</v>
      </c>
      <c r="P160" s="21">
        <f>TABELA24[[#This Row],[QTDE]]*TABELA24[[#This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415.83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SUM(TABELA24[[#This Row],[T1]:[T7]])</f>
        <v>0</v>
      </c>
      <c r="P161" s="21">
        <f>TABELA24[[#This Row],[QTDE]]*TABELA24[[#This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228.3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SUM(TABELA24[[#This Row],[T1]:[T7]])</f>
        <v>0</v>
      </c>
      <c r="P162" s="21">
        <f>TABELA24[[#This Row],[QTDE]]*TABELA24[[#This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249.17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SUM(TABELA24[[#This Row],[T1]:[T7]])</f>
        <v>0</v>
      </c>
      <c r="P163" s="21">
        <f>TABELA24[[#This Row],[QTDE]]*TABELA24[[#This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290.83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SUM(TABELA24[[#This Row],[T1]:[T7]])</f>
        <v>0</v>
      </c>
      <c r="P164" s="21">
        <f>TABELA24[[#This Row],[QTDE]]*TABELA24[[#This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290.83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SUM(TABELA24[[#This Row],[T1]:[T7]])</f>
        <v>0</v>
      </c>
      <c r="P165" s="21">
        <f>TABELA24[[#This Row],[QTDE]]*TABELA24[[#This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190.83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SUM(TABELA24[[#This Row],[T1]:[T7]])</f>
        <v>0</v>
      </c>
      <c r="P166" s="21">
        <f>TABELA24[[#This Row],[QTDE]]*TABELA24[[#This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165.83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SUM(TABELA24[[#This Row],[T1]:[T7]])</f>
        <v>0</v>
      </c>
      <c r="P167" s="21">
        <f>TABELA24[[#This Row],[QTDE]]*TABELA24[[#This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111.67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SUM(TABELA24[[#This Row],[T1]:[T7]])</f>
        <v>0</v>
      </c>
      <c r="P168" s="21">
        <f>TABELA24[[#This Row],[QTDE]]*TABELA24[[#This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82.5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SUM(TABELA24[[#This Row],[T1]:[T7]])</f>
        <v>0</v>
      </c>
      <c r="P169" s="21">
        <f>TABELA24[[#This Row],[QTDE]]*TABELA24[[#This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82.5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SUM(TABELA24[[#This Row],[T1]:[T7]])</f>
        <v>0</v>
      </c>
      <c r="P170" s="21">
        <f>TABELA24[[#This Row],[QTDE]]*TABELA24[[#This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290.83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SUM(TABELA24[[#This Row],[T1]:[T7]])</f>
        <v>0</v>
      </c>
      <c r="P171" s="21">
        <f>TABELA24[[#This Row],[QTDE]]*TABELA24[[#This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290.83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SUM(TABELA24[[#This Row],[T1]:[T7]])</f>
        <v>0</v>
      </c>
      <c r="P172" s="21">
        <f>TABELA24[[#This Row],[QTDE]]*TABELA24[[#This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290.83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SUM(TABELA24[[#This Row],[T1]:[T7]])</f>
        <v>0</v>
      </c>
      <c r="P173" s="21">
        <f>TABELA24[[#This Row],[QTDE]]*TABELA24[[#This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228.33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SUM(TABELA24[[#This Row],[T1]:[T7]])</f>
        <v>0</v>
      </c>
      <c r="P174" s="21">
        <f>TABELA24[[#This Row],[QTDE]]*TABELA24[[#This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228.33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SUM(TABELA24[[#This Row],[T1]:[T7]])</f>
        <v>0</v>
      </c>
      <c r="P175" s="21">
        <f>TABELA24[[#This Row],[QTDE]]*TABELA24[[#This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290.83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SUM(TABELA24[[#This Row],[T1]:[T7]])</f>
        <v>0</v>
      </c>
      <c r="P176" s="21">
        <f>TABELA24[[#This Row],[QTDE]]*TABELA24[[#This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178.33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SUM(TABELA24[[#This Row],[T1]:[T7]])</f>
        <v>0</v>
      </c>
      <c r="P177" s="21">
        <f>TABELA24[[#This Row],[QTDE]]*TABELA24[[#This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165.83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SUM(TABELA24[[#This Row],[T1]:[T7]])</f>
        <v>0</v>
      </c>
      <c r="P178" s="21">
        <f>TABELA24[[#This Row],[QTDE]]*TABELA24[[#This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165.83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SUM(TABELA24[[#This Row],[T1]:[T7]])</f>
        <v>0</v>
      </c>
      <c r="P179" s="21">
        <f>TABELA24[[#This Row],[QTDE]]*TABELA24[[#This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199.17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SUM(TABELA24[[#This Row],[T1]:[T7]])</f>
        <v>0</v>
      </c>
      <c r="P180" s="21">
        <f>TABELA24[[#This Row],[QTDE]]*TABELA24[[#This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157.5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SUM(TABELA24[[#This Row],[T1]:[T7]])</f>
        <v>0</v>
      </c>
      <c r="P181" s="21">
        <f>TABELA24[[#This Row],[QTDE]]*TABELA24[[#This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124.17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SUM(TABELA24[[#This Row],[T1]:[T7]])</f>
        <v>0</v>
      </c>
      <c r="P182" s="21">
        <f>TABELA24[[#This Row],[QTDE]]*TABELA24[[#This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124.17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SUM(TABELA24[[#This Row],[T1]:[T7]])</f>
        <v>0</v>
      </c>
      <c r="P183" s="21">
        <f>TABELA24[[#This Row],[QTDE]]*TABELA24[[#This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124.17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SUM(TABELA24[[#This Row],[T1]:[T7]])</f>
        <v>0</v>
      </c>
      <c r="P184" s="21">
        <f>TABELA24[[#This Row],[QTDE]]*TABELA24[[#This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207.5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SUM(TABELA24[[#This Row],[T1]:[T7]])</f>
        <v>0</v>
      </c>
      <c r="P185" s="21">
        <f>TABELA24[[#This Row],[QTDE]]*TABELA24[[#This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165.83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SUM(TABELA24[[#This Row],[T1]:[T7]])</f>
        <v>0</v>
      </c>
      <c r="P186" s="21">
        <f>TABELA24[[#This Row],[QTDE]]*TABELA24[[#This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178.33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SUM(TABELA24[[#This Row],[T1]:[T7]])</f>
        <v>0</v>
      </c>
      <c r="P187" s="21">
        <f>TABELA24[[#This Row],[QTDE]]*TABELA24[[#This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124.17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SUM(TABELA24[[#This Row],[T1]:[T7]])</f>
        <v>0</v>
      </c>
      <c r="P188" s="21">
        <f>TABELA24[[#This Row],[QTDE]]*TABELA24[[#This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124.17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SUM(TABELA24[[#This Row],[T1]:[T7]])</f>
        <v>0</v>
      </c>
      <c r="P189" s="21">
        <f>TABELA24[[#This Row],[QTDE]]*TABELA24[[#This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178.33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SUM(TABELA24[[#This Row],[T1]:[T7]])</f>
        <v>0</v>
      </c>
      <c r="P190" s="21">
        <f>TABELA24[[#This Row],[QTDE]]*TABELA24[[#This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140.83000000000001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SUM(TABELA24[[#This Row],[T1]:[T7]])</f>
        <v>0</v>
      </c>
      <c r="P191" s="21">
        <f>TABELA24[[#This Row],[QTDE]]*TABELA24[[#This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140.83000000000001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SUM(TABELA24[[#This Row],[T1]:[T7]])</f>
        <v>0</v>
      </c>
      <c r="P192" s="21">
        <f>TABELA24[[#This Row],[QTDE]]*TABELA24[[#This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149.16999999999999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SUM(TABELA24[[#This Row],[T1]:[T7]])</f>
        <v>0</v>
      </c>
      <c r="P193" s="21">
        <f>TABELA24[[#This Row],[QTDE]]*TABELA24[[#This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140.83000000000001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SUM(TABELA24[[#This Row],[T1]:[T7]])</f>
        <v>0</v>
      </c>
      <c r="P194" s="21">
        <f>TABELA24[[#This Row],[QTDE]]*TABELA24[[#This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124.17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SUM(TABELA24[[#This Row],[T1]:[T7]])</f>
        <v>0</v>
      </c>
      <c r="P195" s="21">
        <f>TABELA24[[#This Row],[QTDE]]*TABELA24[[#This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140.83000000000001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SUM(TABELA24[[#This Row],[T1]:[T7]])</f>
        <v>0</v>
      </c>
      <c r="P196" s="21">
        <f>TABELA24[[#This Row],[QTDE]]*TABELA24[[#This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124.17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SUM(TABELA24[[#This Row],[T1]:[T7]])</f>
        <v>0</v>
      </c>
      <c r="P197" s="21">
        <f>TABELA24[[#This Row],[QTDE]]*TABELA24[[#This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186.67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SUM(TABELA24[[#This Row],[T1]:[T7]])</f>
        <v>0</v>
      </c>
      <c r="P198" s="21">
        <f>TABELA24[[#This Row],[QTDE]]*TABELA24[[#This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165.83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SUM(TABELA24[[#This Row],[T1]:[T7]])</f>
        <v>0</v>
      </c>
      <c r="P199" s="21">
        <f>TABELA24[[#This Row],[QTDE]]*TABELA24[[#This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207.5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SUM(TABELA24[[#This Row],[T1]:[T7]])</f>
        <v>0</v>
      </c>
      <c r="P200" s="21">
        <f>TABELA24[[#This Row],[QTDE]]*TABELA24[[#This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157.5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SUM(TABELA24[[#This Row],[T1]:[T7]])</f>
        <v>0</v>
      </c>
      <c r="P201" s="21">
        <f>TABELA24[[#This Row],[QTDE]]*TABELA24[[#This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149.16999999999999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SUM(TABELA24[[#This Row],[T1]:[T7]])</f>
        <v>0</v>
      </c>
      <c r="P202" s="21">
        <f>TABELA24[[#This Row],[QTDE]]*TABELA24[[#This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149.16999999999999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SUM(TABELA24[[#This Row],[T1]:[T7]])</f>
        <v>0</v>
      </c>
      <c r="P203" s="21">
        <f>TABELA24[[#This Row],[QTDE]]*TABELA24[[#This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207.5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SUM(TABELA24[[#This Row],[T1]:[T7]])</f>
        <v>0</v>
      </c>
      <c r="P204" s="21">
        <f>TABELA24[[#This Row],[QTDE]]*TABELA24[[#This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140.83000000000001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SUM(TABELA24[[#This Row],[T1]:[T7]])</f>
        <v>0</v>
      </c>
      <c r="P205" s="21">
        <f>TABELA24[[#This Row],[QTDE]]*TABELA24[[#This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140.83000000000001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SUM(TABELA24[[#This Row],[T1]:[T7]])</f>
        <v>0</v>
      </c>
      <c r="P206" s="21">
        <f>TABELA24[[#This Row],[QTDE]]*TABELA24[[#This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140.83000000000001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SUM(TABELA24[[#This Row],[T1]:[T7]])</f>
        <v>0</v>
      </c>
      <c r="P207" s="21">
        <f>TABELA24[[#This Row],[QTDE]]*TABELA24[[#This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178.33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SUM(TABELA24[[#This Row],[T1]:[T7]])</f>
        <v>0</v>
      </c>
      <c r="P208" s="21">
        <f>TABELA24[[#This Row],[QTDE]]*TABELA24[[#This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178.33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SUM(TABELA24[[#This Row],[T1]:[T7]])</f>
        <v>0</v>
      </c>
      <c r="P209" s="21">
        <f>TABELA24[[#This Row],[QTDE]]*TABELA24[[#This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149.16999999999999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SUM(TABELA24[[#This Row],[T1]:[T7]])</f>
        <v>0</v>
      </c>
      <c r="P210" s="21">
        <f>TABELA24[[#This Row],[QTDE]]*TABELA24[[#This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186.67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SUM(TABELA24[[#This Row],[T1]:[T7]])</f>
        <v>0</v>
      </c>
      <c r="P211" s="21">
        <f>TABELA24[[#This Row],[QTDE]]*TABELA24[[#This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207.5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SUM(TABELA24[[#This Row],[T1]:[T7]])</f>
        <v>0</v>
      </c>
      <c r="P212" s="21">
        <f>TABELA24[[#This Row],[QTDE]]*TABELA24[[#This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124.17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SUM(TABELA24[[#This Row],[T1]:[T7]])</f>
        <v>0</v>
      </c>
      <c r="P213" s="21">
        <f>TABELA24[[#This Row],[QTDE]]*TABELA24[[#This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165.83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SUM(TABELA24[[#This Row],[T1]:[T7]])</f>
        <v>0</v>
      </c>
      <c r="P214" s="21">
        <f>TABELA24[[#This Row],[QTDE]]*TABELA24[[#This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249.17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SUM(TABELA24[[#This Row],[T1]:[T7]])</f>
        <v>0</v>
      </c>
      <c r="P215" s="21">
        <f>TABELA24[[#This Row],[QTDE]]*TABELA24[[#This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124.17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SUM(TABELA24[[#This Row],[T1]:[T7]])</f>
        <v>0</v>
      </c>
      <c r="P216" s="21">
        <f>TABELA24[[#This Row],[QTDE]]*TABELA24[[#This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124.17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SUM(TABELA24[[#This Row],[T1]:[T7]])</f>
        <v>0</v>
      </c>
      <c r="P217" s="21">
        <f>TABELA24[[#This Row],[QTDE]]*TABELA24[[#This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199.17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SUM(TABELA24[[#This Row],[T1]:[T7]])</f>
        <v>0</v>
      </c>
      <c r="P218" s="21">
        <f>TABELA24[[#This Row],[QTDE]]*TABELA24[[#This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186.67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SUM(TABELA24[[#This Row],[T1]:[T7]])</f>
        <v>0</v>
      </c>
      <c r="P219" s="21">
        <f>TABELA24[[#This Row],[QTDE]]*TABELA24[[#This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124.17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SUM(TABELA24[[#This Row],[T1]:[T7]])</f>
        <v>0</v>
      </c>
      <c r="P220" s="21">
        <f>TABELA24[[#This Row],[QTDE]]*TABELA24[[#This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228.33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SUM(TABELA24[[#This Row],[T1]:[T7]])</f>
        <v>0</v>
      </c>
      <c r="P221" s="21">
        <f>TABELA24[[#This Row],[QTDE]]*TABELA24[[#This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249.17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SUM(TABELA24[[#This Row],[T1]:[T7]])</f>
        <v>0</v>
      </c>
      <c r="P222" s="21">
        <f>TABELA24[[#This Row],[QTDE]]*TABELA24[[#This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199.17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SUM(TABELA24[[#This Row],[T1]:[T7]])</f>
        <v>0</v>
      </c>
      <c r="P223" s="21">
        <f>TABELA24[[#This Row],[QTDE]]*TABELA24[[#This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136.66999999999999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SUM(TABELA24[[#This Row],[T1]:[T7]])</f>
        <v>0</v>
      </c>
      <c r="P224" s="21">
        <f>TABELA24[[#This Row],[QTDE]]*TABELA24[[#This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145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SUM(TABELA24[[#This Row],[T1]:[T7]])</f>
        <v>0</v>
      </c>
      <c r="P225" s="21">
        <f>TABELA24[[#This Row],[QTDE]]*TABELA24[[#This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145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SUM(TABELA24[[#This Row],[T1]:[T7]])</f>
        <v>0</v>
      </c>
      <c r="P226" s="21">
        <f>TABELA24[[#This Row],[QTDE]]*TABELA24[[#This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149.16999999999999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SUM(TABELA24[[#This Row],[T1]:[T7]])</f>
        <v>0</v>
      </c>
      <c r="P227" s="21">
        <f>TABELA24[[#This Row],[QTDE]]*TABELA24[[#This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149.16999999999999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SUM(TABELA24[[#This Row],[T1]:[T7]])</f>
        <v>0</v>
      </c>
      <c r="P228" s="21">
        <f>TABELA24[[#This Row],[QTDE]]*TABELA24[[#This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199.17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SUM(TABELA24[[#This Row],[T1]:[T7]])</f>
        <v>0</v>
      </c>
      <c r="P229" s="21">
        <f>TABELA24[[#This Row],[QTDE]]*TABELA24[[#This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207.5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SUM(TABELA24[[#This Row],[T1]:[T7]])</f>
        <v>0</v>
      </c>
      <c r="P230" s="21">
        <f>TABELA24[[#This Row],[QTDE]]*TABELA24[[#This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178.33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SUM(TABELA24[[#This Row],[T1]:[T7]])</f>
        <v>0</v>
      </c>
      <c r="P231" s="21">
        <f>TABELA24[[#This Row],[QTDE]]*TABELA24[[#This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178.33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SUM(TABELA24[[#This Row],[T1]:[T7]])</f>
        <v>0</v>
      </c>
      <c r="P232" s="21">
        <f>TABELA24[[#This Row],[QTDE]]*TABELA24[[#This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190.83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SUM(TABELA24[[#This Row],[T1]:[T7]])</f>
        <v>0</v>
      </c>
      <c r="P233" s="21">
        <f>TABELA24[[#This Row],[QTDE]]*TABELA24[[#This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178.33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SUM(TABELA24[[#This Row],[T1]:[T7]])</f>
        <v>0</v>
      </c>
      <c r="P234" s="21">
        <f>TABELA24[[#This Row],[QTDE]]*TABELA24[[#This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157.5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SUM(TABELA24[[#This Row],[T1]:[T7]])</f>
        <v>0</v>
      </c>
      <c r="P235" s="21">
        <f>TABELA24[[#This Row],[QTDE]]*TABELA24[[#This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157.5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SUM(TABELA24[[#This Row],[T1]:[T7]])</f>
        <v>0</v>
      </c>
      <c r="P236" s="21">
        <f>TABELA24[[#This Row],[QTDE]]*TABELA24[[#This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165.83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SUM(TABELA24[[#This Row],[T1]:[T7]])</f>
        <v>0</v>
      </c>
      <c r="P237" s="21">
        <f>TABELA24[[#This Row],[QTDE]]*TABELA24[[#This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165.83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SUM(TABELA24[[#This Row],[T1]:[T7]])</f>
        <v>0</v>
      </c>
      <c r="P238" s="21">
        <f>TABELA24[[#This Row],[QTDE]]*TABELA24[[#This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207.5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SUM(TABELA24[[#This Row],[T1]:[T7]])</f>
        <v>0</v>
      </c>
      <c r="P239" s="21">
        <f>TABELA24[[#This Row],[QTDE]]*TABELA24[[#This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149.16999999999999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SUM(TABELA24[[#This Row],[T1]:[T7]])</f>
        <v>0</v>
      </c>
      <c r="P240" s="21">
        <f>TABELA24[[#This Row],[QTDE]]*TABELA24[[#This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165.83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SUM(TABELA24[[#This Row],[T1]:[T7]])</f>
        <v>0</v>
      </c>
      <c r="P241" s="21">
        <f>TABELA24[[#This Row],[QTDE]]*TABELA24[[#This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165.83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SUM(TABELA24[[#This Row],[T1]:[T7]])</f>
        <v>0</v>
      </c>
      <c r="P242" s="21">
        <f>TABELA24[[#This Row],[QTDE]]*TABELA24[[#This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303.33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SUM(TABELA24[[#This Row],[T1]:[T7]])</f>
        <v>0</v>
      </c>
      <c r="P243" s="21">
        <f>TABELA24[[#This Row],[QTDE]]*TABELA24[[#This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303.33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SUM(TABELA24[[#This Row],[T1]:[T7]])</f>
        <v>0</v>
      </c>
      <c r="P244" s="21">
        <f>TABELA24[[#This Row],[QTDE]]*TABELA24[[#This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261.67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SUM(TABELA24[[#This Row],[T1]:[T7]])</f>
        <v>0</v>
      </c>
      <c r="P245" s="21">
        <f>TABELA24[[#This Row],[QTDE]]*TABELA24[[#This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261.67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SUM(TABELA24[[#This Row],[T1]:[T7]])</f>
        <v>0</v>
      </c>
      <c r="P246" s="21">
        <f>TABELA24[[#This Row],[QTDE]]*TABELA24[[#This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311.67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SUM(TABELA24[[#This Row],[T1]:[T7]])</f>
        <v>0</v>
      </c>
      <c r="P247" s="21">
        <f>TABELA24[[#This Row],[QTDE]]*TABELA24[[#This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290.83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SUM(TABELA24[[#This Row],[T1]:[T7]])</f>
        <v>0</v>
      </c>
      <c r="P248" s="21">
        <f>TABELA24[[#This Row],[QTDE]]*TABELA24[[#This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207.5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SUM(TABELA24[[#This Row],[T1]:[T7]])</f>
        <v>0</v>
      </c>
      <c r="P249" s="21">
        <f>TABELA24[[#This Row],[QTDE]]*TABELA24[[#This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190.83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SUM(TABELA24[[#This Row],[T1]:[T7]])</f>
        <v>0</v>
      </c>
      <c r="P250" s="21">
        <f>TABELA24[[#This Row],[QTDE]]*TABELA24[[#This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228.33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SUM(TABELA24[[#This Row],[T1]:[T7]])</f>
        <v>0</v>
      </c>
      <c r="P251" s="21">
        <f>TABELA24[[#This Row],[QTDE]]*TABELA24[[#This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186.67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SUM(TABELA24[[#This Row],[T1]:[T7]])</f>
        <v>0</v>
      </c>
      <c r="P252" s="21">
        <f>TABELA24[[#This Row],[QTDE]]*TABELA24[[#This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186.67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SUM(TABELA24[[#This Row],[T1]:[T7]])</f>
        <v>0</v>
      </c>
      <c r="P253" s="21">
        <f>TABELA24[[#This Row],[QTDE]]*TABELA24[[#This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157.5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SUM(TABELA24[[#This Row],[T1]:[T7]])</f>
        <v>0</v>
      </c>
      <c r="P254" s="21">
        <f>TABELA24[[#This Row],[QTDE]]*TABELA24[[#This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190.83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SUM(TABELA24[[#This Row],[T1]:[T7]])</f>
        <v>0</v>
      </c>
      <c r="P255" s="21">
        <f>TABELA24[[#This Row],[QTDE]]*TABELA24[[#This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249.17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SUM(TABELA24[[#This Row],[T1]:[T7]])</f>
        <v>0</v>
      </c>
      <c r="P256" s="21">
        <f>TABELA24[[#This Row],[QTDE]]*TABELA24[[#This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249.17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SUM(TABELA24[[#This Row],[T1]:[T7]])</f>
        <v>0</v>
      </c>
      <c r="P257" s="21">
        <f>TABELA24[[#This Row],[QTDE]]*TABELA24[[#This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199.17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SUM(TABELA24[[#This Row],[T1]:[T7]])</f>
        <v>0</v>
      </c>
      <c r="P258" s="21">
        <f>TABELA24[[#This Row],[QTDE]]*TABELA24[[#This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290.83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SUM(TABELA24[[#This Row],[T1]:[T7]])</f>
        <v>0</v>
      </c>
      <c r="P259" s="21">
        <f>TABELA24[[#This Row],[QTDE]]*TABELA24[[#This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149.16999999999999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SUM(TABELA24[[#This Row],[T1]:[T7]])</f>
        <v>0</v>
      </c>
      <c r="P260" s="21">
        <f>TABELA24[[#This Row],[QTDE]]*TABELA24[[#This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165.83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SUM(TABELA24[[#This Row],[T1]:[T7]])</f>
        <v>0</v>
      </c>
      <c r="P261" s="21">
        <f>TABELA24[[#This Row],[QTDE]]*TABELA24[[#This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207.5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SUM(TABELA24[[#This Row],[T1]:[T7]])</f>
        <v>0</v>
      </c>
      <c r="P262" s="21">
        <f>TABELA24[[#This Row],[QTDE]]*TABELA24[[#This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178.33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SUM(TABELA24[[#This Row],[T1]:[T7]])</f>
        <v>0</v>
      </c>
      <c r="P263" s="21">
        <f>TABELA24[[#This Row],[QTDE]]*TABELA24[[#This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165.83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SUM(TABELA24[[#This Row],[T1]:[T7]])</f>
        <v>0</v>
      </c>
      <c r="P264" s="21">
        <f>TABELA24[[#This Row],[QTDE]]*TABELA24[[#This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249.17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SUM(TABELA24[[#This Row],[T1]:[T7]])</f>
        <v>0</v>
      </c>
      <c r="P265" s="21">
        <f>TABELA24[[#This Row],[QTDE]]*TABELA24[[#This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186.67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SUM(TABELA24[[#This Row],[T1]:[T7]])</f>
        <v>0</v>
      </c>
      <c r="P266" s="21">
        <f>TABELA24[[#This Row],[QTDE]]*TABELA24[[#This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186.67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SUM(TABELA24[[#This Row],[T1]:[T7]])</f>
        <v>0</v>
      </c>
      <c r="P267" s="21">
        <f>TABELA24[[#This Row],[QTDE]]*TABELA24[[#This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290.83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SUM(TABELA24[[#This Row],[T1]:[T7]])</f>
        <v>0</v>
      </c>
      <c r="P268" s="21">
        <f>TABELA24[[#This Row],[QTDE]]*TABELA24[[#This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290.83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SUM(TABELA24[[#This Row],[T1]:[T7]])</f>
        <v>0</v>
      </c>
      <c r="P269" s="21">
        <f>TABELA24[[#This Row],[QTDE]]*TABELA24[[#This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182.5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SUM(TABELA24[[#This Row],[T1]:[T7]])</f>
        <v>0</v>
      </c>
      <c r="P270" s="21">
        <f>TABELA24[[#This Row],[QTDE]]*TABELA24[[#This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249.17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SUM(TABELA24[[#This Row],[T1]:[T7]])</f>
        <v>0</v>
      </c>
      <c r="P271" s="21">
        <f>TABELA24[[#This Row],[QTDE]]*TABELA24[[#This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290.83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SUM(TABELA24[[#This Row],[T1]:[T7]])</f>
        <v>0</v>
      </c>
      <c r="P272" s="21">
        <f>TABELA24[[#This Row],[QTDE]]*TABELA24[[#This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220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SUM(TABELA24[[#This Row],[T1]:[T7]])</f>
        <v>0</v>
      </c>
      <c r="P273" s="21">
        <f>TABELA24[[#This Row],[QTDE]]*TABELA24[[#This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220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SUM(TABELA24[[#This Row],[T1]:[T7]])</f>
        <v>0</v>
      </c>
      <c r="P274" s="21">
        <f>TABELA24[[#This Row],[QTDE]]*TABELA24[[#This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207.5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SUM(TABELA24[[#This Row],[T1]:[T7]])</f>
        <v>0</v>
      </c>
      <c r="P275" s="21">
        <f>TABELA24[[#This Row],[QTDE]]*TABELA24[[#This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249.17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SUM(TABELA24[[#This Row],[T1]:[T7]])</f>
        <v>0</v>
      </c>
      <c r="P276" s="21">
        <f>TABELA24[[#This Row],[QTDE]]*TABELA24[[#This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228.33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SUM(TABELA24[[#This Row],[T1]:[T7]])</f>
        <v>0</v>
      </c>
      <c r="P277" s="21">
        <f>TABELA24[[#This Row],[QTDE]]*TABELA24[[#This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178.33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SUM(TABELA24[[#This Row],[T1]:[T7]])</f>
        <v>0</v>
      </c>
      <c r="P278" s="21">
        <f>TABELA24[[#This Row],[QTDE]]*TABELA24[[#This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207.5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SUM(TABELA24[[#This Row],[T1]:[T7]])</f>
        <v>0</v>
      </c>
      <c r="P279" s="21">
        <f>TABELA24[[#This Row],[QTDE]]*TABELA24[[#This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207.5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SUM(TABELA24[[#This Row],[T1]:[T7]])</f>
        <v>0</v>
      </c>
      <c r="P280" s="21">
        <f>TABELA24[[#This Row],[QTDE]]*TABELA24[[#This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220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SUM(TABELA24[[#This Row],[T1]:[T7]])</f>
        <v>0</v>
      </c>
      <c r="P281" s="21">
        <f>TABELA24[[#This Row],[QTDE]]*TABELA24[[#This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228.33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SUM(TABELA24[[#This Row],[T1]:[T7]])</f>
        <v>0</v>
      </c>
      <c r="P282" s="21">
        <f>TABELA24[[#This Row],[QTDE]]*TABELA24[[#This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311.67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SUM(TABELA24[[#This Row],[T1]:[T7]])</f>
        <v>0</v>
      </c>
      <c r="P283" s="21">
        <f>TABELA24[[#This Row],[QTDE]]*TABELA24[[#This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165.83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SUM(TABELA24[[#This Row],[T1]:[T7]])</f>
        <v>0</v>
      </c>
      <c r="P284" s="21">
        <f>TABELA24[[#This Row],[QTDE]]*TABELA24[[#This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186.67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SUM(TABELA24[[#This Row],[T1]:[T7]])</f>
        <v>0</v>
      </c>
      <c r="P285" s="21">
        <f>TABELA24[[#This Row],[QTDE]]*TABELA24[[#This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157.5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SUM(TABELA24[[#This Row],[T1]:[T7]])</f>
        <v>0</v>
      </c>
      <c r="P286" s="21">
        <f>TABELA24[[#This Row],[QTDE]]*TABELA24[[#This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149.16999999999999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SUM(TABELA24[[#This Row],[T1]:[T7]])</f>
        <v>0</v>
      </c>
      <c r="P287" s="21">
        <f>TABELA24[[#This Row],[QTDE]]*TABELA24[[#This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124.17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SUM(TABELA24[[#This Row],[T1]:[T7]])</f>
        <v>0</v>
      </c>
      <c r="P288" s="21">
        <f>TABELA24[[#This Row],[QTDE]]*TABELA24[[#This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140.83000000000001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SUM(TABELA24[[#This Row],[T1]:[T7]])</f>
        <v>0</v>
      </c>
      <c r="P289" s="21">
        <f>TABELA24[[#This Row],[QTDE]]*TABELA24[[#This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140.83000000000001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SUM(TABELA24[[#This Row],[T1]:[T7]])</f>
        <v>0</v>
      </c>
      <c r="P290" s="21">
        <f>TABELA24[[#This Row],[QTDE]]*TABELA24[[#This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157.5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SUM(TABELA24[[#This Row],[T1]:[T7]])</f>
        <v>0</v>
      </c>
      <c r="P291" s="21">
        <f>TABELA24[[#This Row],[QTDE]]*TABELA24[[#This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157.5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SUM(TABELA24[[#This Row],[T1]:[T7]])</f>
        <v>0</v>
      </c>
      <c r="P292" s="21">
        <f>TABELA24[[#This Row],[QTDE]]*TABELA24[[#This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157.5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SUM(TABELA24[[#This Row],[T1]:[T7]])</f>
        <v>0</v>
      </c>
      <c r="P293" s="21">
        <f>TABELA24[[#This Row],[QTDE]]*TABELA24[[#This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165.83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SUM(TABELA24[[#This Row],[T1]:[T7]])</f>
        <v>0</v>
      </c>
      <c r="P294" s="21">
        <f>TABELA24[[#This Row],[QTDE]]*TABELA24[[#This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140.83000000000001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SUM(TABELA24[[#This Row],[T1]:[T7]])</f>
        <v>0</v>
      </c>
      <c r="P295" s="21">
        <f>TABELA24[[#This Row],[QTDE]]*TABELA24[[#This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140.83000000000001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SUM(TABELA24[[#This Row],[T1]:[T7]])</f>
        <v>0</v>
      </c>
      <c r="P296" s="21">
        <f>TABELA24[[#This Row],[QTDE]]*TABELA24[[#This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124.17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SUM(TABELA24[[#This Row],[T1]:[T7]])</f>
        <v>0</v>
      </c>
      <c r="P297" s="21">
        <f>TABELA24[[#This Row],[QTDE]]*TABELA24[[#This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124.17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SUM(TABELA24[[#This Row],[T1]:[T7]])</f>
        <v>0</v>
      </c>
      <c r="P298" s="21">
        <f>TABELA24[[#This Row],[QTDE]]*TABELA24[[#This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207.5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SUM(TABELA24[[#This Row],[T1]:[T7]])</f>
        <v>0</v>
      </c>
      <c r="P299" s="21">
        <f>TABELA24[[#This Row],[QTDE]]*TABELA24[[#This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178.33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SUM(TABELA24[[#This Row],[T1]:[T7]])</f>
        <v>0</v>
      </c>
      <c r="P300" s="21">
        <f>TABELA24[[#This Row],[QTDE]]*TABELA24[[#This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220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SUM(TABELA24[[#This Row],[T1]:[T7]])</f>
        <v>0</v>
      </c>
      <c r="P301" s="21">
        <f>TABELA24[[#This Row],[QTDE]]*TABELA24[[#This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270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SUM(TABELA24[[#This Row],[T1]:[T7]])</f>
        <v>0</v>
      </c>
      <c r="P302" s="21">
        <f>TABELA24[[#This Row],[QTDE]]*TABELA24[[#This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186.67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SUM(TABELA24[[#This Row],[T1]:[T7]])</f>
        <v>0</v>
      </c>
      <c r="P303" s="21">
        <f>TABELA24[[#This Row],[QTDE]]*TABELA24[[#This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311.67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SUM(TABELA24[[#This Row],[T1]:[T7]])</f>
        <v>0</v>
      </c>
      <c r="P304" s="21">
        <f>TABELA24[[#This Row],[QTDE]]*TABELA24[[#This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178.33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SUM(TABELA24[[#This Row],[T1]:[T7]])</f>
        <v>0</v>
      </c>
      <c r="P305" s="21">
        <f>TABELA24[[#This Row],[QTDE]]*TABELA24[[#This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149.16999999999999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SUM(TABELA24[[#This Row],[T1]:[T7]])</f>
        <v>0</v>
      </c>
      <c r="P306" s="21">
        <f>TABELA24[[#This Row],[QTDE]]*TABELA24[[#This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290.83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SUM(TABELA24[[#This Row],[T1]:[T7]])</f>
        <v>0</v>
      </c>
      <c r="P307" s="21">
        <f>TABELA24[[#This Row],[QTDE]]*TABELA24[[#This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290.83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SUM(TABELA24[[#This Row],[T1]:[T7]])</f>
        <v>0</v>
      </c>
      <c r="P308" s="21">
        <f>TABELA24[[#This Row],[QTDE]]*TABELA24[[#This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290.83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SUM(TABELA24[[#This Row],[T1]:[T7]])</f>
        <v>0</v>
      </c>
      <c r="P309" s="21">
        <f>TABELA24[[#This Row],[QTDE]]*TABELA24[[#This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332.5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SUM(TABELA24[[#This Row],[T1]:[T7]])</f>
        <v>0</v>
      </c>
      <c r="P310" s="21">
        <f>TABELA24[[#This Row],[QTDE]]*TABELA24[[#This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249.17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SUM(TABELA24[[#This Row],[T1]:[T7]])</f>
        <v>0</v>
      </c>
      <c r="P311" s="21">
        <f>TABELA24[[#This Row],[QTDE]]*TABELA24[[#This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186.67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SUM(TABELA24[[#This Row],[T1]:[T7]])</f>
        <v>0</v>
      </c>
      <c r="P312" s="21">
        <f>TABELA24[[#This Row],[QTDE]]*TABELA24[[#This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207.5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SUM(TABELA24[[#This Row],[T1]:[T7]])</f>
        <v>0</v>
      </c>
      <c r="P313" s="21">
        <f>TABELA24[[#This Row],[QTDE]]*TABELA24[[#This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207.5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SUM(TABELA24[[#This Row],[T1]:[T7]])</f>
        <v>0</v>
      </c>
      <c r="P314" s="21">
        <f>TABELA24[[#This Row],[QTDE]]*TABELA24[[#This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207.5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SUM(TABELA24[[#This Row],[T1]:[T7]])</f>
        <v>0</v>
      </c>
      <c r="P315" s="21">
        <f>TABELA24[[#This Row],[QTDE]]*TABELA24[[#This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140.83000000000001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SUM(TABELA24[[#This Row],[T1]:[T7]])</f>
        <v>0</v>
      </c>
      <c r="P316" s="21">
        <f>TABELA24[[#This Row],[QTDE]]*TABELA24[[#This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199.17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SUM(TABELA24[[#This Row],[T1]:[T7]])</f>
        <v>0</v>
      </c>
      <c r="P317" s="21">
        <f>TABELA24[[#This Row],[QTDE]]*TABELA24[[#This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178.33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SUM(TABELA24[[#This Row],[T1]:[T7]])</f>
        <v>0</v>
      </c>
      <c r="P318" s="21">
        <f>TABELA24[[#This Row],[QTDE]]*TABELA24[[#This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124.17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SUM(TABELA24[[#This Row],[T1]:[T7]])</f>
        <v>0</v>
      </c>
      <c r="P319" s="21">
        <f>TABELA24[[#This Row],[QTDE]]*TABELA24[[#This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228.33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SUM(TABELA24[[#This Row],[T1]:[T7]])</f>
        <v>0</v>
      </c>
      <c r="P320" s="21">
        <f>TABELA24[[#This Row],[QTDE]]*TABELA24[[#This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186.67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SUM(TABELA24[[#This Row],[T1]:[T7]])</f>
        <v>0</v>
      </c>
      <c r="P321" s="21">
        <f>TABELA24[[#This Row],[QTDE]]*TABELA24[[#This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178.33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SUM(TABELA24[[#This Row],[T1]:[T7]])</f>
        <v>0</v>
      </c>
      <c r="P322" s="21">
        <f>TABELA24[[#This Row],[QTDE]]*TABELA24[[#This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332.5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SUM(TABELA24[[#This Row],[T1]:[T7]])</f>
        <v>0</v>
      </c>
      <c r="P323" s="21">
        <f>TABELA24[[#This Row],[QTDE]]*TABELA24[[#This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270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SUM(TABELA24[[#This Row],[T1]:[T7]])</f>
        <v>0</v>
      </c>
      <c r="P324" s="21">
        <f>TABELA24[[#This Row],[QTDE]]*TABELA24[[#This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290.83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SUM(TABELA24[[#This Row],[T1]:[T7]])</f>
        <v>0</v>
      </c>
      <c r="P325" s="21">
        <f>TABELA24[[#This Row],[QTDE]]*TABELA24[[#This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186.67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SUM(TABELA24[[#This Row],[T1]:[T7]])</f>
        <v>0</v>
      </c>
      <c r="P326" s="21">
        <f>TABELA24[[#This Row],[QTDE]]*TABELA24[[#This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249.17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SUM(TABELA24[[#This Row],[T1]:[T7]])</f>
        <v>0</v>
      </c>
      <c r="P327" s="21">
        <f>TABELA24[[#This Row],[QTDE]]*TABELA24[[#This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249.17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SUM(TABELA24[[#This Row],[T1]:[T7]])</f>
        <v>0</v>
      </c>
      <c r="P328" s="21">
        <f>TABELA24[[#This Row],[QTDE]]*TABELA24[[#This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186.67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SUM(TABELA24[[#This Row],[T1]:[T7]])</f>
        <v>0</v>
      </c>
      <c r="P329" s="21">
        <f>TABELA24[[#This Row],[QTDE]]*TABELA24[[#This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178.33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SUM(TABELA24[[#This Row],[T1]:[T7]])</f>
        <v>0</v>
      </c>
      <c r="P330" s="21">
        <f>TABELA24[[#This Row],[QTDE]]*TABELA24[[#This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157.5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SUM(TABELA24[[#This Row],[T1]:[T7]])</f>
        <v>0</v>
      </c>
      <c r="P331" s="21">
        <f>TABELA24[[#This Row],[QTDE]]*TABELA24[[#This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249.17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SUM(TABELA24[[#This Row],[T1]:[T7]])</f>
        <v>0</v>
      </c>
      <c r="P332" s="21">
        <f>TABELA24[[#This Row],[QTDE]]*TABELA24[[#This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186.67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SUM(TABELA24[[#This Row],[T1]:[T7]])</f>
        <v>0</v>
      </c>
      <c r="P333" s="21">
        <f>TABELA24[[#This Row],[QTDE]]*TABELA24[[#This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186.67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SUM(TABELA24[[#This Row],[T1]:[T7]])</f>
        <v>0</v>
      </c>
      <c r="P334" s="21">
        <f>TABELA24[[#This Row],[QTDE]]*TABELA24[[#This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157.5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SUM(TABELA24[[#This Row],[T1]:[T7]])</f>
        <v>0</v>
      </c>
      <c r="P335" s="21">
        <f>TABELA24[[#This Row],[QTDE]]*TABELA24[[#This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207.5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SUM(TABELA24[[#This Row],[T1]:[T7]])</f>
        <v>0</v>
      </c>
      <c r="P336" s="21">
        <f>TABELA24[[#This Row],[QTDE]]*TABELA24[[#This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207.5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SUM(TABELA24[[#This Row],[T1]:[T7]])</f>
        <v>0</v>
      </c>
      <c r="P337" s="21">
        <f>TABELA24[[#This Row],[QTDE]]*TABELA24[[#This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228.33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SUM(TABELA24[[#This Row],[T1]:[T7]])</f>
        <v>0</v>
      </c>
      <c r="P338" s="21">
        <f>TABELA24[[#This Row],[QTDE]]*TABELA24[[#This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311.67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SUM(TABELA24[[#This Row],[T1]:[T7]])</f>
        <v>0</v>
      </c>
      <c r="P339" s="21">
        <f>TABELA24[[#This Row],[QTDE]]*TABELA24[[#This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332.5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SUM(TABELA24[[#This Row],[T1]:[T7]])</f>
        <v>0</v>
      </c>
      <c r="P340" s="45">
        <f>TABELA24[[#This Row],[QTDE]]*TABELA24[[#This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207.5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SUM(TABELA24[[#This Row],[T1]:[T7]])</f>
        <v>0</v>
      </c>
      <c r="P341" s="46">
        <f>TABELA24[[#This Row],[QTDE]]*TABELA24[[#This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178.33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SUM(TABELA24[[#This Row],[T1]:[T7]])</f>
        <v>0</v>
      </c>
      <c r="P342" s="46">
        <f>TABELA24[[#This Row],[QTDE]]*TABELA24[[#This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115.83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SUM(TABELA24[[#This Row],[T1]:[T7]])</f>
        <v>0</v>
      </c>
      <c r="P343" s="46">
        <f>TABELA24[[#This Row],[QTDE]]*TABELA24[[#This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124.17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SUM(TABELA24[[#This Row],[T1]:[T7]])</f>
        <v>0</v>
      </c>
      <c r="P344" s="46">
        <f>TABELA24[[#This Row],[QTDE]]*TABELA24[[#This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207.5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SUM(TABELA24[[#This Row],[T1]:[T7]])</f>
        <v>0</v>
      </c>
      <c r="P345" s="46">
        <f>TABELA24[[#This Row],[QTDE]]*TABELA24[[#This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249.17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SUM(TABELA24[[#This Row],[T1]:[T7]])</f>
        <v>0</v>
      </c>
      <c r="P346" s="46">
        <f>TABELA24[[#This Row],[QTDE]]*TABELA24[[#This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207.5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SUM(TABELA24[[#This Row],[T1]:[T7]])</f>
        <v>0</v>
      </c>
      <c r="P347" s="46">
        <f>TABELA24[[#This Row],[QTDE]]*TABELA24[[#This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207.5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SUM(TABELA24[[#This Row],[T1]:[T7]])</f>
        <v>0</v>
      </c>
      <c r="P348" s="46">
        <f>TABELA24[[#This Row],[QTDE]]*TABELA24[[#This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207.5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SUM(TABELA24[[#This Row],[T1]:[T7]])</f>
        <v>0</v>
      </c>
      <c r="P349" s="46">
        <f>TABELA24[[#This Row],[QTDE]]*TABELA24[[#This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149.16999999999999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SUM(TABELA24[[#This Row],[T1]:[T7]])</f>
        <v>0</v>
      </c>
      <c r="P350" s="46">
        <f>TABELA24[[#This Row],[QTDE]]*TABELA24[[#This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149.16999999999999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SUM(TABELA24[[#This Row],[T1]:[T7]])</f>
        <v>0</v>
      </c>
      <c r="P351" s="46">
        <f>TABELA24[[#This Row],[QTDE]]*TABELA24[[#This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149.16999999999999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SUM(TABELA24[[#This Row],[T1]:[T7]])</f>
        <v>0</v>
      </c>
      <c r="P352" s="46">
        <f>TABELA24[[#This Row],[QTDE]]*TABELA24[[#This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149.16999999999999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SUM(TABELA24[[#This Row],[T1]:[T7]])</f>
        <v>0</v>
      </c>
      <c r="P353" s="46">
        <f>TABELA24[[#This Row],[QTDE]]*TABELA24[[#This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290.83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SUM(TABELA24[[#This Row],[T1]:[T7]])</f>
        <v>0</v>
      </c>
      <c r="P354" s="46">
        <f>TABELA24[[#This Row],[QTDE]]*TABELA24[[#This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290.83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SUM(TABELA24[[#This Row],[T1]:[T7]])</f>
        <v>0</v>
      </c>
      <c r="P355" s="46">
        <f>TABELA24[[#This Row],[QTDE]]*TABELA24[[#This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249.17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SUM(TABELA24[[#This Row],[T1]:[T7]])</f>
        <v>0</v>
      </c>
      <c r="P356" s="46">
        <f>TABELA24[[#This Row],[QTDE]]*TABELA24[[#This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249.17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SUM(TABELA24[[#This Row],[T1]:[T7]])</f>
        <v>0</v>
      </c>
      <c r="P357" s="46">
        <f>TABELA24[[#This Row],[QTDE]]*TABELA24[[#This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228.33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SUM(TABELA24[[#This Row],[T1]:[T7]])</f>
        <v>0</v>
      </c>
      <c r="P358" s="46">
        <f>TABELA24[[#This Row],[QTDE]]*TABELA24[[#This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220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SUM(TABELA24[[#This Row],[T1]:[T7]])</f>
        <v>0</v>
      </c>
      <c r="P359" s="46">
        <f>TABELA24[[#This Row],[QTDE]]*TABELA24[[#This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228.33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SUM(TABELA24[[#This Row],[T1]:[T7]])</f>
        <v>0</v>
      </c>
      <c r="P360" s="46">
        <f>TABELA24[[#This Row],[QTDE]]*TABELA24[[#This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111.67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SUM(TABELA24[[#This Row],[T1]:[T7]])</f>
        <v>0</v>
      </c>
      <c r="P361" s="46">
        <f>TABELA24[[#This Row],[QTDE]]*TABELA24[[#This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111.67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SUM(TABELA24[[#This Row],[T1]:[T7]])</f>
        <v>0</v>
      </c>
      <c r="P362" s="46">
        <f>TABELA24[[#This Row],[QTDE]]*TABELA24[[#This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111.67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SUM(TABELA24[[#This Row],[T1]:[T7]])</f>
        <v>0</v>
      </c>
      <c r="P363" s="46">
        <f>TABELA24[[#This Row],[QTDE]]*TABELA24[[#This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124.17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SUM(TABELA24[[#This Row],[T1]:[T7]])</f>
        <v>0</v>
      </c>
      <c r="P364" s="46">
        <f>TABELA24[[#This Row],[QTDE]]*TABELA24[[#This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145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SUM(TABELA24[[#This Row],[T1]:[T7]])</f>
        <v>0</v>
      </c>
      <c r="P365" s="46">
        <f>TABELA24[[#This Row],[QTDE]]*TABELA24[[#This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95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SUM(TABELA24[[#This Row],[T1]:[T7]])</f>
        <v>0</v>
      </c>
      <c r="P366" s="46">
        <f>TABELA24[[#This Row],[QTDE]]*TABELA24[[#This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94.98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SUM(TABELA24[[#This Row],[T1]:[T7]])</f>
        <v>0</v>
      </c>
      <c r="P367" s="46">
        <f>TABELA24[[#This Row],[QTDE]]*TABELA24[[#This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99.17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SUM(TABELA24[[#This Row],[T1]:[T7]])</f>
        <v>0</v>
      </c>
      <c r="P368" s="46">
        <f>TABELA24[[#This Row],[QTDE]]*TABELA24[[#This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103.33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SUM(TABELA24[[#This Row],[T1]:[T7]])</f>
        <v>0</v>
      </c>
      <c r="P369" s="46">
        <f>TABELA24[[#This Row],[QTDE]]*TABELA24[[#This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99.17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SUM(TABELA24[[#This Row],[T1]:[T7]])</f>
        <v>0</v>
      </c>
      <c r="P370" s="46">
        <f>TABELA24[[#This Row],[QTDE]]*TABELA24[[#This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82.5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SUM(TABELA24[[#This Row],[T1]:[T7]])</f>
        <v>0</v>
      </c>
      <c r="P371" s="46">
        <f>TABELA24[[#This Row],[QTDE]]*TABELA24[[#This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95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SUM(TABELA24[[#This Row],[T1]:[T7]])</f>
        <v>0</v>
      </c>
      <c r="P372" s="46">
        <f>TABELA24[[#This Row],[QTDE]]*TABELA24[[#This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103.33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SUM(TABELA24[[#This Row],[T1]:[T7]])</f>
        <v>0</v>
      </c>
      <c r="P373" s="46">
        <f>TABELA24[[#This Row],[QTDE]]*TABELA24[[#This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70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SUM(TABELA24[[#This Row],[T1]:[T7]])</f>
        <v>0</v>
      </c>
      <c r="P374" s="46">
        <f>TABELA24[[#This Row],[QTDE]]*TABELA24[[#This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70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SUM(TABELA24[[#This Row],[T1]:[T7]])</f>
        <v>0</v>
      </c>
      <c r="P375" s="46">
        <f>TABELA24[[#This Row],[QTDE]]*TABELA24[[#This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74.17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SUM(TABELA24[[#This Row],[T1]:[T7]])</f>
        <v>0</v>
      </c>
      <c r="P376" s="46">
        <f>TABELA24[[#This Row],[QTDE]]*TABELA24[[#This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74.17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SUM(TABELA24[[#This Row],[T1]:[T7]])</f>
        <v>0</v>
      </c>
      <c r="P377" s="46">
        <f>TABELA24[[#This Row],[QTDE]]*TABELA24[[#This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74.17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SUM(TABELA24[[#This Row],[T1]:[T7]])</f>
        <v>0</v>
      </c>
      <c r="P378" s="46">
        <f>TABELA24[[#This Row],[QTDE]]*TABELA24[[#This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74.17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SUM(TABELA24[[#This Row],[T1]:[T7]])</f>
        <v>0</v>
      </c>
      <c r="P379" s="46">
        <f>TABELA24[[#This Row],[QTDE]]*TABELA24[[#This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165.83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SUM(TABELA24[[#This Row],[T1]:[T7]])</f>
        <v>0</v>
      </c>
      <c r="P380" s="46">
        <f>TABELA24[[#This Row],[QTDE]]*TABELA24[[#This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157.5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SUM(TABELA24[[#This Row],[T1]:[T7]])</f>
        <v>0</v>
      </c>
      <c r="P381" s="46">
        <f>TABELA24[[#This Row],[QTDE]]*TABELA24[[#This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157.5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SUM(TABELA24[[#This Row],[T1]:[T7]])</f>
        <v>0</v>
      </c>
      <c r="P382" s="46">
        <f>TABELA24[[#This Row],[QTDE]]*TABELA24[[#This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195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SUM(TABELA24[[#This Row],[T1]:[T7]])</f>
        <v>0</v>
      </c>
      <c r="P383" s="46">
        <f>TABELA24[[#This Row],[QTDE]]*TABELA24[[#This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157.47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SUM(TABELA24[[#This Row],[T1]:[T7]])</f>
        <v>0</v>
      </c>
      <c r="P384" s="46">
        <f>TABELA24[[#This Row],[QTDE]]*TABELA24[[#This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157.47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SUM(TABELA24[[#This Row],[T1]:[T7]])</f>
        <v>0</v>
      </c>
      <c r="P385" s="46">
        <f>TABELA24[[#This Row],[QTDE]]*TABELA24[[#This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124.17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SUM(TABELA24[[#This Row],[T1]:[T7]])</f>
        <v>0</v>
      </c>
      <c r="P386" s="46">
        <f>TABELA24[[#This Row],[QTDE]]*TABELA24[[#This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228.33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SUM(TABELA24[[#This Row],[T1]:[T7]])</f>
        <v>0</v>
      </c>
      <c r="P387" s="46">
        <f>TABELA24[[#This Row],[QTDE]]*TABELA24[[#This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153.33000000000001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SUM(TABELA24[[#This Row],[T1]:[T7]])</f>
        <v>0</v>
      </c>
      <c r="P388" s="46">
        <f>TABELA24[[#This Row],[QTDE]]*TABELA24[[#This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153.33000000000001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SUM(TABELA24[[#This Row],[T1]:[T7]])</f>
        <v>0</v>
      </c>
      <c r="P389" s="46">
        <f>TABELA24[[#This Row],[QTDE]]*TABELA24[[#This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165.83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SUM(TABELA24[[#This Row],[T1]:[T7]])</f>
        <v>0</v>
      </c>
      <c r="P390" s="46">
        <f>TABELA24[[#This Row],[QTDE]]*TABELA24[[#This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136.66999999999999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SUM(TABELA24[[#This Row],[T1]:[T7]])</f>
        <v>0</v>
      </c>
      <c r="P391" s="46">
        <f>TABELA24[[#This Row],[QTDE]]*TABELA24[[#This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124.17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SUM(TABELA24[[#This Row],[T1]:[T7]])</f>
        <v>0</v>
      </c>
      <c r="P392" s="46">
        <f>TABELA24[[#This Row],[QTDE]]*TABELA24[[#This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111.67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SUM(TABELA24[[#This Row],[T1]:[T7]])</f>
        <v>0</v>
      </c>
      <c r="P393" s="46">
        <f>TABELA24[[#This Row],[QTDE]]*TABELA24[[#This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153.33000000000001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SUM(TABELA24[[#This Row],[T1]:[T7]])</f>
        <v>0</v>
      </c>
      <c r="P394" s="46">
        <f>TABELA24[[#This Row],[QTDE]]*TABELA24[[#This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207.5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SUM(TABELA24[[#This Row],[T1]:[T7]])</f>
        <v>0</v>
      </c>
      <c r="P395" s="46">
        <f>TABELA24[[#This Row],[QTDE]]*TABELA24[[#This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136.66999999999999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SUM(TABELA24[[#This Row],[T1]:[T7]])</f>
        <v>0</v>
      </c>
      <c r="P396" s="46">
        <f>TABELA24[[#This Row],[QTDE]]*TABELA24[[#This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153.33000000000001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SUM(TABELA24[[#This Row],[T1]:[T7]])</f>
        <v>0</v>
      </c>
      <c r="P397" s="46">
        <f>TABELA24[[#This Row],[QTDE]]*TABELA24[[#This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153.33000000000001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SUM(TABELA24[[#This Row],[T1]:[T7]])</f>
        <v>0</v>
      </c>
      <c r="P398" s="46">
        <f>TABELA24[[#This Row],[QTDE]]*TABELA24[[#This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74.17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SUM(TABELA24[[#This Row],[T1]:[T7]])</f>
        <v>0</v>
      </c>
      <c r="P399" s="46">
        <f>TABELA24[[#This Row],[QTDE]]*TABELA24[[#This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74.17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SUM(TABELA24[[#This Row],[T1]:[T7]])</f>
        <v>0</v>
      </c>
      <c r="P400" s="46">
        <f>TABELA24[[#This Row],[QTDE]]*TABELA24[[#This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70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SUM(TABELA24[[#This Row],[T1]:[T7]])</f>
        <v>0</v>
      </c>
      <c r="P401" s="46">
        <f>TABELA24[[#This Row],[QTDE]]*TABELA24[[#This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70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SUM(TABELA24[[#This Row],[T1]:[T7]])</f>
        <v>0</v>
      </c>
      <c r="P402" s="46">
        <f>TABELA24[[#This Row],[QTDE]]*TABELA24[[#This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70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SUM(TABELA24[[#This Row],[T1]:[T7]])</f>
        <v>0</v>
      </c>
      <c r="P403" s="46">
        <f>TABELA24[[#This Row],[QTDE]]*TABELA24[[#This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70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SUM(TABELA24[[#This Row],[T1]:[T7]])</f>
        <v>0</v>
      </c>
      <c r="P404" s="46">
        <f>TABELA24[[#This Row],[QTDE]]*TABELA24[[#This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70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SUM(TABELA24[[#This Row],[T1]:[T7]])</f>
        <v>0</v>
      </c>
      <c r="P405" s="46">
        <f>TABELA24[[#This Row],[QTDE]]*TABELA24[[#This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70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SUM(TABELA24[[#This Row],[T1]:[T7]])</f>
        <v>0</v>
      </c>
      <c r="P406" s="46">
        <f>TABELA24[[#This Row],[QTDE]]*TABELA24[[#This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74.17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SUM(TABELA24[[#This Row],[T1]:[T7]])</f>
        <v>0</v>
      </c>
      <c r="P407" s="46">
        <f>TABELA24[[#This Row],[QTDE]]*TABELA24[[#This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74.17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SUM(TABELA24[[#This Row],[T1]:[T7]])</f>
        <v>0</v>
      </c>
      <c r="P408" s="46">
        <f>TABELA24[[#This Row],[QTDE]]*TABELA24[[#This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70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SUM(TABELA24[[#This Row],[T1]:[T7]])</f>
        <v>0</v>
      </c>
      <c r="P409" s="46">
        <f>TABELA24[[#This Row],[QTDE]]*TABELA24[[#This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70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SUM(TABELA24[[#This Row],[T1]:[T7]])</f>
        <v>0</v>
      </c>
      <c r="P410" s="46">
        <f>TABELA24[[#This Row],[QTDE]]*TABELA24[[#This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70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SUM(TABELA24[[#This Row],[T1]:[T7]])</f>
        <v>0</v>
      </c>
      <c r="P411" s="46">
        <f>TABELA24[[#This Row],[QTDE]]*TABELA24[[#This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207.5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SUM(TABELA24[[#This Row],[T1]:[T7]])</f>
        <v>0</v>
      </c>
      <c r="P412" s="46">
        <f>TABELA24[[#This Row],[QTDE]]*TABELA24[[#This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95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SUM(TABELA24[[#This Row],[T1]:[T7]])</f>
        <v>0</v>
      </c>
      <c r="P413" s="46">
        <f>TABELA24[[#This Row],[QTDE]]*TABELA24[[#This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95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SUM(TABELA24[[#This Row],[T1]:[T7]])</f>
        <v>0</v>
      </c>
      <c r="P414" s="46">
        <f>TABELA24[[#This Row],[QTDE]]*TABELA24[[#This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95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SUM(TABELA24[[#This Row],[T1]:[T7]])</f>
        <v>0</v>
      </c>
      <c r="P415" s="46">
        <f>TABELA24[[#This Row],[QTDE]]*TABELA24[[#This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95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SUM(TABELA24[[#This Row],[T1]:[T7]])</f>
        <v>0</v>
      </c>
      <c r="P416" s="46">
        <f>TABELA24[[#This Row],[QTDE]]*TABELA24[[#This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65.83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SUM(TABELA24[[#This Row],[T1]:[T7]])</f>
        <v>0</v>
      </c>
      <c r="P417" s="46">
        <f>TABELA24[[#This Row],[QTDE]]*TABELA24[[#This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61.67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SUM(TABELA24[[#This Row],[T1]:[T7]])</f>
        <v>0</v>
      </c>
      <c r="P418" s="46">
        <f>TABELA24[[#This Row],[QTDE]]*TABELA24[[#This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115.83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SUM(TABELA24[[#This Row],[T1]:[T7]])</f>
        <v>0</v>
      </c>
      <c r="P419" s="46">
        <f>TABELA24[[#This Row],[QTDE]]*TABELA24[[#This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40.83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SUM(TABELA24[[#This Row],[T1]:[T7]])</f>
        <v>0</v>
      </c>
      <c r="P420" s="46">
        <f>TABELA24[[#This Row],[QTDE]]*TABELA24[[#This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65.83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SUM(TABELA24[[#This Row],[T1]:[T7]])</f>
        <v>0</v>
      </c>
      <c r="P421" s="46">
        <f>TABELA24[[#This Row],[QTDE]]*TABELA24[[#This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65.83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SUM(TABELA24[[#This Row],[T1]:[T7]])</f>
        <v>0</v>
      </c>
      <c r="P422" s="46">
        <f>TABELA24[[#This Row],[QTDE]]*TABELA24[[#This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65.83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SUM(TABELA24[[#This Row],[T1]:[T7]])</f>
        <v>0</v>
      </c>
      <c r="P423" s="46">
        <f>TABELA24[[#This Row],[QTDE]]*TABELA24[[#This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74.17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SUM(TABELA24[[#This Row],[T1]:[T7]])</f>
        <v>0</v>
      </c>
      <c r="P424" s="46">
        <f>TABELA24[[#This Row],[QTDE]]*TABELA24[[#This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74.17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SUM(TABELA24[[#This Row],[T1]:[T7]])</f>
        <v>0</v>
      </c>
      <c r="P425" s="46">
        <f>TABELA24[[#This Row],[QTDE]]*TABELA24[[#This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95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SUM(TABELA24[[#This Row],[T1]:[T7]])</f>
        <v>0</v>
      </c>
      <c r="P426" s="46">
        <f>TABELA24[[#This Row],[QTDE]]*TABELA24[[#This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95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SUM(TABELA24[[#This Row],[T1]:[T7]])</f>
        <v>0</v>
      </c>
      <c r="P427" s="46">
        <f>TABELA24[[#This Row],[QTDE]]*TABELA24[[#This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99.17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SUM(TABELA24[[#This Row],[T1]:[T7]])</f>
        <v>0</v>
      </c>
      <c r="P428" s="46">
        <f>TABELA24[[#This Row],[QTDE]]*TABELA24[[#This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99.17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SUM(TABELA24[[#This Row],[T1]:[T7]])</f>
        <v>0</v>
      </c>
      <c r="P429" s="46">
        <f>TABELA24[[#This Row],[QTDE]]*TABELA24[[#This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111.67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SUM(TABELA24[[#This Row],[T1]:[T7]])</f>
        <v>0</v>
      </c>
      <c r="P430" s="46">
        <f>TABELA24[[#This Row],[QTDE]]*TABELA24[[#This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124.17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SUM(TABELA24[[#This Row],[T1]:[T7]])</f>
        <v>0</v>
      </c>
      <c r="P431" s="46">
        <f>TABELA24[[#This Row],[QTDE]]*TABELA24[[#This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124.17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SUM(TABELA24[[#This Row],[T1]:[T7]])</f>
        <v>0</v>
      </c>
      <c r="P432" s="46">
        <f>TABELA24[[#This Row],[QTDE]]*TABELA24[[#This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165.83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SUM(TABELA24[[#This Row],[T1]:[T7]])</f>
        <v>0</v>
      </c>
      <c r="P433" s="46">
        <f>TABELA24[[#This Row],[QTDE]]*TABELA24[[#This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99.17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SUM(TABELA24[[#This Row],[T1]:[T7]])</f>
        <v>0</v>
      </c>
      <c r="P434" s="46">
        <f>TABELA24[[#This Row],[QTDE]]*TABELA24[[#This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82.5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SUM(TABELA24[[#This Row],[T1]:[T7]])</f>
        <v>0</v>
      </c>
      <c r="P435" s="46">
        <f>TABELA24[[#This Row],[QTDE]]*TABELA24[[#This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124.17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SUM(TABELA24[[#This Row],[T1]:[T7]])</f>
        <v>0</v>
      </c>
      <c r="P436" s="46">
        <f>TABELA24[[#This Row],[QTDE]]*TABELA24[[#This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111.67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SUM(TABELA24[[#This Row],[T1]:[T7]])</f>
        <v>0</v>
      </c>
      <c r="P437" s="46">
        <f>TABELA24[[#This Row],[QTDE]]*TABELA24[[#This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95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SUM(TABELA24[[#This Row],[T1]:[T7]])</f>
        <v>0</v>
      </c>
      <c r="P438" s="46">
        <f>TABELA24[[#This Row],[QTDE]]*TABELA24[[#This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95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SUM(TABELA24[[#This Row],[T1]:[T7]])</f>
        <v>0</v>
      </c>
      <c r="P439" s="46">
        <f>TABELA24[[#This Row],[QTDE]]*TABELA24[[#This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103.33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SUM(TABELA24[[#This Row],[T1]:[T7]])</f>
        <v>0</v>
      </c>
      <c r="P440" s="46">
        <f>TABELA24[[#This Row],[QTDE]]*TABELA24[[#This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95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SUM(TABELA24[[#This Row],[T1]:[T7]])</f>
        <v>0</v>
      </c>
      <c r="P441" s="46">
        <f>TABELA24[[#This Row],[QTDE]]*TABELA24[[#This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103.33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SUM(TABELA24[[#This Row],[T1]:[T7]])</f>
        <v>0</v>
      </c>
      <c r="P442" s="46">
        <f>TABELA24[[#This Row],[QTDE]]*TABELA24[[#This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95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SUM(TABELA24[[#This Row],[T1]:[T7]])</f>
        <v>0</v>
      </c>
      <c r="P443" s="46">
        <f>TABELA24[[#This Row],[QTDE]]*TABELA24[[#This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95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SUM(TABELA24[[#This Row],[T1]:[T7]])</f>
        <v>0</v>
      </c>
      <c r="P444" s="46">
        <f>TABELA24[[#This Row],[QTDE]]*TABELA24[[#This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95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SUM(TABELA24[[#This Row],[T1]:[T7]])</f>
        <v>0</v>
      </c>
      <c r="P445" s="46">
        <f>TABELA24[[#This Row],[QTDE]]*TABELA24[[#This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82.5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SUM(TABELA24[[#This Row],[T1]:[T7]])</f>
        <v>0</v>
      </c>
      <c r="P446" s="46">
        <f>TABELA24[[#This Row],[QTDE]]*TABELA24[[#This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82.5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SUM(TABELA24[[#This Row],[T1]:[T7]])</f>
        <v>0</v>
      </c>
      <c r="P447" s="46">
        <f>TABELA24[[#This Row],[QTDE]]*TABELA24[[#This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82.5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SUM(TABELA24[[#This Row],[T1]:[T7]])</f>
        <v>0</v>
      </c>
      <c r="P448" s="46">
        <f>TABELA24[[#This Row],[QTDE]]*TABELA24[[#This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82.5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SUM(TABELA24[[#This Row],[T1]:[T7]])</f>
        <v>0</v>
      </c>
      <c r="P449" s="46">
        <f>TABELA24[[#This Row],[QTDE]]*TABELA24[[#This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95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SUM(TABELA24[[#This Row],[T1]:[T7]])</f>
        <v>0</v>
      </c>
      <c r="P450" s="46">
        <f>TABELA24[[#This Row],[QTDE]]*TABELA24[[#This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95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SUM(TABELA24[[#This Row],[T1]:[T7]])</f>
        <v>0</v>
      </c>
      <c r="P451" s="46">
        <f>TABELA24[[#This Row],[QTDE]]*TABELA24[[#This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95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SUM(TABELA24[[#This Row],[T1]:[T7]])</f>
        <v>0</v>
      </c>
      <c r="P452" s="46">
        <f>TABELA24[[#This Row],[QTDE]]*TABELA24[[#This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95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SUM(TABELA24[[#This Row],[T1]:[T7]])</f>
        <v>0</v>
      </c>
      <c r="P453" s="46">
        <f>TABELA24[[#This Row],[QTDE]]*TABELA24[[#This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103.33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SUM(TABELA24[[#This Row],[T1]:[T7]])</f>
        <v>0</v>
      </c>
      <c r="P454" s="46">
        <f>TABELA24[[#This Row],[QTDE]]*TABELA24[[#This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103.33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SUM(TABELA24[[#This Row],[T1]:[T7]])</f>
        <v>0</v>
      </c>
      <c r="P455" s="46">
        <f>TABELA24[[#This Row],[QTDE]]*TABELA24[[#This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124.17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SUM(TABELA24[[#This Row],[T1]:[T7]])</f>
        <v>0</v>
      </c>
      <c r="P456" s="46">
        <f>TABELA24[[#This Row],[QTDE]]*TABELA24[[#This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124.17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SUM(TABELA24[[#This Row],[T1]:[T7]])</f>
        <v>0</v>
      </c>
      <c r="P457" s="46">
        <f>TABELA24[[#This Row],[QTDE]]*TABELA24[[#This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124.17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SUM(TABELA24[[#This Row],[T1]:[T7]])</f>
        <v>0</v>
      </c>
      <c r="P458" s="46">
        <f>TABELA24[[#This Row],[QTDE]]*TABELA24[[#This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74.17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SUM(TABELA24[[#This Row],[T1]:[T7]])</f>
        <v>0</v>
      </c>
      <c r="P459" s="46">
        <f>TABELA24[[#This Row],[QTDE]]*TABELA24[[#This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74.17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SUM(TABELA24[[#This Row],[T1]:[T7]])</f>
        <v>0</v>
      </c>
      <c r="P460" s="46">
        <f>TABELA24[[#This Row],[QTDE]]*TABELA24[[#This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145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SUM(TABELA24[[#This Row],[T1]:[T7]])</f>
        <v>0</v>
      </c>
      <c r="P461" s="46">
        <f>TABELA24[[#This Row],[QTDE]]*TABELA24[[#This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82.5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SUM(TABELA24[[#This Row],[T1]:[T7]])</f>
        <v>0</v>
      </c>
      <c r="P462" s="46">
        <f>TABELA24[[#This Row],[QTDE]]*TABELA24[[#This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124.17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SUM(TABELA24[[#This Row],[T1]:[T7]])</f>
        <v>0</v>
      </c>
      <c r="P463" s="46">
        <f>TABELA24[[#This Row],[QTDE]]*TABELA24[[#This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165.83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SUM(TABELA24[[#This Row],[T1]:[T7]])</f>
        <v>0</v>
      </c>
      <c r="P464" s="46">
        <f>TABELA24[[#This Row],[QTDE]]*TABELA24[[#This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165.83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SUM(TABELA24[[#This Row],[T1]:[T7]])</f>
        <v>0</v>
      </c>
      <c r="P465" s="46">
        <f>TABELA24[[#This Row],[QTDE]]*TABELA24[[#This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186.67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SUM(TABELA24[[#This Row],[T1]:[T7]])</f>
        <v>0</v>
      </c>
      <c r="P466" s="46">
        <f>TABELA24[[#This Row],[QTDE]]*TABELA24[[#This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207.5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SUM(TABELA24[[#This Row],[T1]:[T7]])</f>
        <v>0</v>
      </c>
      <c r="P467" s="46">
        <f>TABELA24[[#This Row],[QTDE]]*TABELA24[[#This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249.17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SUM(TABELA24[[#This Row],[T1]:[T7]])</f>
        <v>0</v>
      </c>
      <c r="P468" s="46">
        <f>TABELA24[[#This Row],[QTDE]]*TABELA24[[#This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145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SUM(TABELA24[[#This Row],[T1]:[T7]])</f>
        <v>0</v>
      </c>
      <c r="P469" s="46">
        <f>TABELA24[[#This Row],[QTDE]]*TABELA24[[#This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186.67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SUM(TABELA24[[#This Row],[T1]:[T7]])</f>
        <v>0</v>
      </c>
      <c r="P470" s="46">
        <f>TABELA24[[#This Row],[QTDE]]*TABELA24[[#This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178.33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SUM(TABELA24[[#This Row],[T1]:[T7]])</f>
        <v>0</v>
      </c>
      <c r="P471" s="46">
        <f>TABELA24[[#This Row],[QTDE]]*TABELA24[[#This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195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SUM(TABELA24[[#This Row],[T1]:[T7]])</f>
        <v>0</v>
      </c>
      <c r="P472" s="46">
        <f>TABELA24[[#This Row],[QTDE]]*TABELA24[[#This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153.33000000000001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SUM(TABELA24[[#This Row],[T1]:[T7]])</f>
        <v>0</v>
      </c>
      <c r="P473" s="46">
        <f>TABELA24[[#This Row],[QTDE]]*TABELA24[[#This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82.5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SUM(TABELA24[[#This Row],[T1]:[T7]])</f>
        <v>0</v>
      </c>
      <c r="P474" s="46">
        <f>TABELA24[[#This Row],[QTDE]]*TABELA24[[#This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82.5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SUM(TABELA24[[#This Row],[T1]:[T7]])</f>
        <v>0</v>
      </c>
      <c r="P475" s="46">
        <f>TABELA24[[#This Row],[QTDE]]*TABELA24[[#This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290.83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SUM(TABELA24[[#This Row],[T1]:[T7]])</f>
        <v>0</v>
      </c>
      <c r="P476" s="46">
        <f>TABELA24[[#This Row],[QTDE]]*TABELA24[[#This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290.83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SUM(TABELA24[[#This Row],[T1]:[T7]])</f>
        <v>0</v>
      </c>
      <c r="P477" s="46">
        <f>TABELA24[[#This Row],[QTDE]]*TABELA24[[#This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228.33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SUM(TABELA24[[#This Row],[T1]:[T7]])</f>
        <v>0</v>
      </c>
      <c r="P478" s="46">
        <f>TABELA24[[#This Row],[QTDE]]*TABELA24[[#This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186.67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SUM(TABELA24[[#This Row],[T1]:[T7]])</f>
        <v>0</v>
      </c>
      <c r="P479" s="46">
        <f>TABELA24[[#This Row],[QTDE]]*TABELA24[[#This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186.67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SUM(TABELA24[[#This Row],[T1]:[T7]])</f>
        <v>0</v>
      </c>
      <c r="P480" s="46">
        <f>TABELA24[[#This Row],[QTDE]]*TABELA24[[#This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165.83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SUM(TABELA24[[#This Row],[T1]:[T7]])</f>
        <v>0</v>
      </c>
      <c r="P481" s="46">
        <f>TABELA24[[#This Row],[QTDE]]*TABELA24[[#This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165.83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SUM(TABELA24[[#This Row],[T1]:[T7]])</f>
        <v>0</v>
      </c>
      <c r="P482" s="46">
        <f>TABELA24[[#This Row],[QTDE]]*TABELA24[[#This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228.33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SUM(TABELA24[[#This Row],[T1]:[T7]])</f>
        <v>0</v>
      </c>
      <c r="P483" s="46">
        <f>TABELA24[[#This Row],[QTDE]]*TABELA24[[#This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153.33000000000001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SUM(TABELA24[[#This Row],[T1]:[T7]])</f>
        <v>0</v>
      </c>
      <c r="P484" s="46">
        <f>TABELA24[[#This Row],[QTDE]]*TABELA24[[#This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145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SUM(TABELA24[[#This Row],[T1]:[T7]])</f>
        <v>0</v>
      </c>
      <c r="P485" s="46">
        <f>TABELA24[[#This Row],[QTDE]]*TABELA24[[#This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186.67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SUM(TABELA24[[#This Row],[T1]:[T7]])</f>
        <v>0</v>
      </c>
      <c r="P486" s="46">
        <f>TABELA24[[#This Row],[QTDE]]*TABELA24[[#This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153.33000000000001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SUM(TABELA24[[#This Row],[T1]:[T7]])</f>
        <v>0</v>
      </c>
      <c r="P487" s="46">
        <f>TABELA24[[#This Row],[QTDE]]*TABELA24[[#This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153.33000000000001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SUM(TABELA24[[#This Row],[T1]:[T7]])</f>
        <v>0</v>
      </c>
      <c r="P488" s="46">
        <f>TABELA24[[#This Row],[QTDE]]*TABELA24[[#This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124.17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SUM(TABELA24[[#This Row],[T1]:[T7]])</f>
        <v>0</v>
      </c>
      <c r="P489" s="46">
        <f>TABELA24[[#This Row],[QTDE]]*TABELA24[[#This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124.17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SUM(TABELA24[[#This Row],[T1]:[T7]])</f>
        <v>0</v>
      </c>
      <c r="P490" s="46">
        <f>TABELA24[[#This Row],[QTDE]]*TABELA24[[#This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124.17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SUM(TABELA24[[#This Row],[T1]:[T7]])</f>
        <v>0</v>
      </c>
      <c r="P491" s="46">
        <f>TABELA24[[#This Row],[QTDE]]*TABELA24[[#This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165.83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SUM(TABELA24[[#This Row],[T1]:[T7]])</f>
        <v>0</v>
      </c>
      <c r="P492" s="46">
        <f>TABELA24[[#This Row],[QTDE]]*TABELA24[[#This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165.83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SUM(TABELA24[[#This Row],[T1]:[T7]])</f>
        <v>0</v>
      </c>
      <c r="P493" s="46">
        <f>TABELA24[[#This Row],[QTDE]]*TABELA24[[#This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165.83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SUM(TABELA24[[#This Row],[T1]:[T7]])</f>
        <v>0</v>
      </c>
      <c r="P494" s="46">
        <f>TABELA24[[#This Row],[QTDE]]*TABELA24[[#This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165.83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SUM(TABELA24[[#This Row],[T1]:[T7]])</f>
        <v>0</v>
      </c>
      <c r="P495" s="46">
        <f>TABELA24[[#This Row],[QTDE]]*TABELA24[[#This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178.33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SUM(TABELA24[[#This Row],[T1]:[T7]])</f>
        <v>0</v>
      </c>
      <c r="P496" s="46">
        <f>TABELA24[[#This Row],[QTDE]]*TABELA24[[#This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178.33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SUM(TABELA24[[#This Row],[T1]:[T7]])</f>
        <v>0</v>
      </c>
      <c r="P497" s="46">
        <f>TABELA24[[#This Row],[QTDE]]*TABELA24[[#This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107.5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SUM(TABELA24[[#This Row],[T1]:[T7]])</f>
        <v>0</v>
      </c>
      <c r="P498" s="46">
        <f>TABELA24[[#This Row],[QTDE]]*TABELA24[[#This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107.5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SUM(TABELA24[[#This Row],[T1]:[T7]])</f>
        <v>0</v>
      </c>
      <c r="P499" s="46">
        <f>TABELA24[[#This Row],[QTDE]]*TABELA24[[#This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107.5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SUM(TABELA24[[#This Row],[T1]:[T7]])</f>
        <v>0</v>
      </c>
      <c r="P500" s="46">
        <f>TABELA24[[#This Row],[QTDE]]*TABELA24[[#This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107.5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SUM(TABELA24[[#This Row],[T1]:[T7]])</f>
        <v>0</v>
      </c>
      <c r="P501" s="46">
        <f>TABELA24[[#This Row],[QTDE]]*TABELA24[[#This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107.5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SUM(TABELA24[[#This Row],[T1]:[T7]])</f>
        <v>0</v>
      </c>
      <c r="P502" s="46">
        <f>TABELA24[[#This Row],[QTDE]]*TABELA24[[#This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107.5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SUM(TABELA24[[#This Row],[T1]:[T7]])</f>
        <v>0</v>
      </c>
      <c r="P503" s="46">
        <f>TABELA24[[#This Row],[QTDE]]*TABELA24[[#This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115.83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SUM(TABELA24[[#This Row],[T1]:[T7]])</f>
        <v>0</v>
      </c>
      <c r="P504" s="46">
        <f>TABELA24[[#This Row],[QTDE]]*TABELA24[[#This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115.83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SUM(TABELA24[[#This Row],[T1]:[T7]])</f>
        <v>0</v>
      </c>
      <c r="P505" s="46">
        <f>TABELA24[[#This Row],[QTDE]]*TABELA24[[#This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115.83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SUM(TABELA24[[#This Row],[T1]:[T7]])</f>
        <v>0</v>
      </c>
      <c r="P506" s="46">
        <f>TABELA24[[#This Row],[QTDE]]*TABELA24[[#This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115.83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SUM(TABELA24[[#This Row],[T1]:[T7]])</f>
        <v>0</v>
      </c>
      <c r="P507" s="46">
        <f>TABELA24[[#This Row],[QTDE]]*TABELA24[[#This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115.83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SUM(TABELA24[[#This Row],[T1]:[T7]])</f>
        <v>0</v>
      </c>
      <c r="P508" s="46">
        <f>TABELA24[[#This Row],[QTDE]]*TABELA24[[#This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145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SUM(TABELA24[[#This Row],[T1]:[T7]])</f>
        <v>0</v>
      </c>
      <c r="P509" s="46">
        <f>TABELA24[[#This Row],[QTDE]]*TABELA24[[#This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145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SUM(TABELA24[[#This Row],[T1]:[T7]])</f>
        <v>0</v>
      </c>
      <c r="P510" s="46">
        <f>TABELA24[[#This Row],[QTDE]]*TABELA24[[#This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145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SUM(TABELA24[[#This Row],[T1]:[T7]])</f>
        <v>0</v>
      </c>
      <c r="P511" s="46">
        <f>TABELA24[[#This Row],[QTDE]]*TABELA24[[#This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115.83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SUM(TABELA24[[#This Row],[T1]:[T7]])</f>
        <v>0</v>
      </c>
      <c r="P512" s="46">
        <f>TABELA24[[#This Row],[QTDE]]*TABELA24[[#This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178.33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SUM(TABELA24[[#This Row],[T1]:[T7]])</f>
        <v>0</v>
      </c>
      <c r="P513" s="46">
        <f>TABELA24[[#This Row],[QTDE]]*TABELA24[[#This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95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SUM(TABELA24[[#This Row],[T1]:[T7]])</f>
        <v>0</v>
      </c>
      <c r="P514" s="46">
        <f>TABELA24[[#This Row],[QTDE]]*TABELA24[[#This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95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SUM(TABELA24[[#This Row],[T1]:[T7]])</f>
        <v>0</v>
      </c>
      <c r="P515" s="46">
        <f>TABELA24[[#This Row],[QTDE]]*TABELA24[[#This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95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SUM(TABELA24[[#This Row],[T1]:[T7]])</f>
        <v>0</v>
      </c>
      <c r="P516" s="46">
        <f>TABELA24[[#This Row],[QTDE]]*TABELA24[[#This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95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SUM(TABELA24[[#This Row],[T1]:[T7]])</f>
        <v>0</v>
      </c>
      <c r="P517" s="46">
        <f>TABELA24[[#This Row],[QTDE]]*TABELA24[[#This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186.67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SUM(TABELA24[[#This Row],[T1]:[T7]])</f>
        <v>0</v>
      </c>
      <c r="P518" s="46">
        <f>TABELA24[[#This Row],[QTDE]]*TABELA24[[#This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103.33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SUM(TABELA24[[#This Row],[T1]:[T7]])</f>
        <v>0</v>
      </c>
      <c r="P519" s="46">
        <f>TABELA24[[#This Row],[QTDE]]*TABELA24[[#This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103.33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SUM(TABELA24[[#This Row],[T1]:[T7]])</f>
        <v>0</v>
      </c>
      <c r="P520" s="46">
        <f>TABELA24[[#This Row],[QTDE]]*TABELA24[[#This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99.17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SUM(TABELA24[[#This Row],[T1]:[T7]])</f>
        <v>0</v>
      </c>
      <c r="P521" s="46">
        <f>TABELA24[[#This Row],[QTDE]]*TABELA24[[#This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99.17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SUM(TABELA24[[#This Row],[T1]:[T7]])</f>
        <v>0</v>
      </c>
      <c r="P522" s="46">
        <f>TABELA24[[#This Row],[QTDE]]*TABELA24[[#This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124.17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SUM(TABELA24[[#This Row],[T1]:[T7]])</f>
        <v>0</v>
      </c>
      <c r="P523" s="46">
        <f>TABELA24[[#This Row],[QTDE]]*TABELA24[[#This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124.17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SUM(TABELA24[[#This Row],[T1]:[T7]])</f>
        <v>0</v>
      </c>
      <c r="P524" s="46">
        <f>TABELA24[[#This Row],[QTDE]]*TABELA24[[#This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95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SUM(TABELA24[[#This Row],[T1]:[T7]])</f>
        <v>0</v>
      </c>
      <c r="P525" s="46">
        <f>TABELA24[[#This Row],[QTDE]]*TABELA24[[#This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94.98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SUM(TABELA24[[#This Row],[T1]:[T7]])</f>
        <v>0</v>
      </c>
      <c r="P526" s="46">
        <f>TABELA24[[#This Row],[QTDE]]*TABELA24[[#This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94.98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SUM(TABELA24[[#This Row],[T1]:[T7]])</f>
        <v>0</v>
      </c>
      <c r="P527" s="46">
        <f>TABELA24[[#This Row],[QTDE]]*TABELA24[[#This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57.5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SUM(TABELA24[[#This Row],[T1]:[T7]])</f>
        <v>0</v>
      </c>
      <c r="P528" s="46">
        <f>TABELA24[[#This Row],[QTDE]]*TABELA24[[#This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57.5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SUM(TABELA24[[#This Row],[T1]:[T7]])</f>
        <v>0</v>
      </c>
      <c r="P529" s="46">
        <f>TABELA24[[#This Row],[QTDE]]*TABELA24[[#This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65.83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SUM(TABELA24[[#This Row],[T1]:[T7]])</f>
        <v>0</v>
      </c>
      <c r="P530" s="46">
        <f>TABELA24[[#This Row],[QTDE]]*TABELA24[[#This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65.83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SUM(TABELA24[[#This Row],[T1]:[T7]])</f>
        <v>0</v>
      </c>
      <c r="P531" s="46">
        <f>TABELA24[[#This Row],[QTDE]]*TABELA24[[#This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65.83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SUM(TABELA24[[#This Row],[T1]:[T7]])</f>
        <v>0</v>
      </c>
      <c r="P532" s="46">
        <f>TABELA24[[#This Row],[QTDE]]*TABELA24[[#This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65.83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SUM(TABELA24[[#This Row],[T1]:[T7]])</f>
        <v>0</v>
      </c>
      <c r="P533" s="46">
        <f>TABELA24[[#This Row],[QTDE]]*TABELA24[[#This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65.83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SUM(TABELA24[[#This Row],[T1]:[T7]])</f>
        <v>0</v>
      </c>
      <c r="P534" s="46">
        <f>TABELA24[[#This Row],[QTDE]]*TABELA24[[#This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65.83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SUM(TABELA24[[#This Row],[T1]:[T7]])</f>
        <v>0</v>
      </c>
      <c r="P535" s="46">
        <f>TABELA24[[#This Row],[QTDE]]*TABELA24[[#This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103.33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SUM(TABELA24[[#This Row],[T1]:[T7]])</f>
        <v>0</v>
      </c>
      <c r="P536" s="46">
        <f>TABELA24[[#This Row],[QTDE]]*TABELA24[[#This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103.33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SUM(TABELA24[[#This Row],[T1]:[T7]])</f>
        <v>0</v>
      </c>
      <c r="P537" s="46">
        <f>TABELA24[[#This Row],[QTDE]]*TABELA24[[#This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74.17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SUM(TABELA24[[#This Row],[T1]:[T7]])</f>
        <v>0</v>
      </c>
      <c r="P538" s="46">
        <f>TABELA24[[#This Row],[QTDE]]*TABELA24[[#This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74.17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SUM(TABELA24[[#This Row],[T1]:[T7]])</f>
        <v>0</v>
      </c>
      <c r="P539" s="46">
        <f>TABELA24[[#This Row],[QTDE]]*TABELA24[[#This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65.83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SUM(TABELA24[[#This Row],[T1]:[T7]])</f>
        <v>0</v>
      </c>
      <c r="P540" s="46">
        <f>TABELA24[[#This Row],[QTDE]]*TABELA24[[#This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65.83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SUM(TABELA24[[#This Row],[T1]:[T7]])</f>
        <v>0</v>
      </c>
      <c r="P541" s="46">
        <f>TABELA24[[#This Row],[QTDE]]*TABELA24[[#This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65.83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SUM(TABELA24[[#This Row],[T1]:[T7]])</f>
        <v>0</v>
      </c>
      <c r="P542" s="46">
        <f>TABELA24[[#This Row],[QTDE]]*TABELA24[[#This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53.32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SUM(TABELA24[[#This Row],[T1]:[T7]])</f>
        <v>0</v>
      </c>
      <c r="P543" s="46">
        <f>TABELA24[[#This Row],[QTDE]]*TABELA24[[#This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207.5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SUM(TABELA24[[#This Row],[T1]:[T7]])</f>
        <v>0</v>
      </c>
      <c r="P544" s="46">
        <f>TABELA24[[#This Row],[QTDE]]*TABELA24[[#This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136.66999999999999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SUM(TABELA24[[#This Row],[T1]:[T7]])</f>
        <v>0</v>
      </c>
      <c r="P545" s="46">
        <f>TABELA24[[#This Row],[QTDE]]*TABELA24[[#This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136.66999999999999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SUM(TABELA24[[#This Row],[T1]:[T7]])</f>
        <v>0</v>
      </c>
      <c r="P546" s="46">
        <f>TABELA24[[#This Row],[QTDE]]*TABELA24[[#This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107.5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SUM(TABELA24[[#This Row],[T1]:[T7]])</f>
        <v>0</v>
      </c>
      <c r="P547" s="46">
        <f>TABELA24[[#This Row],[QTDE]]*TABELA24[[#This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107.5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SUM(TABELA24[[#This Row],[T1]:[T7]])</f>
        <v>0</v>
      </c>
      <c r="P548" s="46">
        <f>TABELA24[[#This Row],[QTDE]]*TABELA24[[#This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124.17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SUM(TABELA24[[#This Row],[T1]:[T7]])</f>
        <v>0</v>
      </c>
      <c r="P549" s="46">
        <f>TABELA24[[#This Row],[QTDE]]*TABELA24[[#This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124.17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SUM(TABELA24[[#This Row],[T1]:[T7]])</f>
        <v>0</v>
      </c>
      <c r="P550" s="46">
        <f>TABELA24[[#This Row],[QTDE]]*TABELA24[[#This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111.67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SUM(TABELA24[[#This Row],[T1]:[T7]])</f>
        <v>0</v>
      </c>
      <c r="P551" s="46">
        <f>TABELA24[[#This Row],[QTDE]]*TABELA24[[#This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111.67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SUM(TABELA24[[#This Row],[T1]:[T7]])</f>
        <v>0</v>
      </c>
      <c r="P552" s="46">
        <f>TABELA24[[#This Row],[QTDE]]*TABELA24[[#This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111.67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SUM(TABELA24[[#This Row],[T1]:[T7]])</f>
        <v>0</v>
      </c>
      <c r="P553" s="46">
        <f>TABELA24[[#This Row],[QTDE]]*TABELA24[[#This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74.17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SUM(TABELA24[[#This Row],[T1]:[T7]])</f>
        <v>0</v>
      </c>
      <c r="P554" s="46">
        <f>TABELA24[[#This Row],[QTDE]]*TABELA24[[#This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74.17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SUM(TABELA24[[#This Row],[T1]:[T7]])</f>
        <v>0</v>
      </c>
      <c r="P555" s="46">
        <f>TABELA24[[#This Row],[QTDE]]*TABELA24[[#This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2:P555"/>
  <sheetViews>
    <sheetView showGridLines="0" workbookViewId="0">
      <selection activeCell="G7" sqref="G7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8" width="4.7109375" style="1" customWidth="1"/>
    <col min="9" max="9" width="10.85546875" style="1" bestFit="1" customWidth="1"/>
    <col min="10" max="14" width="4.7109375" style="1" customWidth="1"/>
    <col min="15" max="15" width="7.7109375" style="1" customWidth="1"/>
    <col min="16" max="16" width="14.85546875" style="2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SUM(TABELA25[VALOR])</f>
        <v>0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5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18" t="s">
        <v>657</v>
      </c>
      <c r="C16" s="19" t="s">
        <v>658</v>
      </c>
      <c r="D16" s="19" t="s">
        <v>34</v>
      </c>
      <c r="E16" s="19" t="s">
        <v>35</v>
      </c>
      <c r="F16" s="20">
        <v>239.2</v>
      </c>
      <c r="G16" s="19" t="s">
        <v>44</v>
      </c>
      <c r="H16" s="19"/>
      <c r="I16" s="19"/>
      <c r="J16" s="19"/>
      <c r="K16" s="19"/>
      <c r="L16" s="19"/>
      <c r="M16" s="19"/>
      <c r="N16" s="19"/>
      <c r="O16" s="19">
        <f>SUM(TABELA25[[#This Row],[T1]:[T7]])</f>
        <v>0</v>
      </c>
      <c r="P16" s="21">
        <f>TABELA25[[#This Row],[QTDE]]*TABELA25[[#This Row],[PREÇO]]</f>
        <v>0</v>
      </c>
    </row>
    <row r="17" spans="2:16" x14ac:dyDescent="0.2">
      <c r="B17" s="18" t="s">
        <v>659</v>
      </c>
      <c r="C17" s="19" t="s">
        <v>660</v>
      </c>
      <c r="D17" s="19" t="s">
        <v>661</v>
      </c>
      <c r="E17" s="19" t="s">
        <v>662</v>
      </c>
      <c r="F17" s="20">
        <v>171.2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SUM(TABELA25[[#This Row],[T1]:[T7]])</f>
        <v>0</v>
      </c>
      <c r="P17" s="21">
        <f>TABELA25[[#This Row],[QTDE]]*TABELA25[[#This Row],[PREÇO]]</f>
        <v>0</v>
      </c>
    </row>
    <row r="18" spans="2:16" x14ac:dyDescent="0.2">
      <c r="B18" s="18" t="s">
        <v>663</v>
      </c>
      <c r="C18" s="19" t="s">
        <v>664</v>
      </c>
      <c r="D18" s="19" t="s">
        <v>665</v>
      </c>
      <c r="E18" s="19" t="s">
        <v>666</v>
      </c>
      <c r="F18" s="20">
        <v>339.2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SUM(TABELA25[[#This Row],[T1]:[T7]])</f>
        <v>0</v>
      </c>
      <c r="P18" s="21">
        <f>TABELA25[[#This Row],[QTDE]]*TABELA25[[#This Row],[PREÇO]]</f>
        <v>0</v>
      </c>
    </row>
    <row r="19" spans="2:16" x14ac:dyDescent="0.2">
      <c r="B19" s="18" t="s">
        <v>667</v>
      </c>
      <c r="C19" s="19" t="s">
        <v>668</v>
      </c>
      <c r="D19" s="19" t="s">
        <v>669</v>
      </c>
      <c r="E19" s="19" t="s">
        <v>670</v>
      </c>
      <c r="F19" s="20">
        <v>179.2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SUM(TABELA25[[#This Row],[T1]:[T7]])</f>
        <v>0</v>
      </c>
      <c r="P19" s="21">
        <f>TABELA25[[#This Row],[QTDE]]*TABELA25[[#This Row],[PREÇO]]</f>
        <v>0</v>
      </c>
    </row>
    <row r="20" spans="2:16" x14ac:dyDescent="0.2">
      <c r="B20" s="18" t="s">
        <v>671</v>
      </c>
      <c r="C20" s="19" t="s">
        <v>672</v>
      </c>
      <c r="D20" s="19" t="s">
        <v>48</v>
      </c>
      <c r="E20" s="19" t="s">
        <v>673</v>
      </c>
      <c r="F20" s="20">
        <v>519.20000000000005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SUM(TABELA25[[#This Row],[T1]:[T7]])</f>
        <v>0</v>
      </c>
      <c r="P20" s="21">
        <f>TABELA25[[#This Row],[QTDE]]*TABELA25[[#This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319.2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SUM(TABELA25[[#This Row],[T1]:[T7]])</f>
        <v>0</v>
      </c>
      <c r="P21" s="21">
        <f>TABELA25[[#This Row],[QTDE]]*TABELA25[[#This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399.2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SUM(TABELA25[[#This Row],[T1]:[T7]])</f>
        <v>0</v>
      </c>
      <c r="P22" s="21">
        <f>TABELA25[[#This Row],[QTDE]]*TABELA25[[#This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479.2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SUM(TABELA25[[#This Row],[T1]:[T7]])</f>
        <v>0</v>
      </c>
      <c r="P23" s="21">
        <f>TABELA25[[#This Row],[QTDE]]*TABELA25[[#This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479.2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SUM(TABELA25[[#This Row],[T1]:[T7]])</f>
        <v>0</v>
      </c>
      <c r="P24" s="21">
        <f>TABELA25[[#This Row],[QTDE]]*TABELA25[[#This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519.20000000000005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SUM(TABELA25[[#This Row],[T1]:[T7]])</f>
        <v>0</v>
      </c>
      <c r="P25" s="21">
        <f>TABELA25[[#This Row],[QTDE]]*TABELA25[[#This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519.20000000000005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SUM(TABELA25[[#This Row],[T1]:[T7]])</f>
        <v>0</v>
      </c>
      <c r="P26" s="21">
        <f>TABELA25[[#This Row],[QTDE]]*TABELA25[[#This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399.2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SUM(TABELA25[[#This Row],[T1]:[T7]])</f>
        <v>0</v>
      </c>
      <c r="P27" s="21">
        <f>TABELA25[[#This Row],[QTDE]]*TABELA25[[#This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479.2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SUM(TABELA25[[#This Row],[T1]:[T7]])</f>
        <v>0</v>
      </c>
      <c r="P28" s="21">
        <f>TABELA25[[#This Row],[QTDE]]*TABELA25[[#This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319.2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SUM(TABELA25[[#This Row],[T1]:[T7]])</f>
        <v>0</v>
      </c>
      <c r="P29" s="21">
        <f>TABELA25[[#This Row],[QTDE]]*TABELA25[[#This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399.2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SUM(TABELA25[[#This Row],[T1]:[T7]])</f>
        <v>0</v>
      </c>
      <c r="P30" s="21">
        <f>TABELA25[[#This Row],[QTDE]]*TABELA25[[#This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211.2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SUM(TABELA25[[#This Row],[T1]:[T7]])</f>
        <v>0</v>
      </c>
      <c r="P31" s="21">
        <f>TABELA25[[#This Row],[QTDE]]*TABELA25[[#This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211.2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SUM(TABELA25[[#This Row],[T1]:[T7]])</f>
        <v>0</v>
      </c>
      <c r="P32" s="21">
        <f>TABELA25[[#This Row],[QTDE]]*TABELA25[[#This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299.2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SUM(TABELA25[[#This Row],[T1]:[T7]])</f>
        <v>0</v>
      </c>
      <c r="P33" s="21">
        <f>TABELA25[[#This Row],[QTDE]]*TABELA25[[#This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299.2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SUM(TABELA25[[#This Row],[T1]:[T7]])</f>
        <v>0</v>
      </c>
      <c r="P34" s="21">
        <f>TABELA25[[#This Row],[QTDE]]*TABELA25[[#This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399.2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SUM(TABELA25[[#This Row],[T1]:[T7]])</f>
        <v>0</v>
      </c>
      <c r="P35" s="21">
        <f>TABELA25[[#This Row],[QTDE]]*TABELA25[[#This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479.2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SUM(TABELA25[[#This Row],[T1]:[T7]])</f>
        <v>0</v>
      </c>
      <c r="P36" s="21">
        <f>TABELA25[[#This Row],[QTDE]]*TABELA25[[#This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359.2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SUM(TABELA25[[#This Row],[T1]:[T7]])</f>
        <v>0</v>
      </c>
      <c r="P37" s="21">
        <f>TABELA25[[#This Row],[QTDE]]*TABELA25[[#This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319.2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SUM(TABELA25[[#This Row],[T1]:[T7]])</f>
        <v>0</v>
      </c>
      <c r="P38" s="21">
        <f>TABELA25[[#This Row],[QTDE]]*TABELA25[[#This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211.2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SUM(TABELA25[[#This Row],[T1]:[T7]])</f>
        <v>0</v>
      </c>
      <c r="P39" s="21">
        <f>TABELA25[[#This Row],[QTDE]]*TABELA25[[#This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351.2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SUM(TABELA25[[#This Row],[T1]:[T7]])</f>
        <v>0</v>
      </c>
      <c r="P40" s="21">
        <f>TABELA25[[#This Row],[QTDE]]*TABELA25[[#This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359.2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SUM(TABELA25[[#This Row],[T1]:[T7]])</f>
        <v>0</v>
      </c>
      <c r="P41" s="21">
        <f>TABELA25[[#This Row],[QTDE]]*TABELA25[[#This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319.2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SUM(TABELA25[[#This Row],[T1]:[T7]])</f>
        <v>0</v>
      </c>
      <c r="P42" s="21">
        <f>TABELA25[[#This Row],[QTDE]]*TABELA25[[#This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399.2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SUM(TABELA25[[#This Row],[T1]:[T7]])</f>
        <v>0</v>
      </c>
      <c r="P43" s="21">
        <f>TABELA25[[#This Row],[QTDE]]*TABELA25[[#This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279.2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SUM(TABELA25[[#This Row],[T1]:[T7]])</f>
        <v>0</v>
      </c>
      <c r="P44" s="21">
        <f>TABELA25[[#This Row],[QTDE]]*TABELA25[[#This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359.2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SUM(TABELA25[[#This Row],[T1]:[T7]])</f>
        <v>0</v>
      </c>
      <c r="P45" s="21">
        <f>TABELA25[[#This Row],[QTDE]]*TABELA25[[#This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399.2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SUM(TABELA25[[#This Row],[T1]:[T7]])</f>
        <v>0</v>
      </c>
      <c r="P46" s="21">
        <f>TABELA25[[#This Row],[QTDE]]*TABELA25[[#This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299.2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SUM(TABELA25[[#This Row],[T1]:[T7]])</f>
        <v>0</v>
      </c>
      <c r="P47" s="21">
        <f>TABELA25[[#This Row],[QTDE]]*TABELA25[[#This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319.2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SUM(TABELA25[[#This Row],[T1]:[T7]])</f>
        <v>0</v>
      </c>
      <c r="P48" s="21">
        <f>TABELA25[[#This Row],[QTDE]]*TABELA25[[#This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319.2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SUM(TABELA25[[#This Row],[T1]:[T7]])</f>
        <v>0</v>
      </c>
      <c r="P49" s="21">
        <f>TABELA25[[#This Row],[QTDE]]*TABELA25[[#This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259.2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SUM(TABELA25[[#This Row],[T1]:[T7]])</f>
        <v>0</v>
      </c>
      <c r="P50" s="21">
        <f>TABELA25[[#This Row],[QTDE]]*TABELA25[[#This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479.2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SUM(TABELA25[[#This Row],[T1]:[T7]])</f>
        <v>0</v>
      </c>
      <c r="P51" s="21">
        <f>TABELA25[[#This Row],[QTDE]]*TABELA25[[#This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339.2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SUM(TABELA25[[#This Row],[T1]:[T7]])</f>
        <v>0</v>
      </c>
      <c r="P52" s="21">
        <f>TABELA25[[#This Row],[QTDE]]*TABELA25[[#This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239.2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SUM(TABELA25[[#This Row],[T1]:[T7]])</f>
        <v>0</v>
      </c>
      <c r="P53" s="21">
        <f>TABELA25[[#This Row],[QTDE]]*TABELA25[[#This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383.2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SUM(TABELA25[[#This Row],[T1]:[T7]])</f>
        <v>0</v>
      </c>
      <c r="P54" s="21">
        <f>TABELA25[[#This Row],[QTDE]]*TABELA25[[#This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279.2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SUM(TABELA25[[#This Row],[T1]:[T7]])</f>
        <v>0</v>
      </c>
      <c r="P55" s="21">
        <f>TABELA25[[#This Row],[QTDE]]*TABELA25[[#This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279.2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SUM(TABELA25[[#This Row],[T1]:[T7]])</f>
        <v>0</v>
      </c>
      <c r="P56" s="21">
        <f>TABELA25[[#This Row],[QTDE]]*TABELA25[[#This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179.2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SUM(TABELA25[[#This Row],[T1]:[T7]])</f>
        <v>0</v>
      </c>
      <c r="P57" s="21">
        <f>TABELA25[[#This Row],[QTDE]]*TABELA25[[#This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199.2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SUM(TABELA25[[#This Row],[T1]:[T7]])</f>
        <v>0</v>
      </c>
      <c r="P58" s="21">
        <f>TABELA25[[#This Row],[QTDE]]*TABELA25[[#This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199.2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SUM(TABELA25[[#This Row],[T1]:[T7]])</f>
        <v>0</v>
      </c>
      <c r="P59" s="21">
        <f>TABELA25[[#This Row],[QTDE]]*TABELA25[[#This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319.2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SUM(TABELA25[[#This Row],[T1]:[T7]])</f>
        <v>0</v>
      </c>
      <c r="P60" s="21">
        <f>TABELA25[[#This Row],[QTDE]]*TABELA25[[#This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319.2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SUM(TABELA25[[#This Row],[T1]:[T7]])</f>
        <v>0</v>
      </c>
      <c r="P61" s="21">
        <f>TABELA25[[#This Row],[QTDE]]*TABELA25[[#This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239.2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SUM(TABELA25[[#This Row],[T1]:[T7]])</f>
        <v>0</v>
      </c>
      <c r="P62" s="21">
        <f>TABELA25[[#This Row],[QTDE]]*TABELA25[[#This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199.2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SUM(TABELA25[[#This Row],[T1]:[T7]])</f>
        <v>0</v>
      </c>
      <c r="P63" s="21">
        <f>TABELA25[[#This Row],[QTDE]]*TABELA25[[#This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211.2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SUM(TABELA25[[#This Row],[T1]:[T7]])</f>
        <v>0</v>
      </c>
      <c r="P64" s="21">
        <f>TABELA25[[#This Row],[QTDE]]*TABELA25[[#This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159.19999999999999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SUM(TABELA25[[#This Row],[T1]:[T7]])</f>
        <v>0</v>
      </c>
      <c r="P65" s="21">
        <f>TABELA25[[#This Row],[QTDE]]*TABELA25[[#This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159.19999999999999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SUM(TABELA25[[#This Row],[T1]:[T7]])</f>
        <v>0</v>
      </c>
      <c r="P66" s="21">
        <f>TABELA25[[#This Row],[QTDE]]*TABELA25[[#This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127.2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SUM(TABELA25[[#This Row],[T1]:[T7]])</f>
        <v>0</v>
      </c>
      <c r="P67" s="21">
        <f>TABELA25[[#This Row],[QTDE]]*TABELA25[[#This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131.19999999999999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SUM(TABELA25[[#This Row],[T1]:[T7]])</f>
        <v>0</v>
      </c>
      <c r="P68" s="21">
        <f>TABELA25[[#This Row],[QTDE]]*TABELA25[[#This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159.19999999999999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SUM(TABELA25[[#This Row],[T1]:[T7]])</f>
        <v>0</v>
      </c>
      <c r="P69" s="21">
        <f>TABELA25[[#This Row],[QTDE]]*TABELA25[[#This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159.19999999999999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SUM(TABELA25[[#This Row],[T1]:[T7]])</f>
        <v>0</v>
      </c>
      <c r="P70" s="21">
        <f>TABELA25[[#This Row],[QTDE]]*TABELA25[[#This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159.19999999999999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SUM(TABELA25[[#This Row],[T1]:[T7]])</f>
        <v>0</v>
      </c>
      <c r="P71" s="21">
        <f>TABELA25[[#This Row],[QTDE]]*TABELA25[[#This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159.19999999999999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SUM(TABELA25[[#This Row],[T1]:[T7]])</f>
        <v>0</v>
      </c>
      <c r="P72" s="21">
        <f>TABELA25[[#This Row],[QTDE]]*TABELA25[[#This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187.2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SUM(TABELA25[[#This Row],[T1]:[T7]])</f>
        <v>0</v>
      </c>
      <c r="P73" s="21">
        <f>TABELA25[[#This Row],[QTDE]]*TABELA25[[#This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199.2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SUM(TABELA25[[#This Row],[T1]:[T7]])</f>
        <v>0</v>
      </c>
      <c r="P74" s="21">
        <f>TABELA25[[#This Row],[QTDE]]*TABELA25[[#This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159.19999999999999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SUM(TABELA25[[#This Row],[T1]:[T7]])</f>
        <v>0</v>
      </c>
      <c r="P75" s="21">
        <f>TABELA25[[#This Row],[QTDE]]*TABELA25[[#This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179.2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SUM(TABELA25[[#This Row],[T1]:[T7]])</f>
        <v>0</v>
      </c>
      <c r="P76" s="21">
        <f>TABELA25[[#This Row],[QTDE]]*TABELA25[[#This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239.2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SUM(TABELA25[[#This Row],[T1]:[T7]])</f>
        <v>0</v>
      </c>
      <c r="P77" s="21">
        <f>TABELA25[[#This Row],[QTDE]]*TABELA25[[#This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171.2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SUM(TABELA25[[#This Row],[T1]:[T7]])</f>
        <v>0</v>
      </c>
      <c r="P78" s="21">
        <f>TABELA25[[#This Row],[QTDE]]*TABELA25[[#This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339.2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SUM(TABELA25[[#This Row],[T1]:[T7]])</f>
        <v>0</v>
      </c>
      <c r="P79" s="21">
        <f>TABELA25[[#This Row],[QTDE]]*TABELA25[[#This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199.2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SUM(TABELA25[[#This Row],[T1]:[T7]])</f>
        <v>0</v>
      </c>
      <c r="P80" s="21">
        <f>TABELA25[[#This Row],[QTDE]]*TABELA25[[#This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119.2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SUM(TABELA25[[#This Row],[T1]:[T7]])</f>
        <v>0</v>
      </c>
      <c r="P81" s="21">
        <f>TABELA25[[#This Row],[QTDE]]*TABELA25[[#This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159.19999999999999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SUM(TABELA25[[#This Row],[T1]:[T7]])</f>
        <v>0</v>
      </c>
      <c r="P82" s="21">
        <f>TABELA25[[#This Row],[QTDE]]*TABELA25[[#This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187.2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SUM(TABELA25[[#This Row],[T1]:[T7]])</f>
        <v>0</v>
      </c>
      <c r="P83" s="21">
        <f>TABELA25[[#This Row],[QTDE]]*TABELA25[[#This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159.19999999999999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SUM(TABELA25[[#This Row],[T1]:[T7]])</f>
        <v>0</v>
      </c>
      <c r="P84" s="21">
        <f>TABELA25[[#This Row],[QTDE]]*TABELA25[[#This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159.19999999999999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SUM(TABELA25[[#This Row],[T1]:[T7]])</f>
        <v>0</v>
      </c>
      <c r="P85" s="21">
        <f>TABELA25[[#This Row],[QTDE]]*TABELA25[[#This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239.2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SUM(TABELA25[[#This Row],[T1]:[T7]])</f>
        <v>0</v>
      </c>
      <c r="P86" s="21">
        <f>TABELA25[[#This Row],[QTDE]]*TABELA25[[#This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259.2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SUM(TABELA25[[#This Row],[T1]:[T7]])</f>
        <v>0</v>
      </c>
      <c r="P87" s="21">
        <f>TABELA25[[#This Row],[QTDE]]*TABELA25[[#This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259.2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SUM(TABELA25[[#This Row],[T1]:[T7]])</f>
        <v>0</v>
      </c>
      <c r="P88" s="21">
        <f>TABELA25[[#This Row],[QTDE]]*TABELA25[[#This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239.2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SUM(TABELA25[[#This Row],[T1]:[T7]])</f>
        <v>0</v>
      </c>
      <c r="P89" s="21">
        <f>TABELA25[[#This Row],[QTDE]]*TABELA25[[#This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187.2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SUM(TABELA25[[#This Row],[T1]:[T7]])</f>
        <v>0</v>
      </c>
      <c r="P90" s="21">
        <f>TABELA25[[#This Row],[QTDE]]*TABELA25[[#This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187.2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SUM(TABELA25[[#This Row],[T1]:[T7]])</f>
        <v>0</v>
      </c>
      <c r="P91" s="21">
        <f>TABELA25[[#This Row],[QTDE]]*TABELA25[[#This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187.2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SUM(TABELA25[[#This Row],[T1]:[T7]])</f>
        <v>0</v>
      </c>
      <c r="P92" s="21">
        <f>TABELA25[[#This Row],[QTDE]]*TABELA25[[#This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291.2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SUM(TABELA25[[#This Row],[T1]:[T7]])</f>
        <v>0</v>
      </c>
      <c r="P93" s="21">
        <f>TABELA25[[#This Row],[QTDE]]*TABELA25[[#This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171.2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SUM(TABELA25[[#This Row],[T1]:[T7]])</f>
        <v>0</v>
      </c>
      <c r="P94" s="21">
        <f>TABELA25[[#This Row],[QTDE]]*TABELA25[[#This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159.19999999999999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SUM(TABELA25[[#This Row],[T1]:[T7]])</f>
        <v>0</v>
      </c>
      <c r="P95" s="21">
        <f>TABELA25[[#This Row],[QTDE]]*TABELA25[[#This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159.19999999999999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SUM(TABELA25[[#This Row],[T1]:[T7]])</f>
        <v>0</v>
      </c>
      <c r="P96" s="21">
        <f>TABELA25[[#This Row],[QTDE]]*TABELA25[[#This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319.2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SUM(TABELA25[[#This Row],[T1]:[T7]])</f>
        <v>0</v>
      </c>
      <c r="P97" s="21">
        <f>TABELA25[[#This Row],[QTDE]]*TABELA25[[#This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279.2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SUM(TABELA25[[#This Row],[T1]:[T7]])</f>
        <v>0</v>
      </c>
      <c r="P98" s="21">
        <f>TABELA25[[#This Row],[QTDE]]*TABELA25[[#This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279.2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SUM(TABELA25[[#This Row],[T1]:[T7]])</f>
        <v>0</v>
      </c>
      <c r="P99" s="21">
        <f>TABELA25[[#This Row],[QTDE]]*TABELA25[[#This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219.2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SUM(TABELA25[[#This Row],[T1]:[T7]])</f>
        <v>0</v>
      </c>
      <c r="P100" s="21">
        <f>TABELA25[[#This Row],[QTDE]]*TABELA25[[#This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183.2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SUM(TABELA25[[#This Row],[T1]:[T7]])</f>
        <v>0</v>
      </c>
      <c r="P101" s="21">
        <f>TABELA25[[#This Row],[QTDE]]*TABELA25[[#This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171.2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SUM(TABELA25[[#This Row],[T1]:[T7]])</f>
        <v>0</v>
      </c>
      <c r="P102" s="21">
        <f>TABELA25[[#This Row],[QTDE]]*TABELA25[[#This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131.19999999999999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SUM(TABELA25[[#This Row],[T1]:[T7]])</f>
        <v>0</v>
      </c>
      <c r="P103" s="21">
        <f>TABELA25[[#This Row],[QTDE]]*TABELA25[[#This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211.2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SUM(TABELA25[[#This Row],[T1]:[T7]])</f>
        <v>0</v>
      </c>
      <c r="P104" s="21">
        <f>TABELA25[[#This Row],[QTDE]]*TABELA25[[#This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211.2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SUM(TABELA25[[#This Row],[T1]:[T7]])</f>
        <v>0</v>
      </c>
      <c r="P105" s="21">
        <f>TABELA25[[#This Row],[QTDE]]*TABELA25[[#This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143.19999999999999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SUM(TABELA25[[#This Row],[T1]:[T7]])</f>
        <v>0</v>
      </c>
      <c r="P106" s="21">
        <f>TABELA25[[#This Row],[QTDE]]*TABELA25[[#This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183.2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SUM(TABELA25[[#This Row],[T1]:[T7]])</f>
        <v>0</v>
      </c>
      <c r="P107" s="21">
        <f>TABELA25[[#This Row],[QTDE]]*TABELA25[[#This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131.19999999999999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SUM(TABELA25[[#This Row],[T1]:[T7]])</f>
        <v>0</v>
      </c>
      <c r="P108" s="21">
        <f>TABELA25[[#This Row],[QTDE]]*TABELA25[[#This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159.19999999999999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SUM(TABELA25[[#This Row],[T1]:[T7]])</f>
        <v>0</v>
      </c>
      <c r="P109" s="21">
        <f>TABELA25[[#This Row],[QTDE]]*TABELA25[[#This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183.2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SUM(TABELA25[[#This Row],[T1]:[T7]])</f>
        <v>0</v>
      </c>
      <c r="P110" s="21">
        <f>TABELA25[[#This Row],[QTDE]]*TABELA25[[#This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179.2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SUM(TABELA25[[#This Row],[T1]:[T7]])</f>
        <v>0</v>
      </c>
      <c r="P111" s="21">
        <f>TABELA25[[#This Row],[QTDE]]*TABELA25[[#This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159.19999999999999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SUM(TABELA25[[#This Row],[T1]:[T7]])</f>
        <v>0</v>
      </c>
      <c r="P112" s="21">
        <f>TABELA25[[#This Row],[QTDE]]*TABELA25[[#This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143.19999999999999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SUM(TABELA25[[#This Row],[T1]:[T7]])</f>
        <v>0</v>
      </c>
      <c r="P113" s="21">
        <f>TABELA25[[#This Row],[QTDE]]*TABELA25[[#This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223.2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SUM(TABELA25[[#This Row],[T1]:[T7]])</f>
        <v>0</v>
      </c>
      <c r="P114" s="21">
        <f>TABELA25[[#This Row],[QTDE]]*TABELA25[[#This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171.2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SUM(TABELA25[[#This Row],[T1]:[T7]])</f>
        <v>0</v>
      </c>
      <c r="P115" s="21">
        <f>TABELA25[[#This Row],[QTDE]]*TABELA25[[#This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159.19999999999999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SUM(TABELA25[[#This Row],[T1]:[T7]])</f>
        <v>0</v>
      </c>
      <c r="P116" s="21">
        <f>TABELA25[[#This Row],[QTDE]]*TABELA25[[#This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159.19999999999999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SUM(TABELA25[[#This Row],[T1]:[T7]])</f>
        <v>0</v>
      </c>
      <c r="P117" s="21">
        <f>TABELA25[[#This Row],[QTDE]]*TABELA25[[#This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187.2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SUM(TABELA25[[#This Row],[T1]:[T7]])</f>
        <v>0</v>
      </c>
      <c r="P118" s="21">
        <f>TABELA25[[#This Row],[QTDE]]*TABELA25[[#This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199.2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SUM(TABELA25[[#This Row],[T1]:[T7]])</f>
        <v>0</v>
      </c>
      <c r="P119" s="21">
        <f>TABELA25[[#This Row],[QTDE]]*TABELA25[[#This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191.2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SUM(TABELA25[[#This Row],[T1]:[T7]])</f>
        <v>0</v>
      </c>
      <c r="P120" s="21">
        <f>TABELA25[[#This Row],[QTDE]]*TABELA25[[#This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191.2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SUM(TABELA25[[#This Row],[T1]:[T7]])</f>
        <v>0</v>
      </c>
      <c r="P121" s="21">
        <f>TABELA25[[#This Row],[QTDE]]*TABELA25[[#This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171.2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SUM(TABELA25[[#This Row],[T1]:[T7]])</f>
        <v>0</v>
      </c>
      <c r="P122" s="21">
        <f>TABELA25[[#This Row],[QTDE]]*TABELA25[[#This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159.19999999999999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SUM(TABELA25[[#This Row],[T1]:[T7]])</f>
        <v>0</v>
      </c>
      <c r="P123" s="21">
        <f>TABELA25[[#This Row],[QTDE]]*TABELA25[[#This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239.2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SUM(TABELA25[[#This Row],[T1]:[T7]])</f>
        <v>0</v>
      </c>
      <c r="P124" s="21">
        <f>TABELA25[[#This Row],[QTDE]]*TABELA25[[#This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171.2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SUM(TABELA25[[#This Row],[T1]:[T7]])</f>
        <v>0</v>
      </c>
      <c r="P125" s="21">
        <f>TABELA25[[#This Row],[QTDE]]*TABELA25[[#This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111.2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SUM(TABELA25[[#This Row],[T1]:[T7]])</f>
        <v>0</v>
      </c>
      <c r="P126" s="21">
        <f>TABELA25[[#This Row],[QTDE]]*TABELA25[[#This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111.2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SUM(TABELA25[[#This Row],[T1]:[T7]])</f>
        <v>0</v>
      </c>
      <c r="P127" s="21">
        <f>TABELA25[[#This Row],[QTDE]]*TABELA25[[#This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159.19999999999999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SUM(TABELA25[[#This Row],[T1]:[T7]])</f>
        <v>0</v>
      </c>
      <c r="P128" s="21">
        <f>TABELA25[[#This Row],[QTDE]]*TABELA25[[#This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279.2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SUM(TABELA25[[#This Row],[T1]:[T7]])</f>
        <v>0</v>
      </c>
      <c r="P129" s="21">
        <f>TABELA25[[#This Row],[QTDE]]*TABELA25[[#This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307.2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SUM(TABELA25[[#This Row],[T1]:[T7]])</f>
        <v>0</v>
      </c>
      <c r="P130" s="21">
        <f>TABELA25[[#This Row],[QTDE]]*TABELA25[[#This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219.2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SUM(TABELA25[[#This Row],[T1]:[T7]])</f>
        <v>0</v>
      </c>
      <c r="P131" s="21">
        <f>TABELA25[[#This Row],[QTDE]]*TABELA25[[#This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219.2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SUM(TABELA25[[#This Row],[T1]:[T7]])</f>
        <v>0</v>
      </c>
      <c r="P132" s="21">
        <f>TABELA25[[#This Row],[QTDE]]*TABELA25[[#This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219.2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SUM(TABELA25[[#This Row],[T1]:[T7]])</f>
        <v>0</v>
      </c>
      <c r="P133" s="21">
        <f>TABELA25[[#This Row],[QTDE]]*TABELA25[[#This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319.2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SUM(TABELA25[[#This Row],[T1]:[T7]])</f>
        <v>0</v>
      </c>
      <c r="P134" s="21">
        <f>TABELA25[[#This Row],[QTDE]]*TABELA25[[#This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199.2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SUM(TABELA25[[#This Row],[T1]:[T7]])</f>
        <v>0</v>
      </c>
      <c r="P135" s="21">
        <f>TABELA25[[#This Row],[QTDE]]*TABELA25[[#This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179.2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SUM(TABELA25[[#This Row],[T1]:[T7]])</f>
        <v>0</v>
      </c>
      <c r="P136" s="21">
        <f>TABELA25[[#This Row],[QTDE]]*TABELA25[[#This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359.2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SUM(TABELA25[[#This Row],[T1]:[T7]])</f>
        <v>0</v>
      </c>
      <c r="P137" s="21">
        <f>TABELA25[[#This Row],[QTDE]]*TABELA25[[#This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159.19999999999999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SUM(TABELA25[[#This Row],[T1]:[T7]])</f>
        <v>0</v>
      </c>
      <c r="P138" s="21">
        <f>TABELA25[[#This Row],[QTDE]]*TABELA25[[#This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211.2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SUM(TABELA25[[#This Row],[T1]:[T7]])</f>
        <v>0</v>
      </c>
      <c r="P139" s="21">
        <f>TABELA25[[#This Row],[QTDE]]*TABELA25[[#This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223.2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SUM(TABELA25[[#This Row],[T1]:[T7]])</f>
        <v>0</v>
      </c>
      <c r="P140" s="21">
        <f>TABELA25[[#This Row],[QTDE]]*TABELA25[[#This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171.2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SUM(TABELA25[[#This Row],[T1]:[T7]])</f>
        <v>0</v>
      </c>
      <c r="P141" s="21">
        <f>TABELA25[[#This Row],[QTDE]]*TABELA25[[#This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143.19999999999999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SUM(TABELA25[[#This Row],[T1]:[T7]])</f>
        <v>0</v>
      </c>
      <c r="P142" s="21">
        <f>TABELA25[[#This Row],[QTDE]]*TABELA25[[#This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223.2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SUM(TABELA25[[#This Row],[T1]:[T7]])</f>
        <v>0</v>
      </c>
      <c r="P143" s="21">
        <f>TABELA25[[#This Row],[QTDE]]*TABELA25[[#This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199.2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SUM(TABELA25[[#This Row],[T1]:[T7]])</f>
        <v>0</v>
      </c>
      <c r="P144" s="21">
        <f>TABELA25[[#This Row],[QTDE]]*TABELA25[[#This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211.2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SUM(TABELA25[[#This Row],[T1]:[T7]])</f>
        <v>0</v>
      </c>
      <c r="P145" s="21">
        <f>TABELA25[[#This Row],[QTDE]]*TABELA25[[#This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359.2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SUM(TABELA25[[#This Row],[T1]:[T7]])</f>
        <v>0</v>
      </c>
      <c r="P146" s="21">
        <f>TABELA25[[#This Row],[QTDE]]*TABELA25[[#This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359.2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SUM(TABELA25[[#This Row],[T1]:[T7]])</f>
        <v>0</v>
      </c>
      <c r="P147" s="21">
        <f>TABELA25[[#This Row],[QTDE]]*TABELA25[[#This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319.2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SUM(TABELA25[[#This Row],[T1]:[T7]])</f>
        <v>0</v>
      </c>
      <c r="P148" s="21">
        <f>TABELA25[[#This Row],[QTDE]]*TABELA25[[#This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339.2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SUM(TABELA25[[#This Row],[T1]:[T7]])</f>
        <v>0</v>
      </c>
      <c r="P149" s="21">
        <f>TABELA25[[#This Row],[QTDE]]*TABELA25[[#This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303.2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SUM(TABELA25[[#This Row],[T1]:[T7]])</f>
        <v>0</v>
      </c>
      <c r="P150" s="21">
        <f>TABELA25[[#This Row],[QTDE]]*TABELA25[[#This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319.2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SUM(TABELA25[[#This Row],[T1]:[T7]])</f>
        <v>0</v>
      </c>
      <c r="P151" s="21">
        <f>TABELA25[[#This Row],[QTDE]]*TABELA25[[#This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319.2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SUM(TABELA25[[#This Row],[T1]:[T7]])</f>
        <v>0</v>
      </c>
      <c r="P152" s="21">
        <f>TABELA25[[#This Row],[QTDE]]*TABELA25[[#This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239.2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SUM(TABELA25[[#This Row],[T1]:[T7]])</f>
        <v>0</v>
      </c>
      <c r="P153" s="21">
        <f>TABELA25[[#This Row],[QTDE]]*TABELA25[[#This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291.2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SUM(TABELA25[[#This Row],[T1]:[T7]])</f>
        <v>0</v>
      </c>
      <c r="P154" s="21">
        <f>TABELA25[[#This Row],[QTDE]]*TABELA25[[#This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291.2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SUM(TABELA25[[#This Row],[T1]:[T7]])</f>
        <v>0</v>
      </c>
      <c r="P155" s="21">
        <f>TABELA25[[#This Row],[QTDE]]*TABELA25[[#This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199.2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SUM(TABELA25[[#This Row],[T1]:[T7]])</f>
        <v>0</v>
      </c>
      <c r="P156" s="21">
        <f>TABELA25[[#This Row],[QTDE]]*TABELA25[[#This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199.2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SUM(TABELA25[[#This Row],[T1]:[T7]])</f>
        <v>0</v>
      </c>
      <c r="P157" s="21">
        <f>TABELA25[[#This Row],[QTDE]]*TABELA25[[#This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199.2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SUM(TABELA25[[#This Row],[T1]:[T7]])</f>
        <v>0</v>
      </c>
      <c r="P158" s="21">
        <f>TABELA25[[#This Row],[QTDE]]*TABELA25[[#This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399.2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SUM(TABELA25[[#This Row],[T1]:[T7]])</f>
        <v>0</v>
      </c>
      <c r="P159" s="21">
        <f>TABELA25[[#This Row],[QTDE]]*TABELA25[[#This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399.2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SUM(TABELA25[[#This Row],[T1]:[T7]])</f>
        <v>0</v>
      </c>
      <c r="P160" s="21">
        <f>TABELA25[[#This Row],[QTDE]]*TABELA25[[#This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399.2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SUM(TABELA25[[#This Row],[T1]:[T7]])</f>
        <v>0</v>
      </c>
      <c r="P161" s="21">
        <f>TABELA25[[#This Row],[QTDE]]*TABELA25[[#This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219.2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SUM(TABELA25[[#This Row],[T1]:[T7]])</f>
        <v>0</v>
      </c>
      <c r="P162" s="21">
        <f>TABELA25[[#This Row],[QTDE]]*TABELA25[[#This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239.2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SUM(TABELA25[[#This Row],[T1]:[T7]])</f>
        <v>0</v>
      </c>
      <c r="P163" s="21">
        <f>TABELA25[[#This Row],[QTDE]]*TABELA25[[#This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279.2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SUM(TABELA25[[#This Row],[T1]:[T7]])</f>
        <v>0</v>
      </c>
      <c r="P164" s="21">
        <f>TABELA25[[#This Row],[QTDE]]*TABELA25[[#This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279.2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SUM(TABELA25[[#This Row],[T1]:[T7]])</f>
        <v>0</v>
      </c>
      <c r="P165" s="21">
        <f>TABELA25[[#This Row],[QTDE]]*TABELA25[[#This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183.2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SUM(TABELA25[[#This Row],[T1]:[T7]])</f>
        <v>0</v>
      </c>
      <c r="P166" s="21">
        <f>TABELA25[[#This Row],[QTDE]]*TABELA25[[#This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159.19999999999999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SUM(TABELA25[[#This Row],[T1]:[T7]])</f>
        <v>0</v>
      </c>
      <c r="P167" s="21">
        <f>TABELA25[[#This Row],[QTDE]]*TABELA25[[#This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107.2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SUM(TABELA25[[#This Row],[T1]:[T7]])</f>
        <v>0</v>
      </c>
      <c r="P168" s="21">
        <f>TABELA25[[#This Row],[QTDE]]*TABELA25[[#This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79.2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SUM(TABELA25[[#This Row],[T1]:[T7]])</f>
        <v>0</v>
      </c>
      <c r="P169" s="21">
        <f>TABELA25[[#This Row],[QTDE]]*TABELA25[[#This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79.2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SUM(TABELA25[[#This Row],[T1]:[T7]])</f>
        <v>0</v>
      </c>
      <c r="P170" s="21">
        <f>TABELA25[[#This Row],[QTDE]]*TABELA25[[#This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279.2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SUM(TABELA25[[#This Row],[T1]:[T7]])</f>
        <v>0</v>
      </c>
      <c r="P171" s="21">
        <f>TABELA25[[#This Row],[QTDE]]*TABELA25[[#This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279.2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SUM(TABELA25[[#This Row],[T1]:[T7]])</f>
        <v>0</v>
      </c>
      <c r="P172" s="21">
        <f>TABELA25[[#This Row],[QTDE]]*TABELA25[[#This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279.2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SUM(TABELA25[[#This Row],[T1]:[T7]])</f>
        <v>0</v>
      </c>
      <c r="P173" s="21">
        <f>TABELA25[[#This Row],[QTDE]]*TABELA25[[#This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219.2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SUM(TABELA25[[#This Row],[T1]:[T7]])</f>
        <v>0</v>
      </c>
      <c r="P174" s="21">
        <f>TABELA25[[#This Row],[QTDE]]*TABELA25[[#This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219.2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SUM(TABELA25[[#This Row],[T1]:[T7]])</f>
        <v>0</v>
      </c>
      <c r="P175" s="21">
        <f>TABELA25[[#This Row],[QTDE]]*TABELA25[[#This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279.2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SUM(TABELA25[[#This Row],[T1]:[T7]])</f>
        <v>0</v>
      </c>
      <c r="P176" s="21">
        <f>TABELA25[[#This Row],[QTDE]]*TABELA25[[#This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171.2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SUM(TABELA25[[#This Row],[T1]:[T7]])</f>
        <v>0</v>
      </c>
      <c r="P177" s="21">
        <f>TABELA25[[#This Row],[QTDE]]*TABELA25[[#This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159.19999999999999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SUM(TABELA25[[#This Row],[T1]:[T7]])</f>
        <v>0</v>
      </c>
      <c r="P178" s="21">
        <f>TABELA25[[#This Row],[QTDE]]*TABELA25[[#This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159.19999999999999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SUM(TABELA25[[#This Row],[T1]:[T7]])</f>
        <v>0</v>
      </c>
      <c r="P179" s="21">
        <f>TABELA25[[#This Row],[QTDE]]*TABELA25[[#This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191.2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SUM(TABELA25[[#This Row],[T1]:[T7]])</f>
        <v>0</v>
      </c>
      <c r="P180" s="21">
        <f>TABELA25[[#This Row],[QTDE]]*TABELA25[[#This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151.19999999999999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SUM(TABELA25[[#This Row],[T1]:[T7]])</f>
        <v>0</v>
      </c>
      <c r="P181" s="21">
        <f>TABELA25[[#This Row],[QTDE]]*TABELA25[[#This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119.2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SUM(TABELA25[[#This Row],[T1]:[T7]])</f>
        <v>0</v>
      </c>
      <c r="P182" s="21">
        <f>TABELA25[[#This Row],[QTDE]]*TABELA25[[#This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119.2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SUM(TABELA25[[#This Row],[T1]:[T7]])</f>
        <v>0</v>
      </c>
      <c r="P183" s="21">
        <f>TABELA25[[#This Row],[QTDE]]*TABELA25[[#This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119.2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SUM(TABELA25[[#This Row],[T1]:[T7]])</f>
        <v>0</v>
      </c>
      <c r="P184" s="21">
        <f>TABELA25[[#This Row],[QTDE]]*TABELA25[[#This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199.2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SUM(TABELA25[[#This Row],[T1]:[T7]])</f>
        <v>0</v>
      </c>
      <c r="P185" s="21">
        <f>TABELA25[[#This Row],[QTDE]]*TABELA25[[#This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159.19999999999999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SUM(TABELA25[[#This Row],[T1]:[T7]])</f>
        <v>0</v>
      </c>
      <c r="P186" s="21">
        <f>TABELA25[[#This Row],[QTDE]]*TABELA25[[#This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171.2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SUM(TABELA25[[#This Row],[T1]:[T7]])</f>
        <v>0</v>
      </c>
      <c r="P187" s="21">
        <f>TABELA25[[#This Row],[QTDE]]*TABELA25[[#This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119.2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SUM(TABELA25[[#This Row],[T1]:[T7]])</f>
        <v>0</v>
      </c>
      <c r="P188" s="21">
        <f>TABELA25[[#This Row],[QTDE]]*TABELA25[[#This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119.2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SUM(TABELA25[[#This Row],[T1]:[T7]])</f>
        <v>0</v>
      </c>
      <c r="P189" s="21">
        <f>TABELA25[[#This Row],[QTDE]]*TABELA25[[#This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171.2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SUM(TABELA25[[#This Row],[T1]:[T7]])</f>
        <v>0</v>
      </c>
      <c r="P190" s="21">
        <f>TABELA25[[#This Row],[QTDE]]*TABELA25[[#This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135.19999999999999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SUM(TABELA25[[#This Row],[T1]:[T7]])</f>
        <v>0</v>
      </c>
      <c r="P191" s="21">
        <f>TABELA25[[#This Row],[QTDE]]*TABELA25[[#This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135.19999999999999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SUM(TABELA25[[#This Row],[T1]:[T7]])</f>
        <v>0</v>
      </c>
      <c r="P192" s="21">
        <f>TABELA25[[#This Row],[QTDE]]*TABELA25[[#This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143.19999999999999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SUM(TABELA25[[#This Row],[T1]:[T7]])</f>
        <v>0</v>
      </c>
      <c r="P193" s="21">
        <f>TABELA25[[#This Row],[QTDE]]*TABELA25[[#This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135.19999999999999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SUM(TABELA25[[#This Row],[T1]:[T7]])</f>
        <v>0</v>
      </c>
      <c r="P194" s="21">
        <f>TABELA25[[#This Row],[QTDE]]*TABELA25[[#This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119.2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SUM(TABELA25[[#This Row],[T1]:[T7]])</f>
        <v>0</v>
      </c>
      <c r="P195" s="21">
        <f>TABELA25[[#This Row],[QTDE]]*TABELA25[[#This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135.19999999999999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SUM(TABELA25[[#This Row],[T1]:[T7]])</f>
        <v>0</v>
      </c>
      <c r="P196" s="21">
        <f>TABELA25[[#This Row],[QTDE]]*TABELA25[[#This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119.2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SUM(TABELA25[[#This Row],[T1]:[T7]])</f>
        <v>0</v>
      </c>
      <c r="P197" s="21">
        <f>TABELA25[[#This Row],[QTDE]]*TABELA25[[#This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179.2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SUM(TABELA25[[#This Row],[T1]:[T7]])</f>
        <v>0</v>
      </c>
      <c r="P198" s="21">
        <f>TABELA25[[#This Row],[QTDE]]*TABELA25[[#This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159.19999999999999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SUM(TABELA25[[#This Row],[T1]:[T7]])</f>
        <v>0</v>
      </c>
      <c r="P199" s="21">
        <f>TABELA25[[#This Row],[QTDE]]*TABELA25[[#This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199.2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SUM(TABELA25[[#This Row],[T1]:[T7]])</f>
        <v>0</v>
      </c>
      <c r="P200" s="21">
        <f>TABELA25[[#This Row],[QTDE]]*TABELA25[[#This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151.19999999999999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SUM(TABELA25[[#This Row],[T1]:[T7]])</f>
        <v>0</v>
      </c>
      <c r="P201" s="21">
        <f>TABELA25[[#This Row],[QTDE]]*TABELA25[[#This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143.19999999999999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SUM(TABELA25[[#This Row],[T1]:[T7]])</f>
        <v>0</v>
      </c>
      <c r="P202" s="21">
        <f>TABELA25[[#This Row],[QTDE]]*TABELA25[[#This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143.19999999999999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SUM(TABELA25[[#This Row],[T1]:[T7]])</f>
        <v>0</v>
      </c>
      <c r="P203" s="21">
        <f>TABELA25[[#This Row],[QTDE]]*TABELA25[[#This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199.2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SUM(TABELA25[[#This Row],[T1]:[T7]])</f>
        <v>0</v>
      </c>
      <c r="P204" s="21">
        <f>TABELA25[[#This Row],[QTDE]]*TABELA25[[#This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135.19999999999999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SUM(TABELA25[[#This Row],[T1]:[T7]])</f>
        <v>0</v>
      </c>
      <c r="P205" s="21">
        <f>TABELA25[[#This Row],[QTDE]]*TABELA25[[#This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135.19999999999999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SUM(TABELA25[[#This Row],[T1]:[T7]])</f>
        <v>0</v>
      </c>
      <c r="P206" s="21">
        <f>TABELA25[[#This Row],[QTDE]]*TABELA25[[#This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135.19999999999999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SUM(TABELA25[[#This Row],[T1]:[T7]])</f>
        <v>0</v>
      </c>
      <c r="P207" s="21">
        <f>TABELA25[[#This Row],[QTDE]]*TABELA25[[#This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171.2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SUM(TABELA25[[#This Row],[T1]:[T7]])</f>
        <v>0</v>
      </c>
      <c r="P208" s="21">
        <f>TABELA25[[#This Row],[QTDE]]*TABELA25[[#This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171.2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SUM(TABELA25[[#This Row],[T1]:[T7]])</f>
        <v>0</v>
      </c>
      <c r="P209" s="21">
        <f>TABELA25[[#This Row],[QTDE]]*TABELA25[[#This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143.19999999999999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SUM(TABELA25[[#This Row],[T1]:[T7]])</f>
        <v>0</v>
      </c>
      <c r="P210" s="21">
        <f>TABELA25[[#This Row],[QTDE]]*TABELA25[[#This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179.2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SUM(TABELA25[[#This Row],[T1]:[T7]])</f>
        <v>0</v>
      </c>
      <c r="P211" s="21">
        <f>TABELA25[[#This Row],[QTDE]]*TABELA25[[#This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199.2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SUM(TABELA25[[#This Row],[T1]:[T7]])</f>
        <v>0</v>
      </c>
      <c r="P212" s="21">
        <f>TABELA25[[#This Row],[QTDE]]*TABELA25[[#This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119.2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SUM(TABELA25[[#This Row],[T1]:[T7]])</f>
        <v>0</v>
      </c>
      <c r="P213" s="21">
        <f>TABELA25[[#This Row],[QTDE]]*TABELA25[[#This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159.19999999999999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SUM(TABELA25[[#This Row],[T1]:[T7]])</f>
        <v>0</v>
      </c>
      <c r="P214" s="21">
        <f>TABELA25[[#This Row],[QTDE]]*TABELA25[[#This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239.2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SUM(TABELA25[[#This Row],[T1]:[T7]])</f>
        <v>0</v>
      </c>
      <c r="P215" s="21">
        <f>TABELA25[[#This Row],[QTDE]]*TABELA25[[#This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119.2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SUM(TABELA25[[#This Row],[T1]:[T7]])</f>
        <v>0</v>
      </c>
      <c r="P216" s="21">
        <f>TABELA25[[#This Row],[QTDE]]*TABELA25[[#This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119.2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SUM(TABELA25[[#This Row],[T1]:[T7]])</f>
        <v>0</v>
      </c>
      <c r="P217" s="21">
        <f>TABELA25[[#This Row],[QTDE]]*TABELA25[[#This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191.2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SUM(TABELA25[[#This Row],[T1]:[T7]])</f>
        <v>0</v>
      </c>
      <c r="P218" s="21">
        <f>TABELA25[[#This Row],[QTDE]]*TABELA25[[#This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179.2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SUM(TABELA25[[#This Row],[T1]:[T7]])</f>
        <v>0</v>
      </c>
      <c r="P219" s="21">
        <f>TABELA25[[#This Row],[QTDE]]*TABELA25[[#This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119.2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SUM(TABELA25[[#This Row],[T1]:[T7]])</f>
        <v>0</v>
      </c>
      <c r="P220" s="21">
        <f>TABELA25[[#This Row],[QTDE]]*TABELA25[[#This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219.2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SUM(TABELA25[[#This Row],[T1]:[T7]])</f>
        <v>0</v>
      </c>
      <c r="P221" s="21">
        <f>TABELA25[[#This Row],[QTDE]]*TABELA25[[#This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239.2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SUM(TABELA25[[#This Row],[T1]:[T7]])</f>
        <v>0</v>
      </c>
      <c r="P222" s="21">
        <f>TABELA25[[#This Row],[QTDE]]*TABELA25[[#This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191.2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SUM(TABELA25[[#This Row],[T1]:[T7]])</f>
        <v>0</v>
      </c>
      <c r="P223" s="21">
        <f>TABELA25[[#This Row],[QTDE]]*TABELA25[[#This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131.19999999999999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SUM(TABELA25[[#This Row],[T1]:[T7]])</f>
        <v>0</v>
      </c>
      <c r="P224" s="21">
        <f>TABELA25[[#This Row],[QTDE]]*TABELA25[[#This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139.19999999999999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SUM(TABELA25[[#This Row],[T1]:[T7]])</f>
        <v>0</v>
      </c>
      <c r="P225" s="21">
        <f>TABELA25[[#This Row],[QTDE]]*TABELA25[[#This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139.19999999999999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SUM(TABELA25[[#This Row],[T1]:[T7]])</f>
        <v>0</v>
      </c>
      <c r="P226" s="21">
        <f>TABELA25[[#This Row],[QTDE]]*TABELA25[[#This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143.19999999999999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SUM(TABELA25[[#This Row],[T1]:[T7]])</f>
        <v>0</v>
      </c>
      <c r="P227" s="21">
        <f>TABELA25[[#This Row],[QTDE]]*TABELA25[[#This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143.19999999999999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SUM(TABELA25[[#This Row],[T1]:[T7]])</f>
        <v>0</v>
      </c>
      <c r="P228" s="21">
        <f>TABELA25[[#This Row],[QTDE]]*TABELA25[[#This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191.2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SUM(TABELA25[[#This Row],[T1]:[T7]])</f>
        <v>0</v>
      </c>
      <c r="P229" s="21">
        <f>TABELA25[[#This Row],[QTDE]]*TABELA25[[#This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199.2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SUM(TABELA25[[#This Row],[T1]:[T7]])</f>
        <v>0</v>
      </c>
      <c r="P230" s="21">
        <f>TABELA25[[#This Row],[QTDE]]*TABELA25[[#This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171.2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SUM(TABELA25[[#This Row],[T1]:[T7]])</f>
        <v>0</v>
      </c>
      <c r="P231" s="21">
        <f>TABELA25[[#This Row],[QTDE]]*TABELA25[[#This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171.2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SUM(TABELA25[[#This Row],[T1]:[T7]])</f>
        <v>0</v>
      </c>
      <c r="P232" s="21">
        <f>TABELA25[[#This Row],[QTDE]]*TABELA25[[#This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183.2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SUM(TABELA25[[#This Row],[T1]:[T7]])</f>
        <v>0</v>
      </c>
      <c r="P233" s="21">
        <f>TABELA25[[#This Row],[QTDE]]*TABELA25[[#This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171.2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SUM(TABELA25[[#This Row],[T1]:[T7]])</f>
        <v>0</v>
      </c>
      <c r="P234" s="21">
        <f>TABELA25[[#This Row],[QTDE]]*TABELA25[[#This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151.19999999999999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SUM(TABELA25[[#This Row],[T1]:[T7]])</f>
        <v>0</v>
      </c>
      <c r="P235" s="21">
        <f>TABELA25[[#This Row],[QTDE]]*TABELA25[[#This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151.19999999999999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SUM(TABELA25[[#This Row],[T1]:[T7]])</f>
        <v>0</v>
      </c>
      <c r="P236" s="21">
        <f>TABELA25[[#This Row],[QTDE]]*TABELA25[[#This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159.19999999999999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SUM(TABELA25[[#This Row],[T1]:[T7]])</f>
        <v>0</v>
      </c>
      <c r="P237" s="21">
        <f>TABELA25[[#This Row],[QTDE]]*TABELA25[[#This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159.19999999999999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SUM(TABELA25[[#This Row],[T1]:[T7]])</f>
        <v>0</v>
      </c>
      <c r="P238" s="21">
        <f>TABELA25[[#This Row],[QTDE]]*TABELA25[[#This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199.2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SUM(TABELA25[[#This Row],[T1]:[T7]])</f>
        <v>0</v>
      </c>
      <c r="P239" s="21">
        <f>TABELA25[[#This Row],[QTDE]]*TABELA25[[#This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143.19999999999999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SUM(TABELA25[[#This Row],[T1]:[T7]])</f>
        <v>0</v>
      </c>
      <c r="P240" s="21">
        <f>TABELA25[[#This Row],[QTDE]]*TABELA25[[#This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159.19999999999999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SUM(TABELA25[[#This Row],[T1]:[T7]])</f>
        <v>0</v>
      </c>
      <c r="P241" s="21">
        <f>TABELA25[[#This Row],[QTDE]]*TABELA25[[#This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159.19999999999999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SUM(TABELA25[[#This Row],[T1]:[T7]])</f>
        <v>0</v>
      </c>
      <c r="P242" s="21">
        <f>TABELA25[[#This Row],[QTDE]]*TABELA25[[#This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291.2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SUM(TABELA25[[#This Row],[T1]:[T7]])</f>
        <v>0</v>
      </c>
      <c r="P243" s="21">
        <f>TABELA25[[#This Row],[QTDE]]*TABELA25[[#This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291.2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SUM(TABELA25[[#This Row],[T1]:[T7]])</f>
        <v>0</v>
      </c>
      <c r="P244" s="21">
        <f>TABELA25[[#This Row],[QTDE]]*TABELA25[[#This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251.2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SUM(TABELA25[[#This Row],[T1]:[T7]])</f>
        <v>0</v>
      </c>
      <c r="P245" s="21">
        <f>TABELA25[[#This Row],[QTDE]]*TABELA25[[#This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251.2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SUM(TABELA25[[#This Row],[T1]:[T7]])</f>
        <v>0</v>
      </c>
      <c r="P246" s="21">
        <f>TABELA25[[#This Row],[QTDE]]*TABELA25[[#This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299.2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SUM(TABELA25[[#This Row],[T1]:[T7]])</f>
        <v>0</v>
      </c>
      <c r="P247" s="21">
        <f>TABELA25[[#This Row],[QTDE]]*TABELA25[[#This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279.2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SUM(TABELA25[[#This Row],[T1]:[T7]])</f>
        <v>0</v>
      </c>
      <c r="P248" s="21">
        <f>TABELA25[[#This Row],[QTDE]]*TABELA25[[#This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199.2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SUM(TABELA25[[#This Row],[T1]:[T7]])</f>
        <v>0</v>
      </c>
      <c r="P249" s="21">
        <f>TABELA25[[#This Row],[QTDE]]*TABELA25[[#This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183.2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SUM(TABELA25[[#This Row],[T1]:[T7]])</f>
        <v>0</v>
      </c>
      <c r="P250" s="21">
        <f>TABELA25[[#This Row],[QTDE]]*TABELA25[[#This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219.2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SUM(TABELA25[[#This Row],[T1]:[T7]])</f>
        <v>0</v>
      </c>
      <c r="P251" s="21">
        <f>TABELA25[[#This Row],[QTDE]]*TABELA25[[#This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179.2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SUM(TABELA25[[#This Row],[T1]:[T7]])</f>
        <v>0</v>
      </c>
      <c r="P252" s="21">
        <f>TABELA25[[#This Row],[QTDE]]*TABELA25[[#This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179.2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SUM(TABELA25[[#This Row],[T1]:[T7]])</f>
        <v>0</v>
      </c>
      <c r="P253" s="21">
        <f>TABELA25[[#This Row],[QTDE]]*TABELA25[[#This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151.19999999999999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SUM(TABELA25[[#This Row],[T1]:[T7]])</f>
        <v>0</v>
      </c>
      <c r="P254" s="21">
        <f>TABELA25[[#This Row],[QTDE]]*TABELA25[[#This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183.2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SUM(TABELA25[[#This Row],[T1]:[T7]])</f>
        <v>0</v>
      </c>
      <c r="P255" s="21">
        <f>TABELA25[[#This Row],[QTDE]]*TABELA25[[#This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239.2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SUM(TABELA25[[#This Row],[T1]:[T7]])</f>
        <v>0</v>
      </c>
      <c r="P256" s="21">
        <f>TABELA25[[#This Row],[QTDE]]*TABELA25[[#This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239.2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SUM(TABELA25[[#This Row],[T1]:[T7]])</f>
        <v>0</v>
      </c>
      <c r="P257" s="21">
        <f>TABELA25[[#This Row],[QTDE]]*TABELA25[[#This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191.2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SUM(TABELA25[[#This Row],[T1]:[T7]])</f>
        <v>0</v>
      </c>
      <c r="P258" s="21">
        <f>TABELA25[[#This Row],[QTDE]]*TABELA25[[#This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279.2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SUM(TABELA25[[#This Row],[T1]:[T7]])</f>
        <v>0</v>
      </c>
      <c r="P259" s="21">
        <f>TABELA25[[#This Row],[QTDE]]*TABELA25[[#This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143.19999999999999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SUM(TABELA25[[#This Row],[T1]:[T7]])</f>
        <v>0</v>
      </c>
      <c r="P260" s="21">
        <f>TABELA25[[#This Row],[QTDE]]*TABELA25[[#This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159.19999999999999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SUM(TABELA25[[#This Row],[T1]:[T7]])</f>
        <v>0</v>
      </c>
      <c r="P261" s="21">
        <f>TABELA25[[#This Row],[QTDE]]*TABELA25[[#This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199.2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SUM(TABELA25[[#This Row],[T1]:[T7]])</f>
        <v>0</v>
      </c>
      <c r="P262" s="21">
        <f>TABELA25[[#This Row],[QTDE]]*TABELA25[[#This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171.2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SUM(TABELA25[[#This Row],[T1]:[T7]])</f>
        <v>0</v>
      </c>
      <c r="P263" s="21">
        <f>TABELA25[[#This Row],[QTDE]]*TABELA25[[#This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159.19999999999999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SUM(TABELA25[[#This Row],[T1]:[T7]])</f>
        <v>0</v>
      </c>
      <c r="P264" s="21">
        <f>TABELA25[[#This Row],[QTDE]]*TABELA25[[#This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239.2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SUM(TABELA25[[#This Row],[T1]:[T7]])</f>
        <v>0</v>
      </c>
      <c r="P265" s="21">
        <f>TABELA25[[#This Row],[QTDE]]*TABELA25[[#This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179.2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SUM(TABELA25[[#This Row],[T1]:[T7]])</f>
        <v>0</v>
      </c>
      <c r="P266" s="21">
        <f>TABELA25[[#This Row],[QTDE]]*TABELA25[[#This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179.2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SUM(TABELA25[[#This Row],[T1]:[T7]])</f>
        <v>0</v>
      </c>
      <c r="P267" s="21">
        <f>TABELA25[[#This Row],[QTDE]]*TABELA25[[#This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279.2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SUM(TABELA25[[#This Row],[T1]:[T7]])</f>
        <v>0</v>
      </c>
      <c r="P268" s="21">
        <f>TABELA25[[#This Row],[QTDE]]*TABELA25[[#This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279.2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SUM(TABELA25[[#This Row],[T1]:[T7]])</f>
        <v>0</v>
      </c>
      <c r="P269" s="21">
        <f>TABELA25[[#This Row],[QTDE]]*TABELA25[[#This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175.2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SUM(TABELA25[[#This Row],[T1]:[T7]])</f>
        <v>0</v>
      </c>
      <c r="P270" s="21">
        <f>TABELA25[[#This Row],[QTDE]]*TABELA25[[#This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239.2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SUM(TABELA25[[#This Row],[T1]:[T7]])</f>
        <v>0</v>
      </c>
      <c r="P271" s="21">
        <f>TABELA25[[#This Row],[QTDE]]*TABELA25[[#This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279.2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SUM(TABELA25[[#This Row],[T1]:[T7]])</f>
        <v>0</v>
      </c>
      <c r="P272" s="21">
        <f>TABELA25[[#This Row],[QTDE]]*TABELA25[[#This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211.2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SUM(TABELA25[[#This Row],[T1]:[T7]])</f>
        <v>0</v>
      </c>
      <c r="P273" s="21">
        <f>TABELA25[[#This Row],[QTDE]]*TABELA25[[#This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211.2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SUM(TABELA25[[#This Row],[T1]:[T7]])</f>
        <v>0</v>
      </c>
      <c r="P274" s="21">
        <f>TABELA25[[#This Row],[QTDE]]*TABELA25[[#This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199.2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SUM(TABELA25[[#This Row],[T1]:[T7]])</f>
        <v>0</v>
      </c>
      <c r="P275" s="21">
        <f>TABELA25[[#This Row],[QTDE]]*TABELA25[[#This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239.2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SUM(TABELA25[[#This Row],[T1]:[T7]])</f>
        <v>0</v>
      </c>
      <c r="P276" s="21">
        <f>TABELA25[[#This Row],[QTDE]]*TABELA25[[#This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219.2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SUM(TABELA25[[#This Row],[T1]:[T7]])</f>
        <v>0</v>
      </c>
      <c r="P277" s="21">
        <f>TABELA25[[#This Row],[QTDE]]*TABELA25[[#This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171.2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SUM(TABELA25[[#This Row],[T1]:[T7]])</f>
        <v>0</v>
      </c>
      <c r="P278" s="21">
        <f>TABELA25[[#This Row],[QTDE]]*TABELA25[[#This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199.2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SUM(TABELA25[[#This Row],[T1]:[T7]])</f>
        <v>0</v>
      </c>
      <c r="P279" s="21">
        <f>TABELA25[[#This Row],[QTDE]]*TABELA25[[#This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199.2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SUM(TABELA25[[#This Row],[T1]:[T7]])</f>
        <v>0</v>
      </c>
      <c r="P280" s="21">
        <f>TABELA25[[#This Row],[QTDE]]*TABELA25[[#This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211.2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SUM(TABELA25[[#This Row],[T1]:[T7]])</f>
        <v>0</v>
      </c>
      <c r="P281" s="21">
        <f>TABELA25[[#This Row],[QTDE]]*TABELA25[[#This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219.2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SUM(TABELA25[[#This Row],[T1]:[T7]])</f>
        <v>0</v>
      </c>
      <c r="P282" s="21">
        <f>TABELA25[[#This Row],[QTDE]]*TABELA25[[#This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299.2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SUM(TABELA25[[#This Row],[T1]:[T7]])</f>
        <v>0</v>
      </c>
      <c r="P283" s="21">
        <f>TABELA25[[#This Row],[QTDE]]*TABELA25[[#This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159.19999999999999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SUM(TABELA25[[#This Row],[T1]:[T7]])</f>
        <v>0</v>
      </c>
      <c r="P284" s="21">
        <f>TABELA25[[#This Row],[QTDE]]*TABELA25[[#This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179.2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SUM(TABELA25[[#This Row],[T1]:[T7]])</f>
        <v>0</v>
      </c>
      <c r="P285" s="21">
        <f>TABELA25[[#This Row],[QTDE]]*TABELA25[[#This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151.19999999999999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SUM(TABELA25[[#This Row],[T1]:[T7]])</f>
        <v>0</v>
      </c>
      <c r="P286" s="21">
        <f>TABELA25[[#This Row],[QTDE]]*TABELA25[[#This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143.19999999999999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SUM(TABELA25[[#This Row],[T1]:[T7]])</f>
        <v>0</v>
      </c>
      <c r="P287" s="21">
        <f>TABELA25[[#This Row],[QTDE]]*TABELA25[[#This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119.2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SUM(TABELA25[[#This Row],[T1]:[T7]])</f>
        <v>0</v>
      </c>
      <c r="P288" s="21">
        <f>TABELA25[[#This Row],[QTDE]]*TABELA25[[#This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135.19999999999999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SUM(TABELA25[[#This Row],[T1]:[T7]])</f>
        <v>0</v>
      </c>
      <c r="P289" s="21">
        <f>TABELA25[[#This Row],[QTDE]]*TABELA25[[#This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135.19999999999999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SUM(TABELA25[[#This Row],[T1]:[T7]])</f>
        <v>0</v>
      </c>
      <c r="P290" s="21">
        <f>TABELA25[[#This Row],[QTDE]]*TABELA25[[#This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151.19999999999999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SUM(TABELA25[[#This Row],[T1]:[T7]])</f>
        <v>0</v>
      </c>
      <c r="P291" s="21">
        <f>TABELA25[[#This Row],[QTDE]]*TABELA25[[#This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151.19999999999999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SUM(TABELA25[[#This Row],[T1]:[T7]])</f>
        <v>0</v>
      </c>
      <c r="P292" s="21">
        <f>TABELA25[[#This Row],[QTDE]]*TABELA25[[#This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151.19999999999999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SUM(TABELA25[[#This Row],[T1]:[T7]])</f>
        <v>0</v>
      </c>
      <c r="P293" s="21">
        <f>TABELA25[[#This Row],[QTDE]]*TABELA25[[#This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159.19999999999999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SUM(TABELA25[[#This Row],[T1]:[T7]])</f>
        <v>0</v>
      </c>
      <c r="P294" s="21">
        <f>TABELA25[[#This Row],[QTDE]]*TABELA25[[#This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135.19999999999999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SUM(TABELA25[[#This Row],[T1]:[T7]])</f>
        <v>0</v>
      </c>
      <c r="P295" s="21">
        <f>TABELA25[[#This Row],[QTDE]]*TABELA25[[#This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135.19999999999999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SUM(TABELA25[[#This Row],[T1]:[T7]])</f>
        <v>0</v>
      </c>
      <c r="P296" s="21">
        <f>TABELA25[[#This Row],[QTDE]]*TABELA25[[#This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119.2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SUM(TABELA25[[#This Row],[T1]:[T7]])</f>
        <v>0</v>
      </c>
      <c r="P297" s="21">
        <f>TABELA25[[#This Row],[QTDE]]*TABELA25[[#This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119.2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SUM(TABELA25[[#This Row],[T1]:[T7]])</f>
        <v>0</v>
      </c>
      <c r="P298" s="21">
        <f>TABELA25[[#This Row],[QTDE]]*TABELA25[[#This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199.2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SUM(TABELA25[[#This Row],[T1]:[T7]])</f>
        <v>0</v>
      </c>
      <c r="P299" s="21">
        <f>TABELA25[[#This Row],[QTDE]]*TABELA25[[#This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171.2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SUM(TABELA25[[#This Row],[T1]:[T7]])</f>
        <v>0</v>
      </c>
      <c r="P300" s="21">
        <f>TABELA25[[#This Row],[QTDE]]*TABELA25[[#This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211.2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SUM(TABELA25[[#This Row],[T1]:[T7]])</f>
        <v>0</v>
      </c>
      <c r="P301" s="21">
        <f>TABELA25[[#This Row],[QTDE]]*TABELA25[[#This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259.2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SUM(TABELA25[[#This Row],[T1]:[T7]])</f>
        <v>0</v>
      </c>
      <c r="P302" s="21">
        <f>TABELA25[[#This Row],[QTDE]]*TABELA25[[#This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179.2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SUM(TABELA25[[#This Row],[T1]:[T7]])</f>
        <v>0</v>
      </c>
      <c r="P303" s="21">
        <f>TABELA25[[#This Row],[QTDE]]*TABELA25[[#This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299.2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SUM(TABELA25[[#This Row],[T1]:[T7]])</f>
        <v>0</v>
      </c>
      <c r="P304" s="21">
        <f>TABELA25[[#This Row],[QTDE]]*TABELA25[[#This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171.2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SUM(TABELA25[[#This Row],[T1]:[T7]])</f>
        <v>0</v>
      </c>
      <c r="P305" s="21">
        <f>TABELA25[[#This Row],[QTDE]]*TABELA25[[#This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143.19999999999999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SUM(TABELA25[[#This Row],[T1]:[T7]])</f>
        <v>0</v>
      </c>
      <c r="P306" s="21">
        <f>TABELA25[[#This Row],[QTDE]]*TABELA25[[#This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279.2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SUM(TABELA25[[#This Row],[T1]:[T7]])</f>
        <v>0</v>
      </c>
      <c r="P307" s="21">
        <f>TABELA25[[#This Row],[QTDE]]*TABELA25[[#This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279.2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SUM(TABELA25[[#This Row],[T1]:[T7]])</f>
        <v>0</v>
      </c>
      <c r="P308" s="21">
        <f>TABELA25[[#This Row],[QTDE]]*TABELA25[[#This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279.2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SUM(TABELA25[[#This Row],[T1]:[T7]])</f>
        <v>0</v>
      </c>
      <c r="P309" s="21">
        <f>TABELA25[[#This Row],[QTDE]]*TABELA25[[#This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319.2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SUM(TABELA25[[#This Row],[T1]:[T7]])</f>
        <v>0</v>
      </c>
      <c r="P310" s="21">
        <f>TABELA25[[#This Row],[QTDE]]*TABELA25[[#This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239.2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SUM(TABELA25[[#This Row],[T1]:[T7]])</f>
        <v>0</v>
      </c>
      <c r="P311" s="21">
        <f>TABELA25[[#This Row],[QTDE]]*TABELA25[[#This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179.2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SUM(TABELA25[[#This Row],[T1]:[T7]])</f>
        <v>0</v>
      </c>
      <c r="P312" s="21">
        <f>TABELA25[[#This Row],[QTDE]]*TABELA25[[#This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199.2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SUM(TABELA25[[#This Row],[T1]:[T7]])</f>
        <v>0</v>
      </c>
      <c r="P313" s="21">
        <f>TABELA25[[#This Row],[QTDE]]*TABELA25[[#This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199.2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SUM(TABELA25[[#This Row],[T1]:[T7]])</f>
        <v>0</v>
      </c>
      <c r="P314" s="21">
        <f>TABELA25[[#This Row],[QTDE]]*TABELA25[[#This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199.2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SUM(TABELA25[[#This Row],[T1]:[T7]])</f>
        <v>0</v>
      </c>
      <c r="P315" s="21">
        <f>TABELA25[[#This Row],[QTDE]]*TABELA25[[#This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135.19999999999999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SUM(TABELA25[[#This Row],[T1]:[T7]])</f>
        <v>0</v>
      </c>
      <c r="P316" s="21">
        <f>TABELA25[[#This Row],[QTDE]]*TABELA25[[#This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191.2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SUM(TABELA25[[#This Row],[T1]:[T7]])</f>
        <v>0</v>
      </c>
      <c r="P317" s="21">
        <f>TABELA25[[#This Row],[QTDE]]*TABELA25[[#This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171.2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SUM(TABELA25[[#This Row],[T1]:[T7]])</f>
        <v>0</v>
      </c>
      <c r="P318" s="21">
        <f>TABELA25[[#This Row],[QTDE]]*TABELA25[[#This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119.2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SUM(TABELA25[[#This Row],[T1]:[T7]])</f>
        <v>0</v>
      </c>
      <c r="P319" s="21">
        <f>TABELA25[[#This Row],[QTDE]]*TABELA25[[#This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219.2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SUM(TABELA25[[#This Row],[T1]:[T7]])</f>
        <v>0</v>
      </c>
      <c r="P320" s="21">
        <f>TABELA25[[#This Row],[QTDE]]*TABELA25[[#This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179.2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SUM(TABELA25[[#This Row],[T1]:[T7]])</f>
        <v>0</v>
      </c>
      <c r="P321" s="21">
        <f>TABELA25[[#This Row],[QTDE]]*TABELA25[[#This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171.2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SUM(TABELA25[[#This Row],[T1]:[T7]])</f>
        <v>0</v>
      </c>
      <c r="P322" s="21">
        <f>TABELA25[[#This Row],[QTDE]]*TABELA25[[#This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319.2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SUM(TABELA25[[#This Row],[T1]:[T7]])</f>
        <v>0</v>
      </c>
      <c r="P323" s="21">
        <f>TABELA25[[#This Row],[QTDE]]*TABELA25[[#This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259.2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SUM(TABELA25[[#This Row],[T1]:[T7]])</f>
        <v>0</v>
      </c>
      <c r="P324" s="21">
        <f>TABELA25[[#This Row],[QTDE]]*TABELA25[[#This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279.2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SUM(TABELA25[[#This Row],[T1]:[T7]])</f>
        <v>0</v>
      </c>
      <c r="P325" s="21">
        <f>TABELA25[[#This Row],[QTDE]]*TABELA25[[#This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179.2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SUM(TABELA25[[#This Row],[T1]:[T7]])</f>
        <v>0</v>
      </c>
      <c r="P326" s="21">
        <f>TABELA25[[#This Row],[QTDE]]*TABELA25[[#This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239.2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SUM(TABELA25[[#This Row],[T1]:[T7]])</f>
        <v>0</v>
      </c>
      <c r="P327" s="21">
        <f>TABELA25[[#This Row],[QTDE]]*TABELA25[[#This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239.2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SUM(TABELA25[[#This Row],[T1]:[T7]])</f>
        <v>0</v>
      </c>
      <c r="P328" s="21">
        <f>TABELA25[[#This Row],[QTDE]]*TABELA25[[#This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179.2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SUM(TABELA25[[#This Row],[T1]:[T7]])</f>
        <v>0</v>
      </c>
      <c r="P329" s="21">
        <f>TABELA25[[#This Row],[QTDE]]*TABELA25[[#This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171.2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SUM(TABELA25[[#This Row],[T1]:[T7]])</f>
        <v>0</v>
      </c>
      <c r="P330" s="21">
        <f>TABELA25[[#This Row],[QTDE]]*TABELA25[[#This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151.19999999999999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SUM(TABELA25[[#This Row],[T1]:[T7]])</f>
        <v>0</v>
      </c>
      <c r="P331" s="21">
        <f>TABELA25[[#This Row],[QTDE]]*TABELA25[[#This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239.2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SUM(TABELA25[[#This Row],[T1]:[T7]])</f>
        <v>0</v>
      </c>
      <c r="P332" s="21">
        <f>TABELA25[[#This Row],[QTDE]]*TABELA25[[#This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179.2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SUM(TABELA25[[#This Row],[T1]:[T7]])</f>
        <v>0</v>
      </c>
      <c r="P333" s="21">
        <f>TABELA25[[#This Row],[QTDE]]*TABELA25[[#This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179.2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SUM(TABELA25[[#This Row],[T1]:[T7]])</f>
        <v>0</v>
      </c>
      <c r="P334" s="21">
        <f>TABELA25[[#This Row],[QTDE]]*TABELA25[[#This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151.19999999999999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SUM(TABELA25[[#This Row],[T1]:[T7]])</f>
        <v>0</v>
      </c>
      <c r="P335" s="21">
        <f>TABELA25[[#This Row],[QTDE]]*TABELA25[[#This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199.2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SUM(TABELA25[[#This Row],[T1]:[T7]])</f>
        <v>0</v>
      </c>
      <c r="P336" s="21">
        <f>TABELA25[[#This Row],[QTDE]]*TABELA25[[#This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199.2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SUM(TABELA25[[#This Row],[T1]:[T7]])</f>
        <v>0</v>
      </c>
      <c r="P337" s="21">
        <f>TABELA25[[#This Row],[QTDE]]*TABELA25[[#This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219.2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SUM(TABELA25[[#This Row],[T1]:[T7]])</f>
        <v>0</v>
      </c>
      <c r="P338" s="21">
        <f>TABELA25[[#This Row],[QTDE]]*TABELA25[[#This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299.2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SUM(TABELA25[[#This Row],[T1]:[T7]])</f>
        <v>0</v>
      </c>
      <c r="P339" s="21">
        <f>TABELA25[[#This Row],[QTDE]]*TABELA25[[#This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319.2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SUM(TABELA25[[#This Row],[T1]:[T7]])</f>
        <v>0</v>
      </c>
      <c r="P340" s="45">
        <f>TABELA25[[#This Row],[QTDE]]*TABELA25[[#This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199.2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SUM(TABELA25[[#This Row],[T1]:[T7]])</f>
        <v>0</v>
      </c>
      <c r="P341" s="46">
        <f>TABELA25[[#This Row],[QTDE]]*TABELA25[[#This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171.2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SUM(TABELA25[[#This Row],[T1]:[T7]])</f>
        <v>0</v>
      </c>
      <c r="P342" s="46">
        <f>TABELA25[[#This Row],[QTDE]]*TABELA25[[#This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111.2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SUM(TABELA25[[#This Row],[T1]:[T7]])</f>
        <v>0</v>
      </c>
      <c r="P343" s="46">
        <f>TABELA25[[#This Row],[QTDE]]*TABELA25[[#This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119.2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SUM(TABELA25[[#This Row],[T1]:[T7]])</f>
        <v>0</v>
      </c>
      <c r="P344" s="46">
        <f>TABELA25[[#This Row],[QTDE]]*TABELA25[[#This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199.2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SUM(TABELA25[[#This Row],[T1]:[T7]])</f>
        <v>0</v>
      </c>
      <c r="P345" s="46">
        <f>TABELA25[[#This Row],[QTDE]]*TABELA25[[#This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239.2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SUM(TABELA25[[#This Row],[T1]:[T7]])</f>
        <v>0</v>
      </c>
      <c r="P346" s="46">
        <f>TABELA25[[#This Row],[QTDE]]*TABELA25[[#This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199.2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SUM(TABELA25[[#This Row],[T1]:[T7]])</f>
        <v>0</v>
      </c>
      <c r="P347" s="46">
        <f>TABELA25[[#This Row],[QTDE]]*TABELA25[[#This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199.2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SUM(TABELA25[[#This Row],[T1]:[T7]])</f>
        <v>0</v>
      </c>
      <c r="P348" s="46">
        <f>TABELA25[[#This Row],[QTDE]]*TABELA25[[#This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199.2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SUM(TABELA25[[#This Row],[T1]:[T7]])</f>
        <v>0</v>
      </c>
      <c r="P349" s="46">
        <f>TABELA25[[#This Row],[QTDE]]*TABELA25[[#This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143.19999999999999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SUM(TABELA25[[#This Row],[T1]:[T7]])</f>
        <v>0</v>
      </c>
      <c r="P350" s="46">
        <f>TABELA25[[#This Row],[QTDE]]*TABELA25[[#This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143.19999999999999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SUM(TABELA25[[#This Row],[T1]:[T7]])</f>
        <v>0</v>
      </c>
      <c r="P351" s="46">
        <f>TABELA25[[#This Row],[QTDE]]*TABELA25[[#This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143.19999999999999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SUM(TABELA25[[#This Row],[T1]:[T7]])</f>
        <v>0</v>
      </c>
      <c r="P352" s="46">
        <f>TABELA25[[#This Row],[QTDE]]*TABELA25[[#This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143.19999999999999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SUM(TABELA25[[#This Row],[T1]:[T7]])</f>
        <v>0</v>
      </c>
      <c r="P353" s="46">
        <f>TABELA25[[#This Row],[QTDE]]*TABELA25[[#This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279.2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SUM(TABELA25[[#This Row],[T1]:[T7]])</f>
        <v>0</v>
      </c>
      <c r="P354" s="46">
        <f>TABELA25[[#This Row],[QTDE]]*TABELA25[[#This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279.2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SUM(TABELA25[[#This Row],[T1]:[T7]])</f>
        <v>0</v>
      </c>
      <c r="P355" s="46">
        <f>TABELA25[[#This Row],[QTDE]]*TABELA25[[#This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239.2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SUM(TABELA25[[#This Row],[T1]:[T7]])</f>
        <v>0</v>
      </c>
      <c r="P356" s="46">
        <f>TABELA25[[#This Row],[QTDE]]*TABELA25[[#This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239.2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SUM(TABELA25[[#This Row],[T1]:[T7]])</f>
        <v>0</v>
      </c>
      <c r="P357" s="46">
        <f>TABELA25[[#This Row],[QTDE]]*TABELA25[[#This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219.2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SUM(TABELA25[[#This Row],[T1]:[T7]])</f>
        <v>0</v>
      </c>
      <c r="P358" s="46">
        <f>TABELA25[[#This Row],[QTDE]]*TABELA25[[#This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211.2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SUM(TABELA25[[#This Row],[T1]:[T7]])</f>
        <v>0</v>
      </c>
      <c r="P359" s="46">
        <f>TABELA25[[#This Row],[QTDE]]*TABELA25[[#This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219.2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SUM(TABELA25[[#This Row],[T1]:[T7]])</f>
        <v>0</v>
      </c>
      <c r="P360" s="46">
        <f>TABELA25[[#This Row],[QTDE]]*TABELA25[[#This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107.2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SUM(TABELA25[[#This Row],[T1]:[T7]])</f>
        <v>0</v>
      </c>
      <c r="P361" s="46">
        <f>TABELA25[[#This Row],[QTDE]]*TABELA25[[#This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107.2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SUM(TABELA25[[#This Row],[T1]:[T7]])</f>
        <v>0</v>
      </c>
      <c r="P362" s="46">
        <f>TABELA25[[#This Row],[QTDE]]*TABELA25[[#This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107.2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SUM(TABELA25[[#This Row],[T1]:[T7]])</f>
        <v>0</v>
      </c>
      <c r="P363" s="46">
        <f>TABELA25[[#This Row],[QTDE]]*TABELA25[[#This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119.2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SUM(TABELA25[[#This Row],[T1]:[T7]])</f>
        <v>0</v>
      </c>
      <c r="P364" s="46">
        <f>TABELA25[[#This Row],[QTDE]]*TABELA25[[#This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139.19999999999999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SUM(TABELA25[[#This Row],[T1]:[T7]])</f>
        <v>0</v>
      </c>
      <c r="P365" s="46">
        <f>TABELA25[[#This Row],[QTDE]]*TABELA25[[#This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91.2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SUM(TABELA25[[#This Row],[T1]:[T7]])</f>
        <v>0</v>
      </c>
      <c r="P366" s="46">
        <f>TABELA25[[#This Row],[QTDE]]*TABELA25[[#This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91.2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SUM(TABELA25[[#This Row],[T1]:[T7]])</f>
        <v>0</v>
      </c>
      <c r="P367" s="46">
        <f>TABELA25[[#This Row],[QTDE]]*TABELA25[[#This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95.2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SUM(TABELA25[[#This Row],[T1]:[T7]])</f>
        <v>0</v>
      </c>
      <c r="P368" s="46">
        <f>TABELA25[[#This Row],[QTDE]]*TABELA25[[#This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99.2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SUM(TABELA25[[#This Row],[T1]:[T7]])</f>
        <v>0</v>
      </c>
      <c r="P369" s="46">
        <f>TABELA25[[#This Row],[QTDE]]*TABELA25[[#This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95.2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SUM(TABELA25[[#This Row],[T1]:[T7]])</f>
        <v>0</v>
      </c>
      <c r="P370" s="46">
        <f>TABELA25[[#This Row],[QTDE]]*TABELA25[[#This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79.2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SUM(TABELA25[[#This Row],[T1]:[T7]])</f>
        <v>0</v>
      </c>
      <c r="P371" s="46">
        <f>TABELA25[[#This Row],[QTDE]]*TABELA25[[#This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91.2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SUM(TABELA25[[#This Row],[T1]:[T7]])</f>
        <v>0</v>
      </c>
      <c r="P372" s="46">
        <f>TABELA25[[#This Row],[QTDE]]*TABELA25[[#This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99.2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SUM(TABELA25[[#This Row],[T1]:[T7]])</f>
        <v>0</v>
      </c>
      <c r="P373" s="46">
        <f>TABELA25[[#This Row],[QTDE]]*TABELA25[[#This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67.2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SUM(TABELA25[[#This Row],[T1]:[T7]])</f>
        <v>0</v>
      </c>
      <c r="P374" s="46">
        <f>TABELA25[[#This Row],[QTDE]]*TABELA25[[#This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67.2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SUM(TABELA25[[#This Row],[T1]:[T7]])</f>
        <v>0</v>
      </c>
      <c r="P375" s="46">
        <f>TABELA25[[#This Row],[QTDE]]*TABELA25[[#This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71.2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SUM(TABELA25[[#This Row],[T1]:[T7]])</f>
        <v>0</v>
      </c>
      <c r="P376" s="46">
        <f>TABELA25[[#This Row],[QTDE]]*TABELA25[[#This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71.2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SUM(TABELA25[[#This Row],[T1]:[T7]])</f>
        <v>0</v>
      </c>
      <c r="P377" s="46">
        <f>TABELA25[[#This Row],[QTDE]]*TABELA25[[#This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71.2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SUM(TABELA25[[#This Row],[T1]:[T7]])</f>
        <v>0</v>
      </c>
      <c r="P378" s="46">
        <f>TABELA25[[#This Row],[QTDE]]*TABELA25[[#This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71.2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SUM(TABELA25[[#This Row],[T1]:[T7]])</f>
        <v>0</v>
      </c>
      <c r="P379" s="46">
        <f>TABELA25[[#This Row],[QTDE]]*TABELA25[[#This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159.19999999999999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SUM(TABELA25[[#This Row],[T1]:[T7]])</f>
        <v>0</v>
      </c>
      <c r="P380" s="46">
        <f>TABELA25[[#This Row],[QTDE]]*TABELA25[[#This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151.19999999999999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SUM(TABELA25[[#This Row],[T1]:[T7]])</f>
        <v>0</v>
      </c>
      <c r="P381" s="46">
        <f>TABELA25[[#This Row],[QTDE]]*TABELA25[[#This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151.19999999999999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SUM(TABELA25[[#This Row],[T1]:[T7]])</f>
        <v>0</v>
      </c>
      <c r="P382" s="46">
        <f>TABELA25[[#This Row],[QTDE]]*TABELA25[[#This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187.2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SUM(TABELA25[[#This Row],[T1]:[T7]])</f>
        <v>0</v>
      </c>
      <c r="P383" s="46">
        <f>TABELA25[[#This Row],[QTDE]]*TABELA25[[#This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151.19999999999999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SUM(TABELA25[[#This Row],[T1]:[T7]])</f>
        <v>0</v>
      </c>
      <c r="P384" s="46">
        <f>TABELA25[[#This Row],[QTDE]]*TABELA25[[#This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151.19999999999999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SUM(TABELA25[[#This Row],[T1]:[T7]])</f>
        <v>0</v>
      </c>
      <c r="P385" s="46">
        <f>TABELA25[[#This Row],[QTDE]]*TABELA25[[#This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119.2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SUM(TABELA25[[#This Row],[T1]:[T7]])</f>
        <v>0</v>
      </c>
      <c r="P386" s="46">
        <f>TABELA25[[#This Row],[QTDE]]*TABELA25[[#This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219.2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SUM(TABELA25[[#This Row],[T1]:[T7]])</f>
        <v>0</v>
      </c>
      <c r="P387" s="46">
        <f>TABELA25[[#This Row],[QTDE]]*TABELA25[[#This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147.19999999999999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SUM(TABELA25[[#This Row],[T1]:[T7]])</f>
        <v>0</v>
      </c>
      <c r="P388" s="46">
        <f>TABELA25[[#This Row],[QTDE]]*TABELA25[[#This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147.19999999999999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SUM(TABELA25[[#This Row],[T1]:[T7]])</f>
        <v>0</v>
      </c>
      <c r="P389" s="46">
        <f>TABELA25[[#This Row],[QTDE]]*TABELA25[[#This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159.19999999999999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SUM(TABELA25[[#This Row],[T1]:[T7]])</f>
        <v>0</v>
      </c>
      <c r="P390" s="46">
        <f>TABELA25[[#This Row],[QTDE]]*TABELA25[[#This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131.19999999999999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SUM(TABELA25[[#This Row],[T1]:[T7]])</f>
        <v>0</v>
      </c>
      <c r="P391" s="46">
        <f>TABELA25[[#This Row],[QTDE]]*TABELA25[[#This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119.2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SUM(TABELA25[[#This Row],[T1]:[T7]])</f>
        <v>0</v>
      </c>
      <c r="P392" s="46">
        <f>TABELA25[[#This Row],[QTDE]]*TABELA25[[#This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107.2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SUM(TABELA25[[#This Row],[T1]:[T7]])</f>
        <v>0</v>
      </c>
      <c r="P393" s="46">
        <f>TABELA25[[#This Row],[QTDE]]*TABELA25[[#This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147.19999999999999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SUM(TABELA25[[#This Row],[T1]:[T7]])</f>
        <v>0</v>
      </c>
      <c r="P394" s="46">
        <f>TABELA25[[#This Row],[QTDE]]*TABELA25[[#This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199.2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SUM(TABELA25[[#This Row],[T1]:[T7]])</f>
        <v>0</v>
      </c>
      <c r="P395" s="46">
        <f>TABELA25[[#This Row],[QTDE]]*TABELA25[[#This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131.19999999999999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SUM(TABELA25[[#This Row],[T1]:[T7]])</f>
        <v>0</v>
      </c>
      <c r="P396" s="46">
        <f>TABELA25[[#This Row],[QTDE]]*TABELA25[[#This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147.19999999999999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SUM(TABELA25[[#This Row],[T1]:[T7]])</f>
        <v>0</v>
      </c>
      <c r="P397" s="46">
        <f>TABELA25[[#This Row],[QTDE]]*TABELA25[[#This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147.19999999999999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SUM(TABELA25[[#This Row],[T1]:[T7]])</f>
        <v>0</v>
      </c>
      <c r="P398" s="46">
        <f>TABELA25[[#This Row],[QTDE]]*TABELA25[[#This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71.2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SUM(TABELA25[[#This Row],[T1]:[T7]])</f>
        <v>0</v>
      </c>
      <c r="P399" s="46">
        <f>TABELA25[[#This Row],[QTDE]]*TABELA25[[#This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71.2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SUM(TABELA25[[#This Row],[T1]:[T7]])</f>
        <v>0</v>
      </c>
      <c r="P400" s="46">
        <f>TABELA25[[#This Row],[QTDE]]*TABELA25[[#This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67.2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SUM(TABELA25[[#This Row],[T1]:[T7]])</f>
        <v>0</v>
      </c>
      <c r="P401" s="46">
        <f>TABELA25[[#This Row],[QTDE]]*TABELA25[[#This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67.2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SUM(TABELA25[[#This Row],[T1]:[T7]])</f>
        <v>0</v>
      </c>
      <c r="P402" s="46">
        <f>TABELA25[[#This Row],[QTDE]]*TABELA25[[#This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67.2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SUM(TABELA25[[#This Row],[T1]:[T7]])</f>
        <v>0</v>
      </c>
      <c r="P403" s="46">
        <f>TABELA25[[#This Row],[QTDE]]*TABELA25[[#This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67.2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SUM(TABELA25[[#This Row],[T1]:[T7]])</f>
        <v>0</v>
      </c>
      <c r="P404" s="46">
        <f>TABELA25[[#This Row],[QTDE]]*TABELA25[[#This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67.2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SUM(TABELA25[[#This Row],[T1]:[T7]])</f>
        <v>0</v>
      </c>
      <c r="P405" s="46">
        <f>TABELA25[[#This Row],[QTDE]]*TABELA25[[#This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67.2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SUM(TABELA25[[#This Row],[T1]:[T7]])</f>
        <v>0</v>
      </c>
      <c r="P406" s="46">
        <f>TABELA25[[#This Row],[QTDE]]*TABELA25[[#This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71.2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SUM(TABELA25[[#This Row],[T1]:[T7]])</f>
        <v>0</v>
      </c>
      <c r="P407" s="46">
        <f>TABELA25[[#This Row],[QTDE]]*TABELA25[[#This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71.2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SUM(TABELA25[[#This Row],[T1]:[T7]])</f>
        <v>0</v>
      </c>
      <c r="P408" s="46">
        <f>TABELA25[[#This Row],[QTDE]]*TABELA25[[#This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67.2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SUM(TABELA25[[#This Row],[T1]:[T7]])</f>
        <v>0</v>
      </c>
      <c r="P409" s="46">
        <f>TABELA25[[#This Row],[QTDE]]*TABELA25[[#This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67.2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SUM(TABELA25[[#This Row],[T1]:[T7]])</f>
        <v>0</v>
      </c>
      <c r="P410" s="46">
        <f>TABELA25[[#This Row],[QTDE]]*TABELA25[[#This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67.2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SUM(TABELA25[[#This Row],[T1]:[T7]])</f>
        <v>0</v>
      </c>
      <c r="P411" s="46">
        <f>TABELA25[[#This Row],[QTDE]]*TABELA25[[#This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199.2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SUM(TABELA25[[#This Row],[T1]:[T7]])</f>
        <v>0</v>
      </c>
      <c r="P412" s="46">
        <f>TABELA25[[#This Row],[QTDE]]*TABELA25[[#This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91.2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SUM(TABELA25[[#This Row],[T1]:[T7]])</f>
        <v>0</v>
      </c>
      <c r="P413" s="46">
        <f>TABELA25[[#This Row],[QTDE]]*TABELA25[[#This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91.2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SUM(TABELA25[[#This Row],[T1]:[T7]])</f>
        <v>0</v>
      </c>
      <c r="P414" s="46">
        <f>TABELA25[[#This Row],[QTDE]]*TABELA25[[#This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91.2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SUM(TABELA25[[#This Row],[T1]:[T7]])</f>
        <v>0</v>
      </c>
      <c r="P415" s="46">
        <f>TABELA25[[#This Row],[QTDE]]*TABELA25[[#This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91.2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SUM(TABELA25[[#This Row],[T1]:[T7]])</f>
        <v>0</v>
      </c>
      <c r="P416" s="46">
        <f>TABELA25[[#This Row],[QTDE]]*TABELA25[[#This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63.2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SUM(TABELA25[[#This Row],[T1]:[T7]])</f>
        <v>0</v>
      </c>
      <c r="P417" s="46">
        <f>TABELA25[[#This Row],[QTDE]]*TABELA25[[#This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59.2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SUM(TABELA25[[#This Row],[T1]:[T7]])</f>
        <v>0</v>
      </c>
      <c r="P418" s="46">
        <f>TABELA25[[#This Row],[QTDE]]*TABELA25[[#This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111.2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SUM(TABELA25[[#This Row],[T1]:[T7]])</f>
        <v>0</v>
      </c>
      <c r="P419" s="46">
        <f>TABELA25[[#This Row],[QTDE]]*TABELA25[[#This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39.200000000000003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SUM(TABELA25[[#This Row],[T1]:[T7]])</f>
        <v>0</v>
      </c>
      <c r="P420" s="46">
        <f>TABELA25[[#This Row],[QTDE]]*TABELA25[[#This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63.2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SUM(TABELA25[[#This Row],[T1]:[T7]])</f>
        <v>0</v>
      </c>
      <c r="P421" s="46">
        <f>TABELA25[[#This Row],[QTDE]]*TABELA25[[#This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63.2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SUM(TABELA25[[#This Row],[T1]:[T7]])</f>
        <v>0</v>
      </c>
      <c r="P422" s="46">
        <f>TABELA25[[#This Row],[QTDE]]*TABELA25[[#This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63.2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SUM(TABELA25[[#This Row],[T1]:[T7]])</f>
        <v>0</v>
      </c>
      <c r="P423" s="46">
        <f>TABELA25[[#This Row],[QTDE]]*TABELA25[[#This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71.2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SUM(TABELA25[[#This Row],[T1]:[T7]])</f>
        <v>0</v>
      </c>
      <c r="P424" s="46">
        <f>TABELA25[[#This Row],[QTDE]]*TABELA25[[#This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71.2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SUM(TABELA25[[#This Row],[T1]:[T7]])</f>
        <v>0</v>
      </c>
      <c r="P425" s="46">
        <f>TABELA25[[#This Row],[QTDE]]*TABELA25[[#This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91.2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SUM(TABELA25[[#This Row],[T1]:[T7]])</f>
        <v>0</v>
      </c>
      <c r="P426" s="46">
        <f>TABELA25[[#This Row],[QTDE]]*TABELA25[[#This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91.2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SUM(TABELA25[[#This Row],[T1]:[T7]])</f>
        <v>0</v>
      </c>
      <c r="P427" s="46">
        <f>TABELA25[[#This Row],[QTDE]]*TABELA25[[#This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95.2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SUM(TABELA25[[#This Row],[T1]:[T7]])</f>
        <v>0</v>
      </c>
      <c r="P428" s="46">
        <f>TABELA25[[#This Row],[QTDE]]*TABELA25[[#This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95.2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SUM(TABELA25[[#This Row],[T1]:[T7]])</f>
        <v>0</v>
      </c>
      <c r="P429" s="46">
        <f>TABELA25[[#This Row],[QTDE]]*TABELA25[[#This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107.2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SUM(TABELA25[[#This Row],[T1]:[T7]])</f>
        <v>0</v>
      </c>
      <c r="P430" s="46">
        <f>TABELA25[[#This Row],[QTDE]]*TABELA25[[#This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119.2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SUM(TABELA25[[#This Row],[T1]:[T7]])</f>
        <v>0</v>
      </c>
      <c r="P431" s="46">
        <f>TABELA25[[#This Row],[QTDE]]*TABELA25[[#This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119.2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SUM(TABELA25[[#This Row],[T1]:[T7]])</f>
        <v>0</v>
      </c>
      <c r="P432" s="46">
        <f>TABELA25[[#This Row],[QTDE]]*TABELA25[[#This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159.19999999999999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SUM(TABELA25[[#This Row],[T1]:[T7]])</f>
        <v>0</v>
      </c>
      <c r="P433" s="46">
        <f>TABELA25[[#This Row],[QTDE]]*TABELA25[[#This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95.2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SUM(TABELA25[[#This Row],[T1]:[T7]])</f>
        <v>0</v>
      </c>
      <c r="P434" s="46">
        <f>TABELA25[[#This Row],[QTDE]]*TABELA25[[#This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79.2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SUM(TABELA25[[#This Row],[T1]:[T7]])</f>
        <v>0</v>
      </c>
      <c r="P435" s="46">
        <f>TABELA25[[#This Row],[QTDE]]*TABELA25[[#This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119.2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SUM(TABELA25[[#This Row],[T1]:[T7]])</f>
        <v>0</v>
      </c>
      <c r="P436" s="46">
        <f>TABELA25[[#This Row],[QTDE]]*TABELA25[[#This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107.2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SUM(TABELA25[[#This Row],[T1]:[T7]])</f>
        <v>0</v>
      </c>
      <c r="P437" s="46">
        <f>TABELA25[[#This Row],[QTDE]]*TABELA25[[#This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91.2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SUM(TABELA25[[#This Row],[T1]:[T7]])</f>
        <v>0</v>
      </c>
      <c r="P438" s="46">
        <f>TABELA25[[#This Row],[QTDE]]*TABELA25[[#This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91.2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SUM(TABELA25[[#This Row],[T1]:[T7]])</f>
        <v>0</v>
      </c>
      <c r="P439" s="46">
        <f>TABELA25[[#This Row],[QTDE]]*TABELA25[[#This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99.2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SUM(TABELA25[[#This Row],[T1]:[T7]])</f>
        <v>0</v>
      </c>
      <c r="P440" s="46">
        <f>TABELA25[[#This Row],[QTDE]]*TABELA25[[#This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91.2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SUM(TABELA25[[#This Row],[T1]:[T7]])</f>
        <v>0</v>
      </c>
      <c r="P441" s="46">
        <f>TABELA25[[#This Row],[QTDE]]*TABELA25[[#This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99.2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SUM(TABELA25[[#This Row],[T1]:[T7]])</f>
        <v>0</v>
      </c>
      <c r="P442" s="46">
        <f>TABELA25[[#This Row],[QTDE]]*TABELA25[[#This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91.2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SUM(TABELA25[[#This Row],[T1]:[T7]])</f>
        <v>0</v>
      </c>
      <c r="P443" s="46">
        <f>TABELA25[[#This Row],[QTDE]]*TABELA25[[#This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91.2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SUM(TABELA25[[#This Row],[T1]:[T7]])</f>
        <v>0</v>
      </c>
      <c r="P444" s="46">
        <f>TABELA25[[#This Row],[QTDE]]*TABELA25[[#This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91.2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SUM(TABELA25[[#This Row],[T1]:[T7]])</f>
        <v>0</v>
      </c>
      <c r="P445" s="46">
        <f>TABELA25[[#This Row],[QTDE]]*TABELA25[[#This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79.2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SUM(TABELA25[[#This Row],[T1]:[T7]])</f>
        <v>0</v>
      </c>
      <c r="P446" s="46">
        <f>TABELA25[[#This Row],[QTDE]]*TABELA25[[#This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79.2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SUM(TABELA25[[#This Row],[T1]:[T7]])</f>
        <v>0</v>
      </c>
      <c r="P447" s="46">
        <f>TABELA25[[#This Row],[QTDE]]*TABELA25[[#This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79.2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SUM(TABELA25[[#This Row],[T1]:[T7]])</f>
        <v>0</v>
      </c>
      <c r="P448" s="46">
        <f>TABELA25[[#This Row],[QTDE]]*TABELA25[[#This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79.2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SUM(TABELA25[[#This Row],[T1]:[T7]])</f>
        <v>0</v>
      </c>
      <c r="P449" s="46">
        <f>TABELA25[[#This Row],[QTDE]]*TABELA25[[#This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91.2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SUM(TABELA25[[#This Row],[T1]:[T7]])</f>
        <v>0</v>
      </c>
      <c r="P450" s="46">
        <f>TABELA25[[#This Row],[QTDE]]*TABELA25[[#This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91.2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SUM(TABELA25[[#This Row],[T1]:[T7]])</f>
        <v>0</v>
      </c>
      <c r="P451" s="46">
        <f>TABELA25[[#This Row],[QTDE]]*TABELA25[[#This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91.2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SUM(TABELA25[[#This Row],[T1]:[T7]])</f>
        <v>0</v>
      </c>
      <c r="P452" s="46">
        <f>TABELA25[[#This Row],[QTDE]]*TABELA25[[#This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91.2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SUM(TABELA25[[#This Row],[T1]:[T7]])</f>
        <v>0</v>
      </c>
      <c r="P453" s="46">
        <f>TABELA25[[#This Row],[QTDE]]*TABELA25[[#This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99.2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SUM(TABELA25[[#This Row],[T1]:[T7]])</f>
        <v>0</v>
      </c>
      <c r="P454" s="46">
        <f>TABELA25[[#This Row],[QTDE]]*TABELA25[[#This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99.2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SUM(TABELA25[[#This Row],[T1]:[T7]])</f>
        <v>0</v>
      </c>
      <c r="P455" s="46">
        <f>TABELA25[[#This Row],[QTDE]]*TABELA25[[#This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119.2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SUM(TABELA25[[#This Row],[T1]:[T7]])</f>
        <v>0</v>
      </c>
      <c r="P456" s="46">
        <f>TABELA25[[#This Row],[QTDE]]*TABELA25[[#This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119.2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SUM(TABELA25[[#This Row],[T1]:[T7]])</f>
        <v>0</v>
      </c>
      <c r="P457" s="46">
        <f>TABELA25[[#This Row],[QTDE]]*TABELA25[[#This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119.2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SUM(TABELA25[[#This Row],[T1]:[T7]])</f>
        <v>0</v>
      </c>
      <c r="P458" s="46">
        <f>TABELA25[[#This Row],[QTDE]]*TABELA25[[#This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71.2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SUM(TABELA25[[#This Row],[T1]:[T7]])</f>
        <v>0</v>
      </c>
      <c r="P459" s="46">
        <f>TABELA25[[#This Row],[QTDE]]*TABELA25[[#This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71.2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SUM(TABELA25[[#This Row],[T1]:[T7]])</f>
        <v>0</v>
      </c>
      <c r="P460" s="46">
        <f>TABELA25[[#This Row],[QTDE]]*TABELA25[[#This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139.19999999999999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SUM(TABELA25[[#This Row],[T1]:[T7]])</f>
        <v>0</v>
      </c>
      <c r="P461" s="46">
        <f>TABELA25[[#This Row],[QTDE]]*TABELA25[[#This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79.2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SUM(TABELA25[[#This Row],[T1]:[T7]])</f>
        <v>0</v>
      </c>
      <c r="P462" s="46">
        <f>TABELA25[[#This Row],[QTDE]]*TABELA25[[#This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119.2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SUM(TABELA25[[#This Row],[T1]:[T7]])</f>
        <v>0</v>
      </c>
      <c r="P463" s="46">
        <f>TABELA25[[#This Row],[QTDE]]*TABELA25[[#This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159.19999999999999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SUM(TABELA25[[#This Row],[T1]:[T7]])</f>
        <v>0</v>
      </c>
      <c r="P464" s="46">
        <f>TABELA25[[#This Row],[QTDE]]*TABELA25[[#This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159.19999999999999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SUM(TABELA25[[#This Row],[T1]:[T7]])</f>
        <v>0</v>
      </c>
      <c r="P465" s="46">
        <f>TABELA25[[#This Row],[QTDE]]*TABELA25[[#This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179.2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SUM(TABELA25[[#This Row],[T1]:[T7]])</f>
        <v>0</v>
      </c>
      <c r="P466" s="46">
        <f>TABELA25[[#This Row],[QTDE]]*TABELA25[[#This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199.2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SUM(TABELA25[[#This Row],[T1]:[T7]])</f>
        <v>0</v>
      </c>
      <c r="P467" s="46">
        <f>TABELA25[[#This Row],[QTDE]]*TABELA25[[#This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239.2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SUM(TABELA25[[#This Row],[T1]:[T7]])</f>
        <v>0</v>
      </c>
      <c r="P468" s="46">
        <f>TABELA25[[#This Row],[QTDE]]*TABELA25[[#This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139.19999999999999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SUM(TABELA25[[#This Row],[T1]:[T7]])</f>
        <v>0</v>
      </c>
      <c r="P469" s="46">
        <f>TABELA25[[#This Row],[QTDE]]*TABELA25[[#This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179.2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SUM(TABELA25[[#This Row],[T1]:[T7]])</f>
        <v>0</v>
      </c>
      <c r="P470" s="46">
        <f>TABELA25[[#This Row],[QTDE]]*TABELA25[[#This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171.2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SUM(TABELA25[[#This Row],[T1]:[T7]])</f>
        <v>0</v>
      </c>
      <c r="P471" s="46">
        <f>TABELA25[[#This Row],[QTDE]]*TABELA25[[#This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187.2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SUM(TABELA25[[#This Row],[T1]:[T7]])</f>
        <v>0</v>
      </c>
      <c r="P472" s="46">
        <f>TABELA25[[#This Row],[QTDE]]*TABELA25[[#This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147.19999999999999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SUM(TABELA25[[#This Row],[T1]:[T7]])</f>
        <v>0</v>
      </c>
      <c r="P473" s="46">
        <f>TABELA25[[#This Row],[QTDE]]*TABELA25[[#This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79.2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SUM(TABELA25[[#This Row],[T1]:[T7]])</f>
        <v>0</v>
      </c>
      <c r="P474" s="46">
        <f>TABELA25[[#This Row],[QTDE]]*TABELA25[[#This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79.2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SUM(TABELA25[[#This Row],[T1]:[T7]])</f>
        <v>0</v>
      </c>
      <c r="P475" s="46">
        <f>TABELA25[[#This Row],[QTDE]]*TABELA25[[#This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279.2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SUM(TABELA25[[#This Row],[T1]:[T7]])</f>
        <v>0</v>
      </c>
      <c r="P476" s="46">
        <f>TABELA25[[#This Row],[QTDE]]*TABELA25[[#This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279.2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SUM(TABELA25[[#This Row],[T1]:[T7]])</f>
        <v>0</v>
      </c>
      <c r="P477" s="46">
        <f>TABELA25[[#This Row],[QTDE]]*TABELA25[[#This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219.2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SUM(TABELA25[[#This Row],[T1]:[T7]])</f>
        <v>0</v>
      </c>
      <c r="P478" s="46">
        <f>TABELA25[[#This Row],[QTDE]]*TABELA25[[#This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179.2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SUM(TABELA25[[#This Row],[T1]:[T7]])</f>
        <v>0</v>
      </c>
      <c r="P479" s="46">
        <f>TABELA25[[#This Row],[QTDE]]*TABELA25[[#This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179.2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SUM(TABELA25[[#This Row],[T1]:[T7]])</f>
        <v>0</v>
      </c>
      <c r="P480" s="46">
        <f>TABELA25[[#This Row],[QTDE]]*TABELA25[[#This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159.19999999999999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SUM(TABELA25[[#This Row],[T1]:[T7]])</f>
        <v>0</v>
      </c>
      <c r="P481" s="46">
        <f>TABELA25[[#This Row],[QTDE]]*TABELA25[[#This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159.19999999999999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SUM(TABELA25[[#This Row],[T1]:[T7]])</f>
        <v>0</v>
      </c>
      <c r="P482" s="46">
        <f>TABELA25[[#This Row],[QTDE]]*TABELA25[[#This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219.2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SUM(TABELA25[[#This Row],[T1]:[T7]])</f>
        <v>0</v>
      </c>
      <c r="P483" s="46">
        <f>TABELA25[[#This Row],[QTDE]]*TABELA25[[#This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147.19999999999999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SUM(TABELA25[[#This Row],[T1]:[T7]])</f>
        <v>0</v>
      </c>
      <c r="P484" s="46">
        <f>TABELA25[[#This Row],[QTDE]]*TABELA25[[#This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139.19999999999999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SUM(TABELA25[[#This Row],[T1]:[T7]])</f>
        <v>0</v>
      </c>
      <c r="P485" s="46">
        <f>TABELA25[[#This Row],[QTDE]]*TABELA25[[#This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179.2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SUM(TABELA25[[#This Row],[T1]:[T7]])</f>
        <v>0</v>
      </c>
      <c r="P486" s="46">
        <f>TABELA25[[#This Row],[QTDE]]*TABELA25[[#This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147.19999999999999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SUM(TABELA25[[#This Row],[T1]:[T7]])</f>
        <v>0</v>
      </c>
      <c r="P487" s="46">
        <f>TABELA25[[#This Row],[QTDE]]*TABELA25[[#This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147.19999999999999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SUM(TABELA25[[#This Row],[T1]:[T7]])</f>
        <v>0</v>
      </c>
      <c r="P488" s="46">
        <f>TABELA25[[#This Row],[QTDE]]*TABELA25[[#This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119.2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SUM(TABELA25[[#This Row],[T1]:[T7]])</f>
        <v>0</v>
      </c>
      <c r="P489" s="46">
        <f>TABELA25[[#This Row],[QTDE]]*TABELA25[[#This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119.2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SUM(TABELA25[[#This Row],[T1]:[T7]])</f>
        <v>0</v>
      </c>
      <c r="P490" s="46">
        <f>TABELA25[[#This Row],[QTDE]]*TABELA25[[#This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119.2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SUM(TABELA25[[#This Row],[T1]:[T7]])</f>
        <v>0</v>
      </c>
      <c r="P491" s="46">
        <f>TABELA25[[#This Row],[QTDE]]*TABELA25[[#This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159.19999999999999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SUM(TABELA25[[#This Row],[T1]:[T7]])</f>
        <v>0</v>
      </c>
      <c r="P492" s="46">
        <f>TABELA25[[#This Row],[QTDE]]*TABELA25[[#This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159.19999999999999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SUM(TABELA25[[#This Row],[T1]:[T7]])</f>
        <v>0</v>
      </c>
      <c r="P493" s="46">
        <f>TABELA25[[#This Row],[QTDE]]*TABELA25[[#This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159.19999999999999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SUM(TABELA25[[#This Row],[T1]:[T7]])</f>
        <v>0</v>
      </c>
      <c r="P494" s="46">
        <f>TABELA25[[#This Row],[QTDE]]*TABELA25[[#This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159.19999999999999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SUM(TABELA25[[#This Row],[T1]:[T7]])</f>
        <v>0</v>
      </c>
      <c r="P495" s="46">
        <f>TABELA25[[#This Row],[QTDE]]*TABELA25[[#This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171.2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SUM(TABELA25[[#This Row],[T1]:[T7]])</f>
        <v>0</v>
      </c>
      <c r="P496" s="46">
        <f>TABELA25[[#This Row],[QTDE]]*TABELA25[[#This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171.2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SUM(TABELA25[[#This Row],[T1]:[T7]])</f>
        <v>0</v>
      </c>
      <c r="P497" s="46">
        <f>TABELA25[[#This Row],[QTDE]]*TABELA25[[#This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103.2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SUM(TABELA25[[#This Row],[T1]:[T7]])</f>
        <v>0</v>
      </c>
      <c r="P498" s="46">
        <f>TABELA25[[#This Row],[QTDE]]*TABELA25[[#This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103.2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SUM(TABELA25[[#This Row],[T1]:[T7]])</f>
        <v>0</v>
      </c>
      <c r="P499" s="46">
        <f>TABELA25[[#This Row],[QTDE]]*TABELA25[[#This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103.2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SUM(TABELA25[[#This Row],[T1]:[T7]])</f>
        <v>0</v>
      </c>
      <c r="P500" s="46">
        <f>TABELA25[[#This Row],[QTDE]]*TABELA25[[#This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103.2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SUM(TABELA25[[#This Row],[T1]:[T7]])</f>
        <v>0</v>
      </c>
      <c r="P501" s="46">
        <f>TABELA25[[#This Row],[QTDE]]*TABELA25[[#This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103.2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SUM(TABELA25[[#This Row],[T1]:[T7]])</f>
        <v>0</v>
      </c>
      <c r="P502" s="46">
        <f>TABELA25[[#This Row],[QTDE]]*TABELA25[[#This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103.2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SUM(TABELA25[[#This Row],[T1]:[T7]])</f>
        <v>0</v>
      </c>
      <c r="P503" s="46">
        <f>TABELA25[[#This Row],[QTDE]]*TABELA25[[#This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111.2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SUM(TABELA25[[#This Row],[T1]:[T7]])</f>
        <v>0</v>
      </c>
      <c r="P504" s="46">
        <f>TABELA25[[#This Row],[QTDE]]*TABELA25[[#This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111.2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SUM(TABELA25[[#This Row],[T1]:[T7]])</f>
        <v>0</v>
      </c>
      <c r="P505" s="46">
        <f>TABELA25[[#This Row],[QTDE]]*TABELA25[[#This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111.2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SUM(TABELA25[[#This Row],[T1]:[T7]])</f>
        <v>0</v>
      </c>
      <c r="P506" s="46">
        <f>TABELA25[[#This Row],[QTDE]]*TABELA25[[#This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111.2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SUM(TABELA25[[#This Row],[T1]:[T7]])</f>
        <v>0</v>
      </c>
      <c r="P507" s="46">
        <f>TABELA25[[#This Row],[QTDE]]*TABELA25[[#This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111.2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SUM(TABELA25[[#This Row],[T1]:[T7]])</f>
        <v>0</v>
      </c>
      <c r="P508" s="46">
        <f>TABELA25[[#This Row],[QTDE]]*TABELA25[[#This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139.19999999999999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SUM(TABELA25[[#This Row],[T1]:[T7]])</f>
        <v>0</v>
      </c>
      <c r="P509" s="46">
        <f>TABELA25[[#This Row],[QTDE]]*TABELA25[[#This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139.19999999999999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SUM(TABELA25[[#This Row],[T1]:[T7]])</f>
        <v>0</v>
      </c>
      <c r="P510" s="46">
        <f>TABELA25[[#This Row],[QTDE]]*TABELA25[[#This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139.19999999999999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SUM(TABELA25[[#This Row],[T1]:[T7]])</f>
        <v>0</v>
      </c>
      <c r="P511" s="46">
        <f>TABELA25[[#This Row],[QTDE]]*TABELA25[[#This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111.2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SUM(TABELA25[[#This Row],[T1]:[T7]])</f>
        <v>0</v>
      </c>
      <c r="P512" s="46">
        <f>TABELA25[[#This Row],[QTDE]]*TABELA25[[#This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171.2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SUM(TABELA25[[#This Row],[T1]:[T7]])</f>
        <v>0</v>
      </c>
      <c r="P513" s="46">
        <f>TABELA25[[#This Row],[QTDE]]*TABELA25[[#This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91.2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SUM(TABELA25[[#This Row],[T1]:[T7]])</f>
        <v>0</v>
      </c>
      <c r="P514" s="46">
        <f>TABELA25[[#This Row],[QTDE]]*TABELA25[[#This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91.2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SUM(TABELA25[[#This Row],[T1]:[T7]])</f>
        <v>0</v>
      </c>
      <c r="P515" s="46">
        <f>TABELA25[[#This Row],[QTDE]]*TABELA25[[#This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91.2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SUM(TABELA25[[#This Row],[T1]:[T7]])</f>
        <v>0</v>
      </c>
      <c r="P516" s="46">
        <f>TABELA25[[#This Row],[QTDE]]*TABELA25[[#This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91.2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SUM(TABELA25[[#This Row],[T1]:[T7]])</f>
        <v>0</v>
      </c>
      <c r="P517" s="46">
        <f>TABELA25[[#This Row],[QTDE]]*TABELA25[[#This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179.2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SUM(TABELA25[[#This Row],[T1]:[T7]])</f>
        <v>0</v>
      </c>
      <c r="P518" s="46">
        <f>TABELA25[[#This Row],[QTDE]]*TABELA25[[#This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99.2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SUM(TABELA25[[#This Row],[T1]:[T7]])</f>
        <v>0</v>
      </c>
      <c r="P519" s="46">
        <f>TABELA25[[#This Row],[QTDE]]*TABELA25[[#This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99.2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SUM(TABELA25[[#This Row],[T1]:[T7]])</f>
        <v>0</v>
      </c>
      <c r="P520" s="46">
        <f>TABELA25[[#This Row],[QTDE]]*TABELA25[[#This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95.2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SUM(TABELA25[[#This Row],[T1]:[T7]])</f>
        <v>0</v>
      </c>
      <c r="P521" s="46">
        <f>TABELA25[[#This Row],[QTDE]]*TABELA25[[#This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95.2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SUM(TABELA25[[#This Row],[T1]:[T7]])</f>
        <v>0</v>
      </c>
      <c r="P522" s="46">
        <f>TABELA25[[#This Row],[QTDE]]*TABELA25[[#This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119.2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SUM(TABELA25[[#This Row],[T1]:[T7]])</f>
        <v>0</v>
      </c>
      <c r="P523" s="46">
        <f>TABELA25[[#This Row],[QTDE]]*TABELA25[[#This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119.2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SUM(TABELA25[[#This Row],[T1]:[T7]])</f>
        <v>0</v>
      </c>
      <c r="P524" s="46">
        <f>TABELA25[[#This Row],[QTDE]]*TABELA25[[#This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91.2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SUM(TABELA25[[#This Row],[T1]:[T7]])</f>
        <v>0</v>
      </c>
      <c r="P525" s="46">
        <f>TABELA25[[#This Row],[QTDE]]*TABELA25[[#This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91.2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SUM(TABELA25[[#This Row],[T1]:[T7]])</f>
        <v>0</v>
      </c>
      <c r="P526" s="46">
        <f>TABELA25[[#This Row],[QTDE]]*TABELA25[[#This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91.2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SUM(TABELA25[[#This Row],[T1]:[T7]])</f>
        <v>0</v>
      </c>
      <c r="P527" s="46">
        <f>TABELA25[[#This Row],[QTDE]]*TABELA25[[#This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55.2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SUM(TABELA25[[#This Row],[T1]:[T7]])</f>
        <v>0</v>
      </c>
      <c r="P528" s="46">
        <f>TABELA25[[#This Row],[QTDE]]*TABELA25[[#This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55.2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SUM(TABELA25[[#This Row],[T1]:[T7]])</f>
        <v>0</v>
      </c>
      <c r="P529" s="46">
        <f>TABELA25[[#This Row],[QTDE]]*TABELA25[[#This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63.2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SUM(TABELA25[[#This Row],[T1]:[T7]])</f>
        <v>0</v>
      </c>
      <c r="P530" s="46">
        <f>TABELA25[[#This Row],[QTDE]]*TABELA25[[#This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63.2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SUM(TABELA25[[#This Row],[T1]:[T7]])</f>
        <v>0</v>
      </c>
      <c r="P531" s="46">
        <f>TABELA25[[#This Row],[QTDE]]*TABELA25[[#This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63.2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SUM(TABELA25[[#This Row],[T1]:[T7]])</f>
        <v>0</v>
      </c>
      <c r="P532" s="46">
        <f>TABELA25[[#This Row],[QTDE]]*TABELA25[[#This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63.2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SUM(TABELA25[[#This Row],[T1]:[T7]])</f>
        <v>0</v>
      </c>
      <c r="P533" s="46">
        <f>TABELA25[[#This Row],[QTDE]]*TABELA25[[#This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63.2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SUM(TABELA25[[#This Row],[T1]:[T7]])</f>
        <v>0</v>
      </c>
      <c r="P534" s="46">
        <f>TABELA25[[#This Row],[QTDE]]*TABELA25[[#This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63.2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SUM(TABELA25[[#This Row],[T1]:[T7]])</f>
        <v>0</v>
      </c>
      <c r="P535" s="46">
        <f>TABELA25[[#This Row],[QTDE]]*TABELA25[[#This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99.2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SUM(TABELA25[[#This Row],[T1]:[T7]])</f>
        <v>0</v>
      </c>
      <c r="P536" s="46">
        <f>TABELA25[[#This Row],[QTDE]]*TABELA25[[#This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99.2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SUM(TABELA25[[#This Row],[T1]:[T7]])</f>
        <v>0</v>
      </c>
      <c r="P537" s="46">
        <f>TABELA25[[#This Row],[QTDE]]*TABELA25[[#This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71.2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SUM(TABELA25[[#This Row],[T1]:[T7]])</f>
        <v>0</v>
      </c>
      <c r="P538" s="46">
        <f>TABELA25[[#This Row],[QTDE]]*TABELA25[[#This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71.2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SUM(TABELA25[[#This Row],[T1]:[T7]])</f>
        <v>0</v>
      </c>
      <c r="P539" s="46">
        <f>TABELA25[[#This Row],[QTDE]]*TABELA25[[#This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63.2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SUM(TABELA25[[#This Row],[T1]:[T7]])</f>
        <v>0</v>
      </c>
      <c r="P540" s="46">
        <f>TABELA25[[#This Row],[QTDE]]*TABELA25[[#This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63.2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SUM(TABELA25[[#This Row],[T1]:[T7]])</f>
        <v>0</v>
      </c>
      <c r="P541" s="46">
        <f>TABELA25[[#This Row],[QTDE]]*TABELA25[[#This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63.2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SUM(TABELA25[[#This Row],[T1]:[T7]])</f>
        <v>0</v>
      </c>
      <c r="P542" s="46">
        <f>TABELA25[[#This Row],[QTDE]]*TABELA25[[#This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51.2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SUM(TABELA25[[#This Row],[T1]:[T7]])</f>
        <v>0</v>
      </c>
      <c r="P543" s="46">
        <f>TABELA25[[#This Row],[QTDE]]*TABELA25[[#This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199.2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SUM(TABELA25[[#This Row],[T1]:[T7]])</f>
        <v>0</v>
      </c>
      <c r="P544" s="46">
        <f>TABELA25[[#This Row],[QTDE]]*TABELA25[[#This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131.19999999999999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SUM(TABELA25[[#This Row],[T1]:[T7]])</f>
        <v>0</v>
      </c>
      <c r="P545" s="46">
        <f>TABELA25[[#This Row],[QTDE]]*TABELA25[[#This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131.19999999999999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SUM(TABELA25[[#This Row],[T1]:[T7]])</f>
        <v>0</v>
      </c>
      <c r="P546" s="46">
        <f>TABELA25[[#This Row],[QTDE]]*TABELA25[[#This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103.2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SUM(TABELA25[[#This Row],[T1]:[T7]])</f>
        <v>0</v>
      </c>
      <c r="P547" s="46">
        <f>TABELA25[[#This Row],[QTDE]]*TABELA25[[#This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103.2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SUM(TABELA25[[#This Row],[T1]:[T7]])</f>
        <v>0</v>
      </c>
      <c r="P548" s="46">
        <f>TABELA25[[#This Row],[QTDE]]*TABELA25[[#This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119.2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SUM(TABELA25[[#This Row],[T1]:[T7]])</f>
        <v>0</v>
      </c>
      <c r="P549" s="46">
        <f>TABELA25[[#This Row],[QTDE]]*TABELA25[[#This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119.2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SUM(TABELA25[[#This Row],[T1]:[T7]])</f>
        <v>0</v>
      </c>
      <c r="P550" s="46">
        <f>TABELA25[[#This Row],[QTDE]]*TABELA25[[#This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107.2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SUM(TABELA25[[#This Row],[T1]:[T7]])</f>
        <v>0</v>
      </c>
      <c r="P551" s="46">
        <f>TABELA25[[#This Row],[QTDE]]*TABELA25[[#This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107.2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SUM(TABELA25[[#This Row],[T1]:[T7]])</f>
        <v>0</v>
      </c>
      <c r="P552" s="46">
        <f>TABELA25[[#This Row],[QTDE]]*TABELA25[[#This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107.2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SUM(TABELA25[[#This Row],[T1]:[T7]])</f>
        <v>0</v>
      </c>
      <c r="P553" s="46">
        <f>TABELA25[[#This Row],[QTDE]]*TABELA25[[#This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71.2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SUM(TABELA25[[#This Row],[T1]:[T7]])</f>
        <v>0</v>
      </c>
      <c r="P554" s="46">
        <f>TABELA25[[#This Row],[QTDE]]*TABELA25[[#This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71.2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SUM(TABELA25[[#This Row],[T1]:[T7]])</f>
        <v>0</v>
      </c>
      <c r="P555" s="46">
        <f>TABELA25[[#This Row],[QTDE]]*TABELA25[[#This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210A-6A11-4B06-966E-68C2E408267D}">
  <dimension ref="A1:S3656"/>
  <sheetViews>
    <sheetView topLeftCell="A12" workbookViewId="0">
      <selection activeCell="B21" sqref="B21:B40"/>
    </sheetView>
  </sheetViews>
  <sheetFormatPr defaultRowHeight="15" x14ac:dyDescent="0.25"/>
  <cols>
    <col min="1" max="1" width="13.85546875" bestFit="1" customWidth="1"/>
    <col min="2" max="2" width="9.140625" style="55"/>
    <col min="3" max="3" width="21.42578125" bestFit="1" customWidth="1"/>
    <col min="6" max="19" width="5" customWidth="1"/>
  </cols>
  <sheetData>
    <row r="1" spans="1:19" ht="73.5" x14ac:dyDescent="0.25">
      <c r="A1" t="s">
        <v>1617</v>
      </c>
      <c r="B1" s="55" t="s">
        <v>1618</v>
      </c>
      <c r="C1" s="54" t="s">
        <v>1619</v>
      </c>
      <c r="D1" s="54" t="s">
        <v>4</v>
      </c>
      <c r="E1" t="s">
        <v>1620</v>
      </c>
      <c r="F1" s="57" t="s">
        <v>1712</v>
      </c>
      <c r="G1" s="57" t="s">
        <v>1713</v>
      </c>
      <c r="H1" s="57" t="s">
        <v>1714</v>
      </c>
      <c r="I1" s="57" t="s">
        <v>1715</v>
      </c>
      <c r="J1" s="57" t="s">
        <v>1716</v>
      </c>
      <c r="K1" s="57" t="s">
        <v>1717</v>
      </c>
      <c r="L1" s="57" t="s">
        <v>1718</v>
      </c>
      <c r="M1" s="57" t="s">
        <v>1719</v>
      </c>
      <c r="N1" s="57" t="s">
        <v>1720</v>
      </c>
      <c r="O1" s="57" t="s">
        <v>1721</v>
      </c>
      <c r="P1" s="57" t="s">
        <v>1722</v>
      </c>
      <c r="Q1" s="57" t="s">
        <v>1723</v>
      </c>
      <c r="R1" s="57" t="s">
        <v>1724</v>
      </c>
      <c r="S1" s="57" t="s">
        <v>1725</v>
      </c>
    </row>
    <row r="2" spans="1:19" x14ac:dyDescent="0.25">
      <c r="A2">
        <v>1953200070</v>
      </c>
      <c r="B2" s="55" t="s">
        <v>1627</v>
      </c>
      <c r="C2" s="54" t="s">
        <v>1628</v>
      </c>
      <c r="D2" s="54"/>
      <c r="E2" t="s">
        <v>1623</v>
      </c>
    </row>
    <row r="3" spans="1:19" x14ac:dyDescent="0.25">
      <c r="A3">
        <v>1953200069</v>
      </c>
      <c r="B3" s="56" t="s">
        <v>1639</v>
      </c>
      <c r="C3" s="54" t="s">
        <v>688</v>
      </c>
      <c r="D3" s="54"/>
      <c r="E3" t="s">
        <v>1623</v>
      </c>
    </row>
    <row r="4" spans="1:19" x14ac:dyDescent="0.25">
      <c r="A4">
        <v>1383200035</v>
      </c>
      <c r="B4" s="55">
        <v>48363</v>
      </c>
      <c r="C4" s="54" t="s">
        <v>1652</v>
      </c>
      <c r="D4" s="54"/>
      <c r="E4" t="s">
        <v>1625</v>
      </c>
    </row>
    <row r="5" spans="1:19" x14ac:dyDescent="0.25">
      <c r="A5">
        <v>1383200035</v>
      </c>
      <c r="B5" s="56" t="s">
        <v>1639</v>
      </c>
      <c r="C5" s="54" t="s">
        <v>688</v>
      </c>
      <c r="D5" s="54"/>
      <c r="E5" t="s">
        <v>1625</v>
      </c>
    </row>
    <row r="6" spans="1:19" x14ac:dyDescent="0.25">
      <c r="A6">
        <v>593200057</v>
      </c>
      <c r="B6" s="55">
        <v>63007</v>
      </c>
      <c r="C6" s="54" t="s">
        <v>849</v>
      </c>
      <c r="D6" s="54"/>
      <c r="E6" t="s">
        <v>1623</v>
      </c>
    </row>
    <row r="7" spans="1:19" x14ac:dyDescent="0.25">
      <c r="A7">
        <v>583200081</v>
      </c>
      <c r="B7" s="55">
        <v>53693</v>
      </c>
      <c r="C7" s="54" t="s">
        <v>1656</v>
      </c>
      <c r="D7" s="54"/>
      <c r="E7" t="s">
        <v>1625</v>
      </c>
    </row>
    <row r="8" spans="1:19" x14ac:dyDescent="0.25">
      <c r="A8">
        <v>583200080</v>
      </c>
      <c r="B8" s="55" t="s">
        <v>1678</v>
      </c>
      <c r="C8" t="s">
        <v>1679</v>
      </c>
      <c r="E8" t="s">
        <v>1625</v>
      </c>
    </row>
    <row r="9" spans="1:19" x14ac:dyDescent="0.25">
      <c r="A9">
        <v>583200079</v>
      </c>
      <c r="B9" s="55">
        <v>44142</v>
      </c>
      <c r="C9" s="54" t="s">
        <v>1624</v>
      </c>
      <c r="D9" s="54"/>
      <c r="E9" t="s">
        <v>1625</v>
      </c>
    </row>
    <row r="10" spans="1:19" x14ac:dyDescent="0.25">
      <c r="A10">
        <v>583200079</v>
      </c>
      <c r="B10" s="56" t="s">
        <v>1639</v>
      </c>
      <c r="C10" s="54" t="s">
        <v>688</v>
      </c>
      <c r="D10" s="54"/>
      <c r="E10" t="s">
        <v>1625</v>
      </c>
    </row>
    <row r="11" spans="1:19" x14ac:dyDescent="0.25">
      <c r="A11">
        <v>543200355</v>
      </c>
      <c r="B11" s="55" t="s">
        <v>1649</v>
      </c>
      <c r="C11" s="54" t="s">
        <v>1650</v>
      </c>
      <c r="D11" s="54"/>
      <c r="E11" t="s">
        <v>1625</v>
      </c>
    </row>
    <row r="12" spans="1:19" x14ac:dyDescent="0.25">
      <c r="A12">
        <v>543200354</v>
      </c>
      <c r="B12" s="55" t="s">
        <v>1642</v>
      </c>
      <c r="C12" t="s">
        <v>1643</v>
      </c>
      <c r="E12" t="s">
        <v>1625</v>
      </c>
    </row>
    <row r="13" spans="1:19" x14ac:dyDescent="0.25">
      <c r="A13">
        <v>503200146</v>
      </c>
      <c r="B13" s="55">
        <v>600</v>
      </c>
      <c r="C13" s="54" t="s">
        <v>1629</v>
      </c>
      <c r="D13" s="54"/>
      <c r="E13" t="s">
        <v>1625</v>
      </c>
    </row>
    <row r="14" spans="1:19" x14ac:dyDescent="0.25">
      <c r="A14">
        <v>483200243</v>
      </c>
      <c r="B14" s="55" t="s">
        <v>1678</v>
      </c>
      <c r="C14" t="s">
        <v>1679</v>
      </c>
      <c r="E14" t="s">
        <v>1625</v>
      </c>
    </row>
    <row r="15" spans="1:19" x14ac:dyDescent="0.25">
      <c r="A15">
        <v>483200242</v>
      </c>
      <c r="B15" s="55">
        <v>58762</v>
      </c>
      <c r="C15" t="s">
        <v>1653</v>
      </c>
      <c r="E15" t="s">
        <v>1625</v>
      </c>
    </row>
    <row r="16" spans="1:19" x14ac:dyDescent="0.25">
      <c r="A16">
        <v>463200228</v>
      </c>
      <c r="B16" s="55" t="s">
        <v>1665</v>
      </c>
      <c r="C16" t="s">
        <v>1666</v>
      </c>
      <c r="E16" t="s">
        <v>1625</v>
      </c>
    </row>
    <row r="17" spans="1:5" x14ac:dyDescent="0.25">
      <c r="A17">
        <v>463200227</v>
      </c>
      <c r="B17" s="55">
        <v>39103</v>
      </c>
      <c r="C17" s="54" t="s">
        <v>1658</v>
      </c>
      <c r="D17" s="54"/>
      <c r="E17" t="s">
        <v>1625</v>
      </c>
    </row>
    <row r="18" spans="1:5" x14ac:dyDescent="0.25">
      <c r="A18">
        <v>463200226</v>
      </c>
      <c r="B18" s="55" t="s">
        <v>1659</v>
      </c>
      <c r="C18" s="54" t="s">
        <v>1660</v>
      </c>
      <c r="D18" s="54"/>
      <c r="E18" t="s">
        <v>76</v>
      </c>
    </row>
    <row r="19" spans="1:5" x14ac:dyDescent="0.25">
      <c r="A19">
        <v>463200226</v>
      </c>
      <c r="B19" s="55" t="s">
        <v>1684</v>
      </c>
      <c r="C19" s="54" t="s">
        <v>1685</v>
      </c>
      <c r="D19" s="54"/>
      <c r="E19" t="s">
        <v>76</v>
      </c>
    </row>
    <row r="20" spans="1:5" x14ac:dyDescent="0.25">
      <c r="A20">
        <v>463200225</v>
      </c>
      <c r="B20" s="56" t="s">
        <v>1639</v>
      </c>
      <c r="C20" t="s">
        <v>688</v>
      </c>
      <c r="E20" t="s">
        <v>1625</v>
      </c>
    </row>
    <row r="21" spans="1:5" x14ac:dyDescent="0.25">
      <c r="A21">
        <v>463200225</v>
      </c>
      <c r="B21" s="55">
        <v>38932</v>
      </c>
      <c r="C21" t="s">
        <v>1640</v>
      </c>
      <c r="E21" t="s">
        <v>1625</v>
      </c>
    </row>
    <row r="22" spans="1:5" x14ac:dyDescent="0.25">
      <c r="A22">
        <v>463200224</v>
      </c>
      <c r="B22" s="55" t="s">
        <v>1649</v>
      </c>
      <c r="C22" t="s">
        <v>1650</v>
      </c>
      <c r="E22" t="s">
        <v>1625</v>
      </c>
    </row>
    <row r="23" spans="1:5" x14ac:dyDescent="0.25">
      <c r="A23">
        <v>463200224</v>
      </c>
      <c r="B23" s="55" t="s">
        <v>1642</v>
      </c>
      <c r="C23" t="s">
        <v>1643</v>
      </c>
      <c r="E23" t="s">
        <v>1625</v>
      </c>
    </row>
    <row r="24" spans="1:5" x14ac:dyDescent="0.25">
      <c r="A24">
        <v>443203441</v>
      </c>
      <c r="B24" s="55">
        <v>38932</v>
      </c>
      <c r="C24" s="54" t="s">
        <v>1640</v>
      </c>
      <c r="D24" s="54"/>
      <c r="E24" t="s">
        <v>76</v>
      </c>
    </row>
    <row r="25" spans="1:5" x14ac:dyDescent="0.25">
      <c r="A25">
        <v>443203440</v>
      </c>
      <c r="B25" s="56" t="s">
        <v>1639</v>
      </c>
      <c r="C25" s="54" t="s">
        <v>688</v>
      </c>
      <c r="D25" s="54"/>
      <c r="E25" t="s">
        <v>1625</v>
      </c>
    </row>
    <row r="26" spans="1:5" x14ac:dyDescent="0.25">
      <c r="A26">
        <v>443203440</v>
      </c>
      <c r="B26" s="55">
        <v>44259</v>
      </c>
      <c r="C26" s="54" t="s">
        <v>1641</v>
      </c>
      <c r="D26" s="54"/>
      <c r="E26" t="s">
        <v>1625</v>
      </c>
    </row>
    <row r="27" spans="1:5" x14ac:dyDescent="0.25">
      <c r="A27">
        <v>443203439</v>
      </c>
      <c r="B27" s="55" t="s">
        <v>1649</v>
      </c>
      <c r="C27" t="s">
        <v>1650</v>
      </c>
      <c r="E27" t="s">
        <v>1625</v>
      </c>
    </row>
    <row r="28" spans="1:5" x14ac:dyDescent="0.25">
      <c r="A28">
        <v>443203438</v>
      </c>
      <c r="B28" s="55" t="s">
        <v>1644</v>
      </c>
      <c r="C28" s="54" t="s">
        <v>1645</v>
      </c>
      <c r="D28" s="54"/>
      <c r="E28" t="s">
        <v>1625</v>
      </c>
    </row>
    <row r="29" spans="1:5" x14ac:dyDescent="0.25">
      <c r="A29">
        <v>443203438</v>
      </c>
      <c r="B29" s="55" t="s">
        <v>1654</v>
      </c>
      <c r="C29" s="54" t="s">
        <v>1655</v>
      </c>
      <c r="D29" s="54"/>
      <c r="E29" t="s">
        <v>1625</v>
      </c>
    </row>
    <row r="30" spans="1:5" x14ac:dyDescent="0.25">
      <c r="A30">
        <v>443203437</v>
      </c>
      <c r="B30" s="55">
        <v>58529</v>
      </c>
      <c r="C30" s="54" t="s">
        <v>1622</v>
      </c>
      <c r="D30" s="54"/>
      <c r="E30" t="s">
        <v>1625</v>
      </c>
    </row>
    <row r="31" spans="1:5" x14ac:dyDescent="0.25">
      <c r="A31">
        <v>443203436</v>
      </c>
      <c r="B31" s="55">
        <v>58529</v>
      </c>
      <c r="C31" t="s">
        <v>1622</v>
      </c>
      <c r="E31" t="s">
        <v>1625</v>
      </c>
    </row>
    <row r="32" spans="1:5" x14ac:dyDescent="0.25">
      <c r="A32">
        <v>443203434</v>
      </c>
      <c r="B32" s="55">
        <v>39103</v>
      </c>
      <c r="C32" s="54" t="s">
        <v>1658</v>
      </c>
      <c r="D32" s="54"/>
      <c r="E32" t="s">
        <v>1625</v>
      </c>
    </row>
    <row r="33" spans="1:5" x14ac:dyDescent="0.25">
      <c r="A33">
        <v>443203433</v>
      </c>
      <c r="B33" s="55">
        <v>43759</v>
      </c>
      <c r="C33" t="s">
        <v>1646</v>
      </c>
      <c r="E33" t="s">
        <v>1625</v>
      </c>
    </row>
    <row r="34" spans="1:5" x14ac:dyDescent="0.25">
      <c r="A34">
        <v>443203432</v>
      </c>
      <c r="B34" s="55" t="s">
        <v>1642</v>
      </c>
      <c r="C34" t="s">
        <v>1643</v>
      </c>
      <c r="E34" t="s">
        <v>1625</v>
      </c>
    </row>
    <row r="35" spans="1:5" x14ac:dyDescent="0.25">
      <c r="A35">
        <v>443203431</v>
      </c>
      <c r="B35" s="55" t="s">
        <v>1684</v>
      </c>
      <c r="C35" t="s">
        <v>1685</v>
      </c>
      <c r="E35" t="s">
        <v>76</v>
      </c>
    </row>
    <row r="36" spans="1:5" x14ac:dyDescent="0.25">
      <c r="A36">
        <v>443203430</v>
      </c>
      <c r="B36" s="55">
        <v>48359</v>
      </c>
      <c r="C36" t="s">
        <v>1648</v>
      </c>
      <c r="E36" t="s">
        <v>1625</v>
      </c>
    </row>
    <row r="37" spans="1:5" x14ac:dyDescent="0.25">
      <c r="A37">
        <v>443203430</v>
      </c>
      <c r="B37" s="56" t="s">
        <v>1639</v>
      </c>
      <c r="C37" t="s">
        <v>688</v>
      </c>
      <c r="E37" t="s">
        <v>1625</v>
      </c>
    </row>
    <row r="38" spans="1:5" x14ac:dyDescent="0.25">
      <c r="A38">
        <v>443203429</v>
      </c>
      <c r="B38" s="55" t="s">
        <v>1686</v>
      </c>
      <c r="C38" t="s">
        <v>1687</v>
      </c>
      <c r="E38" t="s">
        <v>1625</v>
      </c>
    </row>
    <row r="39" spans="1:5" x14ac:dyDescent="0.25">
      <c r="A39">
        <v>443203428</v>
      </c>
      <c r="B39" s="55" t="s">
        <v>1665</v>
      </c>
      <c r="C39" t="s">
        <v>1666</v>
      </c>
      <c r="E39" t="s">
        <v>1625</v>
      </c>
    </row>
    <row r="40" spans="1:5" x14ac:dyDescent="0.25">
      <c r="A40">
        <v>443203427</v>
      </c>
      <c r="B40" s="55">
        <v>48363</v>
      </c>
      <c r="C40" s="54" t="s">
        <v>1652</v>
      </c>
      <c r="D40" s="54"/>
      <c r="E40" t="s">
        <v>1625</v>
      </c>
    </row>
    <row r="41" spans="1:5" x14ac:dyDescent="0.25">
      <c r="A41">
        <v>443203426</v>
      </c>
      <c r="B41" s="55">
        <v>53693</v>
      </c>
      <c r="C41" s="54" t="s">
        <v>1656</v>
      </c>
      <c r="D41" s="54"/>
      <c r="E41" t="s">
        <v>1625</v>
      </c>
    </row>
    <row r="42" spans="1:5" x14ac:dyDescent="0.25">
      <c r="A42">
        <v>443203426</v>
      </c>
      <c r="B42" s="55">
        <v>48363</v>
      </c>
      <c r="C42" s="54" t="s">
        <v>1652</v>
      </c>
      <c r="D42" s="54"/>
      <c r="E42" t="s">
        <v>1625</v>
      </c>
    </row>
    <row r="43" spans="1:5" x14ac:dyDescent="0.25">
      <c r="A43">
        <v>443203425</v>
      </c>
      <c r="B43" s="55">
        <v>44259</v>
      </c>
      <c r="C43" s="54" t="s">
        <v>1641</v>
      </c>
      <c r="D43" s="54"/>
      <c r="E43" t="s">
        <v>1625</v>
      </c>
    </row>
    <row r="44" spans="1:5" x14ac:dyDescent="0.25">
      <c r="A44">
        <v>443203425</v>
      </c>
      <c r="B44" s="56" t="s">
        <v>1639</v>
      </c>
      <c r="C44" s="54" t="s">
        <v>688</v>
      </c>
      <c r="D44" s="54"/>
      <c r="E44" t="s">
        <v>1625</v>
      </c>
    </row>
    <row r="45" spans="1:5" x14ac:dyDescent="0.25">
      <c r="A45">
        <v>443203424</v>
      </c>
      <c r="B45" s="55" t="s">
        <v>1696</v>
      </c>
      <c r="C45" t="s">
        <v>1697</v>
      </c>
      <c r="E45" t="s">
        <v>1625</v>
      </c>
    </row>
    <row r="46" spans="1:5" x14ac:dyDescent="0.25">
      <c r="A46">
        <v>443203424</v>
      </c>
      <c r="B46" s="55" t="s">
        <v>1710</v>
      </c>
      <c r="C46" t="s">
        <v>1711</v>
      </c>
      <c r="E46" t="s">
        <v>1625</v>
      </c>
    </row>
    <row r="47" spans="1:5" x14ac:dyDescent="0.25">
      <c r="A47">
        <v>443203423</v>
      </c>
      <c r="B47" s="56" t="s">
        <v>1639</v>
      </c>
      <c r="C47" s="54" t="s">
        <v>688</v>
      </c>
      <c r="D47" s="54"/>
      <c r="E47" t="s">
        <v>1625</v>
      </c>
    </row>
    <row r="48" spans="1:5" x14ac:dyDescent="0.25">
      <c r="A48">
        <v>443203422</v>
      </c>
      <c r="B48" s="56" t="s">
        <v>1639</v>
      </c>
      <c r="C48" t="s">
        <v>688</v>
      </c>
      <c r="E48" t="s">
        <v>1625</v>
      </c>
    </row>
    <row r="49" spans="1:5" x14ac:dyDescent="0.25">
      <c r="A49">
        <v>443203421</v>
      </c>
      <c r="B49" s="55" t="s">
        <v>1642</v>
      </c>
      <c r="C49" t="s">
        <v>1643</v>
      </c>
      <c r="E49" t="s">
        <v>1625</v>
      </c>
    </row>
    <row r="50" spans="1:5" x14ac:dyDescent="0.25">
      <c r="A50">
        <v>443203421</v>
      </c>
      <c r="B50" s="55" t="s">
        <v>1669</v>
      </c>
      <c r="C50" t="s">
        <v>1670</v>
      </c>
      <c r="E50" t="s">
        <v>1625</v>
      </c>
    </row>
    <row r="51" spans="1:5" x14ac:dyDescent="0.25">
      <c r="A51">
        <v>443203420</v>
      </c>
      <c r="B51" s="56" t="s">
        <v>1639</v>
      </c>
      <c r="C51" s="54" t="s">
        <v>688</v>
      </c>
      <c r="D51" s="54"/>
      <c r="E51" t="s">
        <v>1625</v>
      </c>
    </row>
    <row r="52" spans="1:5" x14ac:dyDescent="0.25">
      <c r="A52">
        <v>443203420</v>
      </c>
      <c r="B52" s="55">
        <v>38932</v>
      </c>
      <c r="C52" s="54" t="s">
        <v>1640</v>
      </c>
      <c r="D52" s="54"/>
      <c r="E52" t="s">
        <v>1625</v>
      </c>
    </row>
    <row r="53" spans="1:5" x14ac:dyDescent="0.25">
      <c r="A53">
        <v>443203420</v>
      </c>
      <c r="B53" s="55">
        <v>44259</v>
      </c>
      <c r="C53" s="54" t="s">
        <v>1641</v>
      </c>
      <c r="D53" s="54"/>
      <c r="E53" t="s">
        <v>1625</v>
      </c>
    </row>
    <row r="54" spans="1:5" x14ac:dyDescent="0.25">
      <c r="A54">
        <v>443203419</v>
      </c>
      <c r="B54" s="56" t="s">
        <v>1639</v>
      </c>
      <c r="C54" s="54" t="s">
        <v>688</v>
      </c>
      <c r="D54" s="54"/>
      <c r="E54" t="s">
        <v>1625</v>
      </c>
    </row>
    <row r="55" spans="1:5" x14ac:dyDescent="0.25">
      <c r="A55">
        <v>443203419</v>
      </c>
      <c r="B55" s="55">
        <v>48359</v>
      </c>
      <c r="C55" s="54" t="s">
        <v>1648</v>
      </c>
      <c r="D55" s="54"/>
      <c r="E55" t="s">
        <v>1625</v>
      </c>
    </row>
    <row r="56" spans="1:5" x14ac:dyDescent="0.25">
      <c r="A56">
        <v>443203419</v>
      </c>
      <c r="B56" s="55">
        <v>44259</v>
      </c>
      <c r="C56" s="54" t="s">
        <v>1641</v>
      </c>
      <c r="D56" s="54"/>
      <c r="E56" t="s">
        <v>1625</v>
      </c>
    </row>
    <row r="57" spans="1:5" x14ac:dyDescent="0.25">
      <c r="A57">
        <v>443203418</v>
      </c>
      <c r="B57" s="55" t="s">
        <v>1649</v>
      </c>
      <c r="C57" s="54" t="s">
        <v>1650</v>
      </c>
      <c r="D57" s="54"/>
      <c r="E57" t="s">
        <v>1625</v>
      </c>
    </row>
    <row r="58" spans="1:5" x14ac:dyDescent="0.25">
      <c r="A58">
        <v>443203418</v>
      </c>
      <c r="B58" s="55" t="s">
        <v>1642</v>
      </c>
      <c r="C58" s="54" t="s">
        <v>1643</v>
      </c>
      <c r="D58" s="54"/>
      <c r="E58" t="s">
        <v>1625</v>
      </c>
    </row>
    <row r="59" spans="1:5" x14ac:dyDescent="0.25">
      <c r="A59">
        <v>443203417</v>
      </c>
      <c r="B59" s="55">
        <v>44142</v>
      </c>
      <c r="C59" t="s">
        <v>1624</v>
      </c>
      <c r="E59" t="s">
        <v>76</v>
      </c>
    </row>
    <row r="60" spans="1:5" x14ac:dyDescent="0.25">
      <c r="A60">
        <v>443203417</v>
      </c>
      <c r="B60" s="56" t="s">
        <v>1639</v>
      </c>
      <c r="C60" t="s">
        <v>688</v>
      </c>
      <c r="E60" t="s">
        <v>76</v>
      </c>
    </row>
    <row r="61" spans="1:5" x14ac:dyDescent="0.25">
      <c r="A61">
        <v>443203416</v>
      </c>
      <c r="B61" s="55">
        <v>58762</v>
      </c>
      <c r="C61" t="s">
        <v>1653</v>
      </c>
      <c r="E61" t="s">
        <v>1625</v>
      </c>
    </row>
    <row r="62" spans="1:5" x14ac:dyDescent="0.25">
      <c r="A62">
        <v>443203415</v>
      </c>
      <c r="B62" s="55">
        <v>58762</v>
      </c>
      <c r="C62" t="s">
        <v>1653</v>
      </c>
      <c r="E62" t="s">
        <v>1625</v>
      </c>
    </row>
    <row r="63" spans="1:5" x14ac:dyDescent="0.25">
      <c r="A63">
        <v>443203414</v>
      </c>
      <c r="B63" s="55" t="s">
        <v>1669</v>
      </c>
      <c r="C63" t="s">
        <v>1670</v>
      </c>
      <c r="E63" t="s">
        <v>1625</v>
      </c>
    </row>
    <row r="64" spans="1:5" x14ac:dyDescent="0.25">
      <c r="A64">
        <v>443203413</v>
      </c>
      <c r="B64" s="55" t="s">
        <v>1680</v>
      </c>
      <c r="C64" t="s">
        <v>1681</v>
      </c>
      <c r="E64" t="s">
        <v>1625</v>
      </c>
    </row>
    <row r="65" spans="1:5" x14ac:dyDescent="0.25">
      <c r="A65">
        <v>443203412</v>
      </c>
      <c r="B65" s="55">
        <v>48362</v>
      </c>
      <c r="C65" s="54" t="s">
        <v>1647</v>
      </c>
      <c r="D65" s="54"/>
      <c r="E65" t="s">
        <v>1625</v>
      </c>
    </row>
    <row r="66" spans="1:5" x14ac:dyDescent="0.25">
      <c r="A66">
        <v>443203412</v>
      </c>
      <c r="B66" s="55">
        <v>58529</v>
      </c>
      <c r="C66" s="54" t="s">
        <v>1622</v>
      </c>
      <c r="D66" s="54"/>
      <c r="E66" t="s">
        <v>1625</v>
      </c>
    </row>
    <row r="67" spans="1:5" x14ac:dyDescent="0.25">
      <c r="A67">
        <v>423200306</v>
      </c>
      <c r="B67" s="56" t="s">
        <v>1639</v>
      </c>
      <c r="C67" s="54" t="s">
        <v>688</v>
      </c>
      <c r="D67" s="54"/>
      <c r="E67" t="s">
        <v>1625</v>
      </c>
    </row>
    <row r="68" spans="1:5" x14ac:dyDescent="0.25">
      <c r="A68">
        <v>423200306</v>
      </c>
      <c r="B68" s="55">
        <v>53693</v>
      </c>
      <c r="C68" s="54" t="s">
        <v>1656</v>
      </c>
      <c r="D68" s="54"/>
      <c r="E68" t="s">
        <v>1625</v>
      </c>
    </row>
    <row r="69" spans="1:5" x14ac:dyDescent="0.25">
      <c r="A69">
        <v>423200305</v>
      </c>
      <c r="B69" s="55" t="s">
        <v>1665</v>
      </c>
      <c r="C69" s="54" t="s">
        <v>1666</v>
      </c>
      <c r="D69" s="54"/>
      <c r="E69" t="s">
        <v>1625</v>
      </c>
    </row>
    <row r="70" spans="1:5" x14ac:dyDescent="0.25">
      <c r="A70">
        <v>413200622</v>
      </c>
      <c r="B70" s="55" t="s">
        <v>1662</v>
      </c>
      <c r="C70" s="54" t="s">
        <v>1663</v>
      </c>
      <c r="D70" s="54"/>
      <c r="E70" t="s">
        <v>1623</v>
      </c>
    </row>
    <row r="71" spans="1:5" x14ac:dyDescent="0.25">
      <c r="A71">
        <v>413200621</v>
      </c>
      <c r="B71" s="55">
        <v>58529</v>
      </c>
      <c r="C71" s="54" t="s">
        <v>1622</v>
      </c>
      <c r="D71" s="54"/>
      <c r="E71" t="s">
        <v>1623</v>
      </c>
    </row>
    <row r="72" spans="1:5" x14ac:dyDescent="0.25">
      <c r="A72">
        <v>413200620</v>
      </c>
      <c r="B72" s="56" t="s">
        <v>1639</v>
      </c>
      <c r="C72" t="s">
        <v>688</v>
      </c>
      <c r="E72" t="s">
        <v>1623</v>
      </c>
    </row>
    <row r="73" spans="1:5" x14ac:dyDescent="0.25">
      <c r="A73">
        <v>413200620</v>
      </c>
      <c r="B73" s="55">
        <v>39105</v>
      </c>
      <c r="C73" t="s">
        <v>1651</v>
      </c>
      <c r="E73" t="s">
        <v>1623</v>
      </c>
    </row>
    <row r="74" spans="1:5" x14ac:dyDescent="0.25">
      <c r="A74">
        <v>413200619</v>
      </c>
      <c r="B74" s="55">
        <v>48362</v>
      </c>
      <c r="C74" s="54" t="s">
        <v>1647</v>
      </c>
      <c r="D74" s="54"/>
      <c r="E74" t="s">
        <v>1623</v>
      </c>
    </row>
    <row r="75" spans="1:5" x14ac:dyDescent="0.25">
      <c r="A75">
        <v>413200619</v>
      </c>
      <c r="B75" s="55">
        <v>33664</v>
      </c>
      <c r="C75" s="54" t="s">
        <v>1664</v>
      </c>
      <c r="D75" s="54"/>
      <c r="E75" t="s">
        <v>1623</v>
      </c>
    </row>
    <row r="76" spans="1:5" x14ac:dyDescent="0.25">
      <c r="A76">
        <v>413200618</v>
      </c>
      <c r="B76" s="55">
        <v>63443</v>
      </c>
      <c r="C76" t="s">
        <v>1631</v>
      </c>
      <c r="E76" t="s">
        <v>1623</v>
      </c>
    </row>
    <row r="77" spans="1:5" x14ac:dyDescent="0.25">
      <c r="A77">
        <v>413200618</v>
      </c>
      <c r="B77" s="55">
        <v>58762</v>
      </c>
      <c r="C77" t="s">
        <v>1653</v>
      </c>
      <c r="E77" t="s">
        <v>1623</v>
      </c>
    </row>
    <row r="78" spans="1:5" x14ac:dyDescent="0.25">
      <c r="A78">
        <v>413200617</v>
      </c>
      <c r="B78" s="55">
        <v>58833</v>
      </c>
      <c r="C78" t="s">
        <v>1668</v>
      </c>
      <c r="E78" t="s">
        <v>1661</v>
      </c>
    </row>
    <row r="79" spans="1:5" x14ac:dyDescent="0.25">
      <c r="A79">
        <v>413200615</v>
      </c>
      <c r="B79" s="55">
        <v>33902</v>
      </c>
      <c r="C79" t="s">
        <v>1667</v>
      </c>
      <c r="E79" t="s">
        <v>1623</v>
      </c>
    </row>
    <row r="80" spans="1:5" x14ac:dyDescent="0.25">
      <c r="A80">
        <v>413200614</v>
      </c>
      <c r="B80" s="55">
        <v>63443</v>
      </c>
      <c r="C80" s="54" t="s">
        <v>1631</v>
      </c>
      <c r="D80" s="54"/>
      <c r="E80" t="s">
        <v>1623</v>
      </c>
    </row>
    <row r="81" spans="1:5" x14ac:dyDescent="0.25">
      <c r="A81">
        <v>413200613</v>
      </c>
      <c r="B81" s="55">
        <v>38932</v>
      </c>
      <c r="C81" s="54" t="s">
        <v>1640</v>
      </c>
      <c r="D81" s="54"/>
      <c r="E81" t="s">
        <v>1623</v>
      </c>
    </row>
    <row r="82" spans="1:5" x14ac:dyDescent="0.25">
      <c r="A82">
        <v>413200612</v>
      </c>
      <c r="B82" s="55">
        <v>58833</v>
      </c>
      <c r="C82" t="s">
        <v>1668</v>
      </c>
      <c r="E82" t="s">
        <v>1623</v>
      </c>
    </row>
    <row r="83" spans="1:5" x14ac:dyDescent="0.25">
      <c r="A83">
        <v>413200612</v>
      </c>
      <c r="B83" s="56" t="s">
        <v>1639</v>
      </c>
      <c r="C83" t="s">
        <v>688</v>
      </c>
      <c r="E83" t="s">
        <v>1623</v>
      </c>
    </row>
    <row r="84" spans="1:5" x14ac:dyDescent="0.25">
      <c r="A84">
        <v>413200611</v>
      </c>
      <c r="B84" s="55" t="s">
        <v>1672</v>
      </c>
      <c r="C84" s="54" t="s">
        <v>1673</v>
      </c>
      <c r="D84" s="54"/>
      <c r="E84" t="s">
        <v>1623</v>
      </c>
    </row>
    <row r="85" spans="1:5" x14ac:dyDescent="0.25">
      <c r="A85">
        <v>413200610</v>
      </c>
      <c r="B85" s="55">
        <v>38932</v>
      </c>
      <c r="C85" s="54" t="s">
        <v>1640</v>
      </c>
      <c r="D85" s="54"/>
      <c r="E85" t="s">
        <v>1623</v>
      </c>
    </row>
    <row r="86" spans="1:5" x14ac:dyDescent="0.25">
      <c r="A86">
        <v>413200610</v>
      </c>
      <c r="B86" s="56" t="s">
        <v>1639</v>
      </c>
      <c r="C86" s="54" t="s">
        <v>688</v>
      </c>
      <c r="D86" s="54"/>
      <c r="E86" t="s">
        <v>1623</v>
      </c>
    </row>
    <row r="87" spans="1:5" x14ac:dyDescent="0.25">
      <c r="A87">
        <v>413200609</v>
      </c>
      <c r="B87" s="55">
        <v>33664</v>
      </c>
      <c r="C87" s="54" t="s">
        <v>1664</v>
      </c>
      <c r="D87" s="54"/>
      <c r="E87" t="s">
        <v>1623</v>
      </c>
    </row>
    <row r="88" spans="1:5" x14ac:dyDescent="0.25">
      <c r="A88">
        <v>413200608</v>
      </c>
      <c r="B88" s="55">
        <v>48362</v>
      </c>
      <c r="C88" t="s">
        <v>1647</v>
      </c>
      <c r="E88" t="s">
        <v>1623</v>
      </c>
    </row>
    <row r="89" spans="1:5" x14ac:dyDescent="0.25">
      <c r="A89">
        <v>413200608</v>
      </c>
      <c r="B89" s="55">
        <v>33664</v>
      </c>
      <c r="C89" t="s">
        <v>1664</v>
      </c>
      <c r="E89" t="s">
        <v>1623</v>
      </c>
    </row>
    <row r="90" spans="1:5" x14ac:dyDescent="0.25">
      <c r="A90">
        <v>413200607</v>
      </c>
      <c r="B90" s="56" t="s">
        <v>1639</v>
      </c>
      <c r="C90" t="s">
        <v>688</v>
      </c>
      <c r="E90" t="s">
        <v>1623</v>
      </c>
    </row>
    <row r="91" spans="1:5" x14ac:dyDescent="0.25">
      <c r="A91">
        <v>413200607</v>
      </c>
      <c r="B91" s="55">
        <v>63233</v>
      </c>
      <c r="C91" t="s">
        <v>1632</v>
      </c>
      <c r="E91" t="s">
        <v>1623</v>
      </c>
    </row>
    <row r="92" spans="1:5" x14ac:dyDescent="0.25">
      <c r="A92">
        <v>413200606</v>
      </c>
      <c r="B92" s="55">
        <v>58762</v>
      </c>
      <c r="C92" t="s">
        <v>1653</v>
      </c>
      <c r="E92" t="s">
        <v>1623</v>
      </c>
    </row>
    <row r="93" spans="1:5" x14ac:dyDescent="0.25">
      <c r="A93">
        <v>413200606</v>
      </c>
      <c r="B93" s="55">
        <v>63443</v>
      </c>
      <c r="C93" t="s">
        <v>1631</v>
      </c>
      <c r="E93" t="s">
        <v>1623</v>
      </c>
    </row>
    <row r="94" spans="1:5" x14ac:dyDescent="0.25">
      <c r="A94">
        <v>413200605</v>
      </c>
      <c r="B94" s="55">
        <v>63233</v>
      </c>
      <c r="C94" s="54" t="s">
        <v>1632</v>
      </c>
      <c r="D94" s="54"/>
      <c r="E94" t="s">
        <v>1623</v>
      </c>
    </row>
    <row r="95" spans="1:5" x14ac:dyDescent="0.25">
      <c r="A95">
        <v>413200605</v>
      </c>
      <c r="B95" s="55">
        <v>58762</v>
      </c>
      <c r="C95" s="54" t="s">
        <v>1653</v>
      </c>
      <c r="D95" s="54"/>
      <c r="E95" t="s">
        <v>1623</v>
      </c>
    </row>
    <row r="96" spans="1:5" x14ac:dyDescent="0.25">
      <c r="A96">
        <v>413200605</v>
      </c>
      <c r="B96" s="55">
        <v>33664</v>
      </c>
      <c r="C96" s="54" t="s">
        <v>1664</v>
      </c>
      <c r="D96" s="54"/>
      <c r="E96" t="s">
        <v>1623</v>
      </c>
    </row>
    <row r="97" spans="1:5" x14ac:dyDescent="0.25">
      <c r="A97">
        <v>413200605</v>
      </c>
      <c r="B97" s="55">
        <v>48362</v>
      </c>
      <c r="C97" s="54" t="s">
        <v>1647</v>
      </c>
      <c r="D97" s="54"/>
      <c r="E97" t="s">
        <v>1623</v>
      </c>
    </row>
    <row r="98" spans="1:5" x14ac:dyDescent="0.25">
      <c r="A98">
        <v>413200604</v>
      </c>
      <c r="B98" s="56" t="s">
        <v>1639</v>
      </c>
      <c r="C98" t="s">
        <v>688</v>
      </c>
      <c r="E98" t="s">
        <v>1623</v>
      </c>
    </row>
    <row r="99" spans="1:5" x14ac:dyDescent="0.25">
      <c r="A99">
        <v>413200604</v>
      </c>
      <c r="B99" s="55">
        <v>39105</v>
      </c>
      <c r="C99" t="s">
        <v>1651</v>
      </c>
      <c r="E99" t="s">
        <v>1623</v>
      </c>
    </row>
    <row r="100" spans="1:5" x14ac:dyDescent="0.25">
      <c r="A100">
        <v>413200604</v>
      </c>
      <c r="B100" s="55">
        <v>58529</v>
      </c>
      <c r="C100" t="s">
        <v>1622</v>
      </c>
      <c r="E100" t="s">
        <v>1623</v>
      </c>
    </row>
    <row r="101" spans="1:5" x14ac:dyDescent="0.25">
      <c r="A101">
        <v>413200603</v>
      </c>
      <c r="B101" s="55">
        <v>63233</v>
      </c>
      <c r="C101" t="s">
        <v>1632</v>
      </c>
      <c r="E101" t="s">
        <v>1623</v>
      </c>
    </row>
    <row r="102" spans="1:5" x14ac:dyDescent="0.25">
      <c r="A102">
        <v>413200603</v>
      </c>
      <c r="B102" s="55">
        <v>58529</v>
      </c>
      <c r="C102" t="s">
        <v>1622</v>
      </c>
      <c r="E102" t="s">
        <v>1623</v>
      </c>
    </row>
    <row r="103" spans="1:5" x14ac:dyDescent="0.25">
      <c r="A103">
        <v>413200603</v>
      </c>
      <c r="B103" s="56" t="s">
        <v>1639</v>
      </c>
      <c r="C103" t="s">
        <v>688</v>
      </c>
      <c r="E103" t="s">
        <v>1623</v>
      </c>
    </row>
    <row r="104" spans="1:5" x14ac:dyDescent="0.25">
      <c r="A104">
        <v>413200602</v>
      </c>
      <c r="B104" s="55">
        <v>33664</v>
      </c>
      <c r="C104" t="s">
        <v>1664</v>
      </c>
      <c r="E104" t="s">
        <v>1623</v>
      </c>
    </row>
    <row r="105" spans="1:5" x14ac:dyDescent="0.25">
      <c r="A105">
        <v>413200602</v>
      </c>
      <c r="B105" s="56" t="s">
        <v>1639</v>
      </c>
      <c r="C105" t="s">
        <v>688</v>
      </c>
      <c r="E105" t="s">
        <v>1623</v>
      </c>
    </row>
    <row r="106" spans="1:5" x14ac:dyDescent="0.25">
      <c r="A106">
        <v>413200602</v>
      </c>
      <c r="B106" s="55">
        <v>48362</v>
      </c>
      <c r="C106" t="s">
        <v>1647</v>
      </c>
      <c r="E106" t="s">
        <v>1623</v>
      </c>
    </row>
    <row r="107" spans="1:5" x14ac:dyDescent="0.25">
      <c r="A107">
        <v>413200602</v>
      </c>
      <c r="B107" s="55">
        <v>58833</v>
      </c>
      <c r="C107" t="s">
        <v>1668</v>
      </c>
      <c r="E107" t="s">
        <v>1623</v>
      </c>
    </row>
    <row r="108" spans="1:5" x14ac:dyDescent="0.25">
      <c r="A108">
        <v>403200605</v>
      </c>
      <c r="B108" s="55">
        <v>39103</v>
      </c>
      <c r="C108" s="54" t="s">
        <v>1658</v>
      </c>
      <c r="D108" s="54"/>
      <c r="E108" t="s">
        <v>1625</v>
      </c>
    </row>
    <row r="109" spans="1:5" x14ac:dyDescent="0.25">
      <c r="A109">
        <v>403200605</v>
      </c>
      <c r="B109" s="55">
        <v>58762</v>
      </c>
      <c r="C109" s="54" t="s">
        <v>1653</v>
      </c>
      <c r="D109" s="54"/>
      <c r="E109" t="s">
        <v>1625</v>
      </c>
    </row>
    <row r="110" spans="1:5" x14ac:dyDescent="0.25">
      <c r="A110">
        <v>403200604</v>
      </c>
      <c r="B110" s="55">
        <v>58833</v>
      </c>
      <c r="C110" s="54" t="s">
        <v>1668</v>
      </c>
      <c r="D110" s="54"/>
      <c r="E110" t="s">
        <v>1625</v>
      </c>
    </row>
    <row r="111" spans="1:5" x14ac:dyDescent="0.25">
      <c r="A111">
        <v>403200604</v>
      </c>
      <c r="B111" s="55">
        <v>43759</v>
      </c>
      <c r="C111" s="54" t="s">
        <v>1646</v>
      </c>
      <c r="D111" s="54"/>
      <c r="E111" t="s">
        <v>1625</v>
      </c>
    </row>
    <row r="112" spans="1:5" x14ac:dyDescent="0.25">
      <c r="A112">
        <v>403200603</v>
      </c>
      <c r="B112" s="55">
        <v>38932</v>
      </c>
      <c r="C112" s="54" t="s">
        <v>1640</v>
      </c>
      <c r="D112" s="54"/>
      <c r="E112" t="s">
        <v>1625</v>
      </c>
    </row>
    <row r="113" spans="1:5" x14ac:dyDescent="0.25">
      <c r="A113">
        <v>403200603</v>
      </c>
      <c r="B113" s="55">
        <v>58529</v>
      </c>
      <c r="C113" s="54" t="s">
        <v>1622</v>
      </c>
      <c r="D113" s="54"/>
      <c r="E113" t="s">
        <v>1625</v>
      </c>
    </row>
    <row r="114" spans="1:5" x14ac:dyDescent="0.25">
      <c r="A114">
        <v>403200602</v>
      </c>
      <c r="B114" s="55">
        <v>39103</v>
      </c>
      <c r="C114" t="s">
        <v>1658</v>
      </c>
      <c r="E114" t="s">
        <v>1625</v>
      </c>
    </row>
    <row r="115" spans="1:5" x14ac:dyDescent="0.25">
      <c r="A115">
        <v>403200602</v>
      </c>
      <c r="B115" s="55">
        <v>44142</v>
      </c>
      <c r="C115" t="s">
        <v>1624</v>
      </c>
      <c r="E115" t="s">
        <v>1625</v>
      </c>
    </row>
    <row r="116" spans="1:5" x14ac:dyDescent="0.25">
      <c r="A116">
        <v>403200601</v>
      </c>
      <c r="B116" s="55">
        <v>48363</v>
      </c>
      <c r="C116" t="s">
        <v>1652</v>
      </c>
      <c r="E116" t="s">
        <v>1625</v>
      </c>
    </row>
    <row r="117" spans="1:5" x14ac:dyDescent="0.25">
      <c r="A117">
        <v>403200601</v>
      </c>
      <c r="B117" s="55">
        <v>48362</v>
      </c>
      <c r="C117" t="s">
        <v>1647</v>
      </c>
      <c r="E117" t="s">
        <v>1625</v>
      </c>
    </row>
    <row r="118" spans="1:5" x14ac:dyDescent="0.25">
      <c r="A118">
        <v>403200600</v>
      </c>
      <c r="B118" s="55">
        <v>43759</v>
      </c>
      <c r="C118" s="54" t="s">
        <v>1646</v>
      </c>
      <c r="D118" s="54"/>
      <c r="E118" t="s">
        <v>1625</v>
      </c>
    </row>
    <row r="119" spans="1:5" x14ac:dyDescent="0.25">
      <c r="A119">
        <v>403200600</v>
      </c>
      <c r="B119" s="56" t="s">
        <v>1639</v>
      </c>
      <c r="C119" s="54" t="s">
        <v>688</v>
      </c>
      <c r="D119" s="54"/>
      <c r="E119" t="s">
        <v>1625</v>
      </c>
    </row>
    <row r="120" spans="1:5" x14ac:dyDescent="0.25">
      <c r="A120">
        <v>403200599</v>
      </c>
      <c r="B120" s="55">
        <v>48363</v>
      </c>
      <c r="C120" s="54" t="s">
        <v>1652</v>
      </c>
      <c r="D120" s="54"/>
      <c r="E120" t="s">
        <v>1625</v>
      </c>
    </row>
    <row r="121" spans="1:5" x14ac:dyDescent="0.25">
      <c r="A121">
        <v>403200598</v>
      </c>
      <c r="B121" s="56" t="s">
        <v>1639</v>
      </c>
      <c r="C121" t="s">
        <v>688</v>
      </c>
      <c r="E121" t="s">
        <v>1625</v>
      </c>
    </row>
    <row r="122" spans="1:5" x14ac:dyDescent="0.25">
      <c r="A122">
        <v>403200597</v>
      </c>
      <c r="B122" s="56" t="s">
        <v>1639</v>
      </c>
      <c r="C122" t="s">
        <v>688</v>
      </c>
      <c r="E122" t="s">
        <v>1625</v>
      </c>
    </row>
    <row r="123" spans="1:5" x14ac:dyDescent="0.25">
      <c r="A123">
        <v>403200596</v>
      </c>
      <c r="B123" s="55">
        <v>48363</v>
      </c>
      <c r="C123" s="54" t="s">
        <v>1652</v>
      </c>
      <c r="D123" s="54"/>
      <c r="E123" t="s">
        <v>1625</v>
      </c>
    </row>
    <row r="124" spans="1:5" x14ac:dyDescent="0.25">
      <c r="A124">
        <v>403200596</v>
      </c>
      <c r="B124" s="56" t="s">
        <v>1639</v>
      </c>
      <c r="C124" s="54" t="s">
        <v>688</v>
      </c>
      <c r="D124" s="54"/>
      <c r="E124" t="s">
        <v>1625</v>
      </c>
    </row>
    <row r="125" spans="1:5" x14ac:dyDescent="0.25">
      <c r="A125">
        <v>403200595</v>
      </c>
      <c r="B125" s="55">
        <v>38932</v>
      </c>
      <c r="C125" s="54" t="s">
        <v>1640</v>
      </c>
      <c r="D125" s="54"/>
      <c r="E125" t="s">
        <v>1625</v>
      </c>
    </row>
    <row r="126" spans="1:5" x14ac:dyDescent="0.25">
      <c r="A126">
        <v>403200595</v>
      </c>
      <c r="B126" s="55">
        <v>48362</v>
      </c>
      <c r="C126" s="54" t="s">
        <v>1647</v>
      </c>
      <c r="D126" s="54"/>
      <c r="E126" t="s">
        <v>1625</v>
      </c>
    </row>
    <row r="127" spans="1:5" x14ac:dyDescent="0.25">
      <c r="A127">
        <v>403200595</v>
      </c>
      <c r="B127" s="56" t="s">
        <v>1639</v>
      </c>
      <c r="C127" s="54" t="s">
        <v>688</v>
      </c>
      <c r="D127" s="54"/>
      <c r="E127" t="s">
        <v>1625</v>
      </c>
    </row>
    <row r="128" spans="1:5" x14ac:dyDescent="0.25">
      <c r="A128">
        <v>403200594</v>
      </c>
      <c r="B128" s="55">
        <v>58529</v>
      </c>
      <c r="C128" s="54" t="s">
        <v>1622</v>
      </c>
      <c r="D128" s="54"/>
      <c r="E128" t="s">
        <v>1625</v>
      </c>
    </row>
    <row r="129" spans="1:5" x14ac:dyDescent="0.25">
      <c r="A129">
        <v>403200594</v>
      </c>
      <c r="B129" s="56" t="s">
        <v>1639</v>
      </c>
      <c r="C129" s="54" t="s">
        <v>688</v>
      </c>
      <c r="D129" s="54"/>
      <c r="E129" t="s">
        <v>1625</v>
      </c>
    </row>
    <row r="130" spans="1:5" x14ac:dyDescent="0.25">
      <c r="A130">
        <v>403200593</v>
      </c>
      <c r="B130" s="56" t="s">
        <v>1639</v>
      </c>
      <c r="C130" t="s">
        <v>688</v>
      </c>
      <c r="E130" t="s">
        <v>1625</v>
      </c>
    </row>
    <row r="131" spans="1:5" x14ac:dyDescent="0.25">
      <c r="A131">
        <v>403200592</v>
      </c>
      <c r="B131" s="55">
        <v>58529</v>
      </c>
      <c r="C131" t="s">
        <v>1622</v>
      </c>
      <c r="E131" t="s">
        <v>1625</v>
      </c>
    </row>
    <row r="132" spans="1:5" x14ac:dyDescent="0.25">
      <c r="A132">
        <v>403200592</v>
      </c>
      <c r="B132" s="56" t="s">
        <v>1639</v>
      </c>
      <c r="C132" t="s">
        <v>688</v>
      </c>
      <c r="E132" t="s">
        <v>1625</v>
      </c>
    </row>
    <row r="133" spans="1:5" x14ac:dyDescent="0.25">
      <c r="A133">
        <v>403200591</v>
      </c>
      <c r="B133" s="55" t="s">
        <v>1706</v>
      </c>
      <c r="C133" t="s">
        <v>1707</v>
      </c>
      <c r="E133" t="s">
        <v>1625</v>
      </c>
    </row>
    <row r="134" spans="1:5" x14ac:dyDescent="0.25">
      <c r="A134">
        <v>403200590</v>
      </c>
      <c r="B134" s="55">
        <v>44142</v>
      </c>
      <c r="C134" s="54" t="s">
        <v>1624</v>
      </c>
      <c r="D134" s="54"/>
      <c r="E134" t="s">
        <v>1625</v>
      </c>
    </row>
    <row r="135" spans="1:5" x14ac:dyDescent="0.25">
      <c r="A135">
        <v>403200590</v>
      </c>
      <c r="B135" s="56" t="s">
        <v>1639</v>
      </c>
      <c r="C135" s="54" t="s">
        <v>688</v>
      </c>
      <c r="D135" s="54"/>
      <c r="E135" t="s">
        <v>1625</v>
      </c>
    </row>
    <row r="136" spans="1:5" x14ac:dyDescent="0.25">
      <c r="A136">
        <v>403200590</v>
      </c>
      <c r="B136" s="55">
        <v>58529</v>
      </c>
      <c r="C136" s="54" t="s">
        <v>1622</v>
      </c>
      <c r="D136" s="54"/>
      <c r="E136" t="s">
        <v>1625</v>
      </c>
    </row>
    <row r="137" spans="1:5" x14ac:dyDescent="0.25">
      <c r="A137">
        <v>403200590</v>
      </c>
      <c r="B137" s="55">
        <v>38932</v>
      </c>
      <c r="C137" s="54" t="s">
        <v>1640</v>
      </c>
      <c r="D137" s="54"/>
      <c r="E137" t="s">
        <v>1625</v>
      </c>
    </row>
    <row r="138" spans="1:5" x14ac:dyDescent="0.25">
      <c r="A138">
        <v>403200589</v>
      </c>
      <c r="B138" s="55" t="s">
        <v>1702</v>
      </c>
      <c r="C138" t="s">
        <v>1703</v>
      </c>
      <c r="E138" t="s">
        <v>1625</v>
      </c>
    </row>
    <row r="139" spans="1:5" x14ac:dyDescent="0.25">
      <c r="A139">
        <v>403200588</v>
      </c>
      <c r="B139" s="55" t="s">
        <v>1669</v>
      </c>
      <c r="C139" s="54" t="s">
        <v>1670</v>
      </c>
      <c r="D139" s="54"/>
      <c r="E139" t="s">
        <v>1625</v>
      </c>
    </row>
    <row r="140" spans="1:5" x14ac:dyDescent="0.25">
      <c r="A140">
        <v>403200587</v>
      </c>
      <c r="B140" s="55">
        <v>48362</v>
      </c>
      <c r="C140" s="54" t="s">
        <v>1647</v>
      </c>
      <c r="D140" s="54"/>
      <c r="E140" t="s">
        <v>1625</v>
      </c>
    </row>
    <row r="141" spans="1:5" x14ac:dyDescent="0.25">
      <c r="A141">
        <v>403200587</v>
      </c>
      <c r="B141" s="56" t="s">
        <v>1639</v>
      </c>
      <c r="C141" s="54" t="s">
        <v>688</v>
      </c>
      <c r="D141" s="54"/>
      <c r="E141" t="s">
        <v>1625</v>
      </c>
    </row>
    <row r="142" spans="1:5" x14ac:dyDescent="0.25">
      <c r="A142">
        <v>403200586</v>
      </c>
      <c r="B142" s="55">
        <v>48362</v>
      </c>
      <c r="C142" t="s">
        <v>1647</v>
      </c>
      <c r="E142" t="s">
        <v>1625</v>
      </c>
    </row>
    <row r="143" spans="1:5" x14ac:dyDescent="0.25">
      <c r="A143">
        <v>403200586</v>
      </c>
      <c r="B143" s="56" t="s">
        <v>1639</v>
      </c>
      <c r="C143" t="s">
        <v>688</v>
      </c>
      <c r="E143" t="s">
        <v>1625</v>
      </c>
    </row>
    <row r="144" spans="1:5" x14ac:dyDescent="0.25">
      <c r="A144">
        <v>403200586</v>
      </c>
      <c r="B144" s="55">
        <v>44142</v>
      </c>
      <c r="C144" t="s">
        <v>1624</v>
      </c>
      <c r="E144" t="s">
        <v>1625</v>
      </c>
    </row>
    <row r="145" spans="1:5" x14ac:dyDescent="0.25">
      <c r="A145">
        <v>403200585</v>
      </c>
      <c r="B145" s="55">
        <v>58762</v>
      </c>
      <c r="C145" t="s">
        <v>1653</v>
      </c>
      <c r="E145" t="s">
        <v>1625</v>
      </c>
    </row>
    <row r="146" spans="1:5" x14ac:dyDescent="0.25">
      <c r="A146">
        <v>403200585</v>
      </c>
      <c r="B146" s="56" t="s">
        <v>1639</v>
      </c>
      <c r="C146" t="s">
        <v>688</v>
      </c>
      <c r="E146" t="s">
        <v>1625</v>
      </c>
    </row>
    <row r="147" spans="1:5" x14ac:dyDescent="0.25">
      <c r="A147">
        <v>403200585</v>
      </c>
      <c r="B147" s="55">
        <v>44142</v>
      </c>
      <c r="C147" t="s">
        <v>1624</v>
      </c>
      <c r="E147" t="s">
        <v>1625</v>
      </c>
    </row>
    <row r="148" spans="1:5" x14ac:dyDescent="0.25">
      <c r="A148">
        <v>403200584</v>
      </c>
      <c r="B148" s="55">
        <v>44142</v>
      </c>
      <c r="C148" s="54" t="s">
        <v>1624</v>
      </c>
      <c r="D148" s="54"/>
      <c r="E148" t="s">
        <v>1625</v>
      </c>
    </row>
    <row r="149" spans="1:5" x14ac:dyDescent="0.25">
      <c r="A149">
        <v>403200584</v>
      </c>
      <c r="B149" s="55">
        <v>58529</v>
      </c>
      <c r="C149" s="54" t="s">
        <v>1622</v>
      </c>
      <c r="D149" s="54"/>
      <c r="E149" t="s">
        <v>1625</v>
      </c>
    </row>
    <row r="150" spans="1:5" x14ac:dyDescent="0.25">
      <c r="A150">
        <v>403200584</v>
      </c>
      <c r="B150" s="56" t="s">
        <v>1639</v>
      </c>
      <c r="C150" s="54" t="s">
        <v>688</v>
      </c>
      <c r="D150" s="54"/>
      <c r="E150" t="s">
        <v>1625</v>
      </c>
    </row>
    <row r="151" spans="1:5" x14ac:dyDescent="0.25">
      <c r="A151">
        <v>393200841</v>
      </c>
      <c r="B151" s="56" t="s">
        <v>1638</v>
      </c>
      <c r="C151" t="s">
        <v>41</v>
      </c>
      <c r="E151" t="s">
        <v>1623</v>
      </c>
    </row>
    <row r="152" spans="1:5" x14ac:dyDescent="0.25">
      <c r="A152">
        <v>393200841</v>
      </c>
      <c r="B152" s="56" t="s">
        <v>1639</v>
      </c>
      <c r="C152" t="s">
        <v>688</v>
      </c>
      <c r="E152" t="s">
        <v>1623</v>
      </c>
    </row>
    <row r="153" spans="1:5" x14ac:dyDescent="0.25">
      <c r="A153">
        <v>393200840</v>
      </c>
      <c r="B153" s="55" t="s">
        <v>1633</v>
      </c>
      <c r="C153" s="54" t="s">
        <v>1634</v>
      </c>
      <c r="D153" s="54"/>
      <c r="E153" t="s">
        <v>1623</v>
      </c>
    </row>
    <row r="154" spans="1:5" x14ac:dyDescent="0.25">
      <c r="A154">
        <v>383201532</v>
      </c>
      <c r="B154" s="55">
        <v>39103</v>
      </c>
      <c r="C154" t="s">
        <v>1658</v>
      </c>
      <c r="E154" t="s">
        <v>1625</v>
      </c>
    </row>
    <row r="155" spans="1:5" x14ac:dyDescent="0.25">
      <c r="A155">
        <v>383201531</v>
      </c>
      <c r="B155" s="55">
        <v>48359</v>
      </c>
      <c r="C155" s="54" t="s">
        <v>1648</v>
      </c>
      <c r="D155" s="54"/>
      <c r="E155" t="s">
        <v>1625</v>
      </c>
    </row>
    <row r="156" spans="1:5" x14ac:dyDescent="0.25">
      <c r="A156">
        <v>383201531</v>
      </c>
      <c r="B156" s="56" t="s">
        <v>1639</v>
      </c>
      <c r="C156" s="54" t="s">
        <v>688</v>
      </c>
      <c r="D156" s="54"/>
      <c r="E156" t="s">
        <v>1625</v>
      </c>
    </row>
    <row r="157" spans="1:5" x14ac:dyDescent="0.25">
      <c r="A157">
        <v>383201531</v>
      </c>
      <c r="B157" s="55">
        <v>38932</v>
      </c>
      <c r="C157" s="54" t="s">
        <v>1640</v>
      </c>
      <c r="D157" s="54"/>
      <c r="E157" t="s">
        <v>1625</v>
      </c>
    </row>
    <row r="158" spans="1:5" x14ac:dyDescent="0.25">
      <c r="A158">
        <v>383201530</v>
      </c>
      <c r="B158" s="55">
        <v>44259</v>
      </c>
      <c r="C158" t="s">
        <v>1641</v>
      </c>
      <c r="E158" t="s">
        <v>1625</v>
      </c>
    </row>
    <row r="159" spans="1:5" x14ac:dyDescent="0.25">
      <c r="A159">
        <v>383201530</v>
      </c>
      <c r="B159" s="56" t="s">
        <v>1639</v>
      </c>
      <c r="C159" t="s">
        <v>688</v>
      </c>
      <c r="E159" t="s">
        <v>1625</v>
      </c>
    </row>
    <row r="160" spans="1:5" x14ac:dyDescent="0.25">
      <c r="A160">
        <v>383201530</v>
      </c>
      <c r="B160" s="55">
        <v>58529</v>
      </c>
      <c r="C160" t="s">
        <v>1622</v>
      </c>
      <c r="E160" t="s">
        <v>1625</v>
      </c>
    </row>
    <row r="161" spans="1:5" x14ac:dyDescent="0.25">
      <c r="A161">
        <v>383201529</v>
      </c>
      <c r="B161" s="56" t="s">
        <v>1639</v>
      </c>
      <c r="C161" s="54" t="s">
        <v>688</v>
      </c>
      <c r="D161" s="54"/>
      <c r="E161" t="s">
        <v>1625</v>
      </c>
    </row>
    <row r="162" spans="1:5" x14ac:dyDescent="0.25">
      <c r="A162">
        <v>383201529</v>
      </c>
      <c r="B162" s="55">
        <v>48359</v>
      </c>
      <c r="C162" s="54" t="s">
        <v>1648</v>
      </c>
      <c r="D162" s="54"/>
      <c r="E162" t="s">
        <v>1625</v>
      </c>
    </row>
    <row r="163" spans="1:5" x14ac:dyDescent="0.25">
      <c r="A163">
        <v>383201529</v>
      </c>
      <c r="B163" s="55">
        <v>38932</v>
      </c>
      <c r="C163" s="54" t="s">
        <v>1640</v>
      </c>
      <c r="D163" s="54"/>
      <c r="E163" t="s">
        <v>1625</v>
      </c>
    </row>
    <row r="164" spans="1:5" x14ac:dyDescent="0.25">
      <c r="A164">
        <v>383201529</v>
      </c>
      <c r="B164" s="55">
        <v>53693</v>
      </c>
      <c r="C164" s="54" t="s">
        <v>1656</v>
      </c>
      <c r="D164" s="54"/>
      <c r="E164" t="s">
        <v>1625</v>
      </c>
    </row>
    <row r="165" spans="1:5" x14ac:dyDescent="0.25">
      <c r="A165">
        <v>363204332</v>
      </c>
      <c r="B165" s="56" t="s">
        <v>1639</v>
      </c>
      <c r="C165" t="s">
        <v>688</v>
      </c>
      <c r="E165" t="s">
        <v>1625</v>
      </c>
    </row>
    <row r="166" spans="1:5" x14ac:dyDescent="0.25">
      <c r="A166">
        <v>363204332</v>
      </c>
      <c r="B166" s="55">
        <v>53693</v>
      </c>
      <c r="C166" t="s">
        <v>1656</v>
      </c>
      <c r="E166" t="s">
        <v>1625</v>
      </c>
    </row>
    <row r="167" spans="1:5" x14ac:dyDescent="0.25">
      <c r="A167">
        <v>363204310</v>
      </c>
      <c r="B167" s="55">
        <v>48363</v>
      </c>
      <c r="C167" t="s">
        <v>1652</v>
      </c>
      <c r="E167" t="s">
        <v>1625</v>
      </c>
    </row>
    <row r="168" spans="1:5" x14ac:dyDescent="0.25">
      <c r="A168">
        <v>363204309</v>
      </c>
      <c r="B168" s="55">
        <v>53693</v>
      </c>
      <c r="C168" s="54" t="s">
        <v>1656</v>
      </c>
      <c r="D168" s="54"/>
      <c r="E168" t="s">
        <v>1625</v>
      </c>
    </row>
    <row r="169" spans="1:5" x14ac:dyDescent="0.25">
      <c r="A169">
        <v>363204309</v>
      </c>
      <c r="B169" s="56" t="s">
        <v>1639</v>
      </c>
      <c r="C169" s="54" t="s">
        <v>688</v>
      </c>
      <c r="D169" s="54"/>
      <c r="E169" t="s">
        <v>1625</v>
      </c>
    </row>
    <row r="170" spans="1:5" x14ac:dyDescent="0.25">
      <c r="A170">
        <v>363204309</v>
      </c>
      <c r="B170" s="55">
        <v>58529</v>
      </c>
      <c r="C170" s="54" t="s">
        <v>1622</v>
      </c>
      <c r="D170" s="54"/>
      <c r="E170" t="s">
        <v>1625</v>
      </c>
    </row>
    <row r="171" spans="1:5" x14ac:dyDescent="0.25">
      <c r="A171">
        <v>363204308</v>
      </c>
      <c r="B171" s="56" t="s">
        <v>1639</v>
      </c>
      <c r="C171" t="s">
        <v>688</v>
      </c>
      <c r="E171" t="s">
        <v>1625</v>
      </c>
    </row>
    <row r="172" spans="1:5" x14ac:dyDescent="0.25">
      <c r="A172">
        <v>363204308</v>
      </c>
      <c r="B172" s="55">
        <v>38932</v>
      </c>
      <c r="C172" t="s">
        <v>1640</v>
      </c>
      <c r="E172" t="s">
        <v>1625</v>
      </c>
    </row>
    <row r="173" spans="1:5" x14ac:dyDescent="0.25">
      <c r="A173">
        <v>363204307</v>
      </c>
      <c r="B173" s="56" t="s">
        <v>1639</v>
      </c>
      <c r="C173" t="s">
        <v>688</v>
      </c>
      <c r="E173" t="s">
        <v>1625</v>
      </c>
    </row>
    <row r="174" spans="1:5" x14ac:dyDescent="0.25">
      <c r="A174">
        <v>363204306</v>
      </c>
      <c r="B174" s="55">
        <v>38932</v>
      </c>
      <c r="C174" s="54" t="s">
        <v>1640</v>
      </c>
      <c r="D174" s="54"/>
      <c r="E174" t="s">
        <v>1625</v>
      </c>
    </row>
    <row r="175" spans="1:5" x14ac:dyDescent="0.25">
      <c r="A175">
        <v>363204305</v>
      </c>
      <c r="B175" s="55">
        <v>58529</v>
      </c>
      <c r="C175" t="s">
        <v>1622</v>
      </c>
      <c r="E175" t="s">
        <v>1625</v>
      </c>
    </row>
    <row r="176" spans="1:5" x14ac:dyDescent="0.25">
      <c r="A176">
        <v>363204305</v>
      </c>
      <c r="B176" s="56" t="s">
        <v>1639</v>
      </c>
      <c r="C176" t="s">
        <v>688</v>
      </c>
      <c r="E176" t="s">
        <v>1625</v>
      </c>
    </row>
    <row r="177" spans="1:5" x14ac:dyDescent="0.25">
      <c r="A177">
        <v>363204304</v>
      </c>
      <c r="B177" s="56" t="s">
        <v>1639</v>
      </c>
      <c r="C177" s="54" t="s">
        <v>688</v>
      </c>
      <c r="D177" s="54"/>
      <c r="E177" t="s">
        <v>1625</v>
      </c>
    </row>
    <row r="178" spans="1:5" x14ac:dyDescent="0.25">
      <c r="A178">
        <v>363204304</v>
      </c>
      <c r="B178" s="55">
        <v>44259</v>
      </c>
      <c r="C178" s="54" t="s">
        <v>1641</v>
      </c>
      <c r="D178" s="54"/>
      <c r="E178" t="s">
        <v>1625</v>
      </c>
    </row>
    <row r="179" spans="1:5" x14ac:dyDescent="0.25">
      <c r="A179">
        <v>363204303</v>
      </c>
      <c r="B179" s="55" t="s">
        <v>1654</v>
      </c>
      <c r="C179" t="s">
        <v>1655</v>
      </c>
      <c r="E179" t="s">
        <v>1625</v>
      </c>
    </row>
    <row r="180" spans="1:5" x14ac:dyDescent="0.25">
      <c r="A180">
        <v>363204302</v>
      </c>
      <c r="B180" s="55">
        <v>39103</v>
      </c>
      <c r="C180" t="s">
        <v>1658</v>
      </c>
      <c r="E180" t="s">
        <v>1625</v>
      </c>
    </row>
    <row r="181" spans="1:5" x14ac:dyDescent="0.25">
      <c r="A181">
        <v>363204301</v>
      </c>
      <c r="B181" s="55" t="s">
        <v>1665</v>
      </c>
      <c r="C181" t="s">
        <v>1666</v>
      </c>
      <c r="E181" t="s">
        <v>1625</v>
      </c>
    </row>
    <row r="182" spans="1:5" x14ac:dyDescent="0.25">
      <c r="A182">
        <v>363204300</v>
      </c>
      <c r="B182" s="55">
        <v>53693</v>
      </c>
      <c r="C182" s="54" t="s">
        <v>1656</v>
      </c>
      <c r="D182" s="54"/>
      <c r="E182" t="s">
        <v>1625</v>
      </c>
    </row>
    <row r="183" spans="1:5" x14ac:dyDescent="0.25">
      <c r="A183">
        <v>363204299</v>
      </c>
      <c r="B183" s="55" t="s">
        <v>1686</v>
      </c>
      <c r="C183" s="54" t="s">
        <v>1687</v>
      </c>
      <c r="D183" s="54"/>
      <c r="E183" t="s">
        <v>1625</v>
      </c>
    </row>
    <row r="184" spans="1:5" x14ac:dyDescent="0.25">
      <c r="A184">
        <v>363204298</v>
      </c>
      <c r="B184" s="55" t="s">
        <v>1642</v>
      </c>
      <c r="C184" s="54" t="s">
        <v>1643</v>
      </c>
      <c r="D184" s="54"/>
      <c r="E184" t="s">
        <v>1625</v>
      </c>
    </row>
    <row r="185" spans="1:5" x14ac:dyDescent="0.25">
      <c r="A185">
        <v>363204298</v>
      </c>
      <c r="B185" s="55" t="s">
        <v>1669</v>
      </c>
      <c r="C185" s="54" t="s">
        <v>1670</v>
      </c>
      <c r="D185" s="54"/>
      <c r="E185" t="s">
        <v>1625</v>
      </c>
    </row>
    <row r="186" spans="1:5" x14ac:dyDescent="0.25">
      <c r="A186">
        <v>363204298</v>
      </c>
      <c r="B186" s="55" t="s">
        <v>1665</v>
      </c>
      <c r="C186" t="s">
        <v>1666</v>
      </c>
      <c r="E186" t="s">
        <v>1625</v>
      </c>
    </row>
    <row r="187" spans="1:5" x14ac:dyDescent="0.25">
      <c r="A187">
        <v>363204297</v>
      </c>
      <c r="B187" s="55" t="s">
        <v>1686</v>
      </c>
      <c r="C187" t="s">
        <v>1687</v>
      </c>
      <c r="E187" t="s">
        <v>1625</v>
      </c>
    </row>
    <row r="188" spans="1:5" x14ac:dyDescent="0.25">
      <c r="A188">
        <v>363204296</v>
      </c>
      <c r="B188" s="55">
        <v>48359</v>
      </c>
      <c r="C188" s="54" t="s">
        <v>1648</v>
      </c>
      <c r="D188" s="54"/>
      <c r="E188" t="s">
        <v>1625</v>
      </c>
    </row>
    <row r="189" spans="1:5" x14ac:dyDescent="0.25">
      <c r="A189">
        <v>363204296</v>
      </c>
      <c r="B189" s="56" t="s">
        <v>1639</v>
      </c>
      <c r="C189" s="54" t="s">
        <v>688</v>
      </c>
      <c r="D189" s="54"/>
      <c r="E189" t="s">
        <v>1625</v>
      </c>
    </row>
    <row r="190" spans="1:5" x14ac:dyDescent="0.25">
      <c r="A190">
        <v>363204296</v>
      </c>
      <c r="B190" s="55">
        <v>44259</v>
      </c>
      <c r="C190" s="54" t="s">
        <v>1641</v>
      </c>
      <c r="D190" s="54"/>
      <c r="E190" t="s">
        <v>1625</v>
      </c>
    </row>
    <row r="191" spans="1:5" x14ac:dyDescent="0.25">
      <c r="A191">
        <v>363204296</v>
      </c>
      <c r="B191" s="55">
        <v>38932</v>
      </c>
      <c r="C191" s="54" t="s">
        <v>1640</v>
      </c>
      <c r="D191" s="54"/>
      <c r="E191" t="s">
        <v>1625</v>
      </c>
    </row>
    <row r="192" spans="1:5" x14ac:dyDescent="0.25">
      <c r="A192">
        <v>363204296</v>
      </c>
      <c r="B192" s="55">
        <v>48363</v>
      </c>
      <c r="C192" s="54" t="s">
        <v>1652</v>
      </c>
      <c r="D192" s="54"/>
      <c r="E192" t="s">
        <v>1625</v>
      </c>
    </row>
    <row r="193" spans="1:5" x14ac:dyDescent="0.25">
      <c r="A193">
        <v>363204295</v>
      </c>
      <c r="B193" s="55">
        <v>48359</v>
      </c>
      <c r="C193" t="s">
        <v>1648</v>
      </c>
      <c r="E193" t="s">
        <v>1625</v>
      </c>
    </row>
    <row r="194" spans="1:5" x14ac:dyDescent="0.25">
      <c r="A194">
        <v>363204295</v>
      </c>
      <c r="B194" s="55">
        <v>38932</v>
      </c>
      <c r="C194" t="s">
        <v>1640</v>
      </c>
      <c r="E194" t="s">
        <v>1625</v>
      </c>
    </row>
    <row r="195" spans="1:5" x14ac:dyDescent="0.25">
      <c r="A195">
        <v>363204295</v>
      </c>
      <c r="B195" s="55">
        <v>44259</v>
      </c>
      <c r="C195" t="s">
        <v>1641</v>
      </c>
      <c r="E195" t="s">
        <v>1625</v>
      </c>
    </row>
    <row r="196" spans="1:5" x14ac:dyDescent="0.25">
      <c r="A196">
        <v>363204295</v>
      </c>
      <c r="B196" s="56" t="s">
        <v>1639</v>
      </c>
      <c r="C196" t="s">
        <v>688</v>
      </c>
      <c r="E196" t="s">
        <v>1625</v>
      </c>
    </row>
    <row r="197" spans="1:5" x14ac:dyDescent="0.25">
      <c r="A197">
        <v>363204294</v>
      </c>
      <c r="B197" s="55">
        <v>38932</v>
      </c>
      <c r="C197" s="54" t="s">
        <v>1640</v>
      </c>
      <c r="D197" s="54"/>
      <c r="E197" t="s">
        <v>1625</v>
      </c>
    </row>
    <row r="198" spans="1:5" x14ac:dyDescent="0.25">
      <c r="A198">
        <v>363204294</v>
      </c>
      <c r="B198" s="56" t="s">
        <v>1639</v>
      </c>
      <c r="C198" s="54" t="s">
        <v>688</v>
      </c>
      <c r="D198" s="54"/>
      <c r="E198" t="s">
        <v>1625</v>
      </c>
    </row>
    <row r="199" spans="1:5" x14ac:dyDescent="0.25">
      <c r="A199">
        <v>363204294</v>
      </c>
      <c r="B199" s="55">
        <v>48363</v>
      </c>
      <c r="C199" s="54" t="s">
        <v>1652</v>
      </c>
      <c r="D199" s="54"/>
      <c r="E199" t="s">
        <v>1625</v>
      </c>
    </row>
    <row r="200" spans="1:5" x14ac:dyDescent="0.25">
      <c r="A200">
        <v>363204294</v>
      </c>
      <c r="B200" s="55">
        <v>44259</v>
      </c>
      <c r="C200" s="54" t="s">
        <v>1641</v>
      </c>
      <c r="D200" s="54"/>
      <c r="E200" t="s">
        <v>1625</v>
      </c>
    </row>
    <row r="201" spans="1:5" x14ac:dyDescent="0.25">
      <c r="A201">
        <v>363204293</v>
      </c>
      <c r="B201" s="55">
        <v>48362</v>
      </c>
      <c r="C201" t="s">
        <v>1647</v>
      </c>
      <c r="E201" t="s">
        <v>1625</v>
      </c>
    </row>
    <row r="202" spans="1:5" x14ac:dyDescent="0.25">
      <c r="A202">
        <v>363204292</v>
      </c>
      <c r="B202" s="55" t="s">
        <v>1669</v>
      </c>
      <c r="C202" s="54" t="s">
        <v>1670</v>
      </c>
      <c r="D202" s="54"/>
      <c r="E202" t="s">
        <v>1625</v>
      </c>
    </row>
    <row r="203" spans="1:5" x14ac:dyDescent="0.25">
      <c r="A203">
        <v>363204291</v>
      </c>
      <c r="B203" s="55" t="s">
        <v>1669</v>
      </c>
      <c r="C203" s="54" t="s">
        <v>1670</v>
      </c>
      <c r="D203" s="54"/>
      <c r="E203" t="s">
        <v>1625</v>
      </c>
    </row>
    <row r="204" spans="1:5" x14ac:dyDescent="0.25">
      <c r="A204">
        <v>363204291</v>
      </c>
      <c r="B204" s="55" t="s">
        <v>1642</v>
      </c>
      <c r="C204" s="54" t="s">
        <v>1643</v>
      </c>
      <c r="D204" s="54"/>
      <c r="E204" t="s">
        <v>1625</v>
      </c>
    </row>
    <row r="205" spans="1:5" x14ac:dyDescent="0.25">
      <c r="A205">
        <v>363204264</v>
      </c>
      <c r="B205" s="55" t="s">
        <v>1680</v>
      </c>
      <c r="C205" t="s">
        <v>1681</v>
      </c>
      <c r="E205" t="s">
        <v>1625</v>
      </c>
    </row>
    <row r="206" spans="1:5" x14ac:dyDescent="0.25">
      <c r="A206">
        <v>353207985</v>
      </c>
      <c r="B206" s="55">
        <v>48345</v>
      </c>
      <c r="C206" t="s">
        <v>1657</v>
      </c>
      <c r="E206" t="s">
        <v>1623</v>
      </c>
    </row>
    <row r="207" spans="1:5" x14ac:dyDescent="0.25">
      <c r="A207">
        <v>353207984</v>
      </c>
      <c r="B207" s="55">
        <v>48345</v>
      </c>
      <c r="C207" s="54" t="s">
        <v>1657</v>
      </c>
      <c r="D207" s="54"/>
      <c r="E207" t="s">
        <v>1623</v>
      </c>
    </row>
    <row r="208" spans="1:5" x14ac:dyDescent="0.25">
      <c r="A208">
        <v>353207984</v>
      </c>
      <c r="B208" s="56" t="s">
        <v>1639</v>
      </c>
      <c r="C208" t="s">
        <v>688</v>
      </c>
      <c r="E208" t="s">
        <v>1623</v>
      </c>
    </row>
    <row r="209" spans="1:5" x14ac:dyDescent="0.25">
      <c r="A209">
        <v>353207983</v>
      </c>
      <c r="B209" s="56" t="s">
        <v>1639</v>
      </c>
      <c r="C209" s="54" t="s">
        <v>688</v>
      </c>
      <c r="D209" s="54"/>
      <c r="E209" t="s">
        <v>1623</v>
      </c>
    </row>
    <row r="210" spans="1:5" x14ac:dyDescent="0.25">
      <c r="A210">
        <v>353207982</v>
      </c>
      <c r="B210" s="56" t="s">
        <v>1638</v>
      </c>
      <c r="C210" t="s">
        <v>41</v>
      </c>
      <c r="E210" t="s">
        <v>1623</v>
      </c>
    </row>
    <row r="211" spans="1:5" x14ac:dyDescent="0.25">
      <c r="A211">
        <v>353207982</v>
      </c>
      <c r="B211" s="55">
        <v>53401</v>
      </c>
      <c r="C211" t="s">
        <v>1671</v>
      </c>
      <c r="E211" t="s">
        <v>1623</v>
      </c>
    </row>
    <row r="212" spans="1:5" x14ac:dyDescent="0.25">
      <c r="A212">
        <v>353207981</v>
      </c>
      <c r="B212" s="55">
        <v>33664</v>
      </c>
      <c r="C212" t="s">
        <v>1664</v>
      </c>
      <c r="E212" t="s">
        <v>1623</v>
      </c>
    </row>
    <row r="213" spans="1:5" x14ac:dyDescent="0.25">
      <c r="A213">
        <v>353207981</v>
      </c>
      <c r="B213" s="56" t="s">
        <v>1639</v>
      </c>
      <c r="C213" t="s">
        <v>688</v>
      </c>
      <c r="E213" t="s">
        <v>1623</v>
      </c>
    </row>
    <row r="214" spans="1:5" x14ac:dyDescent="0.25">
      <c r="A214">
        <v>353207980</v>
      </c>
      <c r="B214" s="56" t="s">
        <v>1638</v>
      </c>
      <c r="C214" s="54" t="s">
        <v>41</v>
      </c>
      <c r="D214" s="54"/>
      <c r="E214" t="s">
        <v>1623</v>
      </c>
    </row>
    <row r="215" spans="1:5" x14ac:dyDescent="0.25">
      <c r="A215">
        <v>353207980</v>
      </c>
      <c r="B215" s="56" t="s">
        <v>1639</v>
      </c>
      <c r="C215" s="54" t="s">
        <v>688</v>
      </c>
      <c r="D215" s="54"/>
      <c r="E215" t="s">
        <v>1623</v>
      </c>
    </row>
    <row r="216" spans="1:5" x14ac:dyDescent="0.25">
      <c r="A216">
        <v>353207980</v>
      </c>
      <c r="B216" s="55">
        <v>48345</v>
      </c>
      <c r="C216" s="54" t="s">
        <v>1657</v>
      </c>
      <c r="D216" s="54"/>
      <c r="E216" t="s">
        <v>1623</v>
      </c>
    </row>
    <row r="217" spans="1:5" x14ac:dyDescent="0.25">
      <c r="A217">
        <v>353207980</v>
      </c>
      <c r="B217" s="55">
        <v>39105</v>
      </c>
      <c r="C217" s="54" t="s">
        <v>1651</v>
      </c>
      <c r="D217" s="54"/>
      <c r="E217" t="s">
        <v>1623</v>
      </c>
    </row>
    <row r="218" spans="1:5" x14ac:dyDescent="0.25">
      <c r="A218">
        <v>353207979</v>
      </c>
      <c r="B218" s="55">
        <v>39105</v>
      </c>
      <c r="C218" s="54" t="s">
        <v>1651</v>
      </c>
      <c r="D218" s="54"/>
      <c r="E218" t="s">
        <v>1623</v>
      </c>
    </row>
    <row r="219" spans="1:5" x14ac:dyDescent="0.25">
      <c r="A219">
        <v>353207979</v>
      </c>
      <c r="B219" s="55">
        <v>58833</v>
      </c>
      <c r="C219" s="54" t="s">
        <v>1668</v>
      </c>
      <c r="D219" s="54"/>
      <c r="E219" t="s">
        <v>1623</v>
      </c>
    </row>
    <row r="220" spans="1:5" x14ac:dyDescent="0.25">
      <c r="A220">
        <v>353207978</v>
      </c>
      <c r="B220" s="55">
        <v>63443</v>
      </c>
      <c r="C220" s="54" t="s">
        <v>1631</v>
      </c>
      <c r="D220" s="54"/>
      <c r="E220" t="s">
        <v>1623</v>
      </c>
    </row>
    <row r="221" spans="1:5" x14ac:dyDescent="0.25">
      <c r="A221">
        <v>353207977</v>
      </c>
      <c r="B221" s="55">
        <v>33664</v>
      </c>
      <c r="C221" t="s">
        <v>1664</v>
      </c>
      <c r="E221" t="s">
        <v>1623</v>
      </c>
    </row>
    <row r="222" spans="1:5" x14ac:dyDescent="0.25">
      <c r="A222">
        <v>353207977</v>
      </c>
      <c r="B222" s="55">
        <v>58762</v>
      </c>
      <c r="C222" t="s">
        <v>1653</v>
      </c>
      <c r="E222" t="s">
        <v>1623</v>
      </c>
    </row>
    <row r="223" spans="1:5" x14ac:dyDescent="0.25">
      <c r="A223">
        <v>353207976</v>
      </c>
      <c r="B223" s="55">
        <v>58529</v>
      </c>
      <c r="C223" s="54" t="s">
        <v>1622</v>
      </c>
      <c r="D223" s="54"/>
      <c r="E223" t="s">
        <v>1623</v>
      </c>
    </row>
    <row r="224" spans="1:5" x14ac:dyDescent="0.25">
      <c r="A224">
        <v>353207975</v>
      </c>
      <c r="B224" s="55">
        <v>58762</v>
      </c>
      <c r="C224" t="s">
        <v>1653</v>
      </c>
      <c r="E224" t="s">
        <v>1623</v>
      </c>
    </row>
    <row r="225" spans="1:5" x14ac:dyDescent="0.25">
      <c r="A225">
        <v>353207975</v>
      </c>
      <c r="B225" s="55">
        <v>53401</v>
      </c>
      <c r="C225" t="s">
        <v>1671</v>
      </c>
      <c r="E225" t="s">
        <v>1623</v>
      </c>
    </row>
    <row r="226" spans="1:5" x14ac:dyDescent="0.25">
      <c r="A226">
        <v>353207974</v>
      </c>
      <c r="B226" s="56" t="s">
        <v>1639</v>
      </c>
      <c r="C226" t="s">
        <v>688</v>
      </c>
      <c r="E226" t="s">
        <v>1623</v>
      </c>
    </row>
    <row r="227" spans="1:5" x14ac:dyDescent="0.25">
      <c r="A227">
        <v>353207973</v>
      </c>
      <c r="B227" s="55">
        <v>33902</v>
      </c>
      <c r="C227" s="54" t="s">
        <v>1667</v>
      </c>
      <c r="D227" s="54"/>
      <c r="E227" t="s">
        <v>1623</v>
      </c>
    </row>
    <row r="228" spans="1:5" x14ac:dyDescent="0.25">
      <c r="A228">
        <v>353207972</v>
      </c>
      <c r="B228" s="55">
        <v>58529</v>
      </c>
      <c r="C228" s="54" t="s">
        <v>1622</v>
      </c>
      <c r="D228" s="54"/>
      <c r="E228" t="s">
        <v>1623</v>
      </c>
    </row>
    <row r="229" spans="1:5" x14ac:dyDescent="0.25">
      <c r="A229">
        <v>353207972</v>
      </c>
      <c r="B229" s="55">
        <v>39105</v>
      </c>
      <c r="C229" s="54" t="s">
        <v>1651</v>
      </c>
      <c r="D229" s="54"/>
      <c r="E229" t="s">
        <v>1623</v>
      </c>
    </row>
    <row r="230" spans="1:5" x14ac:dyDescent="0.25">
      <c r="A230">
        <v>353207972</v>
      </c>
      <c r="B230" s="55">
        <v>33664</v>
      </c>
      <c r="C230" s="54" t="s">
        <v>1664</v>
      </c>
      <c r="D230" s="54"/>
      <c r="E230" t="s">
        <v>1623</v>
      </c>
    </row>
    <row r="231" spans="1:5" x14ac:dyDescent="0.25">
      <c r="A231">
        <v>353207971</v>
      </c>
      <c r="B231" s="55">
        <v>58762</v>
      </c>
      <c r="C231" s="54" t="s">
        <v>1653</v>
      </c>
      <c r="D231" s="54"/>
      <c r="E231" t="s">
        <v>1623</v>
      </c>
    </row>
    <row r="232" spans="1:5" x14ac:dyDescent="0.25">
      <c r="A232">
        <v>353207971</v>
      </c>
      <c r="B232" s="56" t="s">
        <v>1638</v>
      </c>
      <c r="C232" s="54" t="s">
        <v>41</v>
      </c>
      <c r="D232" s="54"/>
      <c r="E232" t="s">
        <v>1623</v>
      </c>
    </row>
    <row r="233" spans="1:5" x14ac:dyDescent="0.25">
      <c r="A233">
        <v>353207970</v>
      </c>
      <c r="B233" s="55">
        <v>53401</v>
      </c>
      <c r="C233" t="s">
        <v>1671</v>
      </c>
      <c r="E233" t="s">
        <v>1623</v>
      </c>
    </row>
    <row r="234" spans="1:5" x14ac:dyDescent="0.25">
      <c r="A234">
        <v>353207970</v>
      </c>
      <c r="B234" s="56" t="s">
        <v>1638</v>
      </c>
      <c r="C234" t="s">
        <v>41</v>
      </c>
      <c r="E234" t="s">
        <v>1623</v>
      </c>
    </row>
    <row r="235" spans="1:5" x14ac:dyDescent="0.25">
      <c r="A235">
        <v>353207969</v>
      </c>
      <c r="B235" s="55">
        <v>33902</v>
      </c>
      <c r="C235" s="54" t="s">
        <v>1667</v>
      </c>
      <c r="D235" s="54"/>
      <c r="E235" t="s">
        <v>1623</v>
      </c>
    </row>
    <row r="236" spans="1:5" x14ac:dyDescent="0.25">
      <c r="A236">
        <v>353207969</v>
      </c>
      <c r="B236" s="55">
        <v>58529</v>
      </c>
      <c r="C236" s="54" t="s">
        <v>1622</v>
      </c>
      <c r="D236" s="54"/>
      <c r="E236" t="s">
        <v>1623</v>
      </c>
    </row>
    <row r="237" spans="1:5" x14ac:dyDescent="0.25">
      <c r="A237">
        <v>353207968</v>
      </c>
      <c r="B237" s="55">
        <v>58762</v>
      </c>
      <c r="C237" t="s">
        <v>1653</v>
      </c>
      <c r="E237" t="s">
        <v>1623</v>
      </c>
    </row>
    <row r="238" spans="1:5" x14ac:dyDescent="0.25">
      <c r="A238">
        <v>353207968</v>
      </c>
      <c r="B238" s="55">
        <v>63233</v>
      </c>
      <c r="C238" t="s">
        <v>1632</v>
      </c>
      <c r="E238" t="s">
        <v>1623</v>
      </c>
    </row>
    <row r="239" spans="1:5" x14ac:dyDescent="0.25">
      <c r="A239">
        <v>353207968</v>
      </c>
      <c r="B239" s="56" t="s">
        <v>1638</v>
      </c>
      <c r="C239" t="s">
        <v>41</v>
      </c>
      <c r="E239" t="s">
        <v>1623</v>
      </c>
    </row>
    <row r="240" spans="1:5" x14ac:dyDescent="0.25">
      <c r="A240">
        <v>353207967</v>
      </c>
      <c r="B240" s="56" t="s">
        <v>1639</v>
      </c>
      <c r="C240" t="s">
        <v>688</v>
      </c>
      <c r="E240" t="s">
        <v>1623</v>
      </c>
    </row>
    <row r="241" spans="1:5" x14ac:dyDescent="0.25">
      <c r="A241">
        <v>353207966</v>
      </c>
      <c r="B241" s="56" t="s">
        <v>1639</v>
      </c>
      <c r="C241" s="54" t="s">
        <v>688</v>
      </c>
      <c r="D241" s="54"/>
      <c r="E241" t="s">
        <v>1623</v>
      </c>
    </row>
    <row r="242" spans="1:5" x14ac:dyDescent="0.25">
      <c r="A242">
        <v>353207966</v>
      </c>
      <c r="B242" s="56" t="s">
        <v>1638</v>
      </c>
      <c r="C242" s="54" t="s">
        <v>41</v>
      </c>
      <c r="D242" s="54"/>
      <c r="E242" t="s">
        <v>1623</v>
      </c>
    </row>
    <row r="243" spans="1:5" x14ac:dyDescent="0.25">
      <c r="A243">
        <v>353207965</v>
      </c>
      <c r="B243" s="55">
        <v>39105</v>
      </c>
      <c r="C243" s="54" t="s">
        <v>1651</v>
      </c>
      <c r="D243" s="54"/>
      <c r="E243" t="s">
        <v>1623</v>
      </c>
    </row>
    <row r="244" spans="1:5" x14ac:dyDescent="0.25">
      <c r="A244">
        <v>353207965</v>
      </c>
      <c r="B244" s="55">
        <v>33902</v>
      </c>
      <c r="C244" s="54" t="s">
        <v>1667</v>
      </c>
      <c r="D244" s="54"/>
      <c r="E244" t="s">
        <v>1623</v>
      </c>
    </row>
    <row r="245" spans="1:5" x14ac:dyDescent="0.25">
      <c r="A245">
        <v>353207965</v>
      </c>
      <c r="B245" s="56" t="s">
        <v>1639</v>
      </c>
      <c r="C245" s="54" t="s">
        <v>688</v>
      </c>
      <c r="D245" s="54"/>
      <c r="E245" t="s">
        <v>1623</v>
      </c>
    </row>
    <row r="246" spans="1:5" x14ac:dyDescent="0.25">
      <c r="A246">
        <v>353207964</v>
      </c>
      <c r="B246" s="55">
        <v>58529</v>
      </c>
      <c r="C246" t="s">
        <v>1622</v>
      </c>
      <c r="E246" t="s">
        <v>1623</v>
      </c>
    </row>
    <row r="247" spans="1:5" x14ac:dyDescent="0.25">
      <c r="A247">
        <v>353207964</v>
      </c>
      <c r="B247" s="56" t="s">
        <v>1639</v>
      </c>
      <c r="C247" t="s">
        <v>688</v>
      </c>
      <c r="E247" t="s">
        <v>1623</v>
      </c>
    </row>
    <row r="248" spans="1:5" x14ac:dyDescent="0.25">
      <c r="A248">
        <v>353207964</v>
      </c>
      <c r="B248" s="55">
        <v>58833</v>
      </c>
      <c r="C248" t="s">
        <v>1668</v>
      </c>
      <c r="E248" t="s">
        <v>1623</v>
      </c>
    </row>
    <row r="249" spans="1:5" x14ac:dyDescent="0.25">
      <c r="A249">
        <v>353207963</v>
      </c>
      <c r="B249" s="55">
        <v>33902</v>
      </c>
      <c r="C249" s="54" t="s">
        <v>1667</v>
      </c>
      <c r="D249" s="54"/>
      <c r="E249" t="s">
        <v>1623</v>
      </c>
    </row>
    <row r="250" spans="1:5" x14ac:dyDescent="0.25">
      <c r="A250">
        <v>353207963</v>
      </c>
      <c r="B250" s="55">
        <v>63443</v>
      </c>
      <c r="C250" s="54" t="s">
        <v>1631</v>
      </c>
      <c r="D250" s="54"/>
      <c r="E250" t="s">
        <v>1623</v>
      </c>
    </row>
    <row r="251" spans="1:5" x14ac:dyDescent="0.25">
      <c r="A251">
        <v>353207963</v>
      </c>
      <c r="B251" s="55">
        <v>58762</v>
      </c>
      <c r="C251" s="54" t="s">
        <v>1653</v>
      </c>
      <c r="D251" s="54"/>
      <c r="E251" t="s">
        <v>1623</v>
      </c>
    </row>
    <row r="252" spans="1:5" x14ac:dyDescent="0.25">
      <c r="A252">
        <v>353207962</v>
      </c>
      <c r="B252" s="55">
        <v>53401</v>
      </c>
      <c r="C252" t="s">
        <v>1671</v>
      </c>
      <c r="E252" t="s">
        <v>1623</v>
      </c>
    </row>
    <row r="253" spans="1:5" x14ac:dyDescent="0.25">
      <c r="A253">
        <v>353207962</v>
      </c>
      <c r="B253" s="55">
        <v>58529</v>
      </c>
      <c r="C253" t="s">
        <v>1622</v>
      </c>
      <c r="E253" t="s">
        <v>1623</v>
      </c>
    </row>
    <row r="254" spans="1:5" x14ac:dyDescent="0.25">
      <c r="A254">
        <v>353207962</v>
      </c>
      <c r="B254" s="55">
        <v>63443</v>
      </c>
      <c r="C254" t="s">
        <v>1631</v>
      </c>
      <c r="E254" t="s">
        <v>1623</v>
      </c>
    </row>
    <row r="255" spans="1:5" x14ac:dyDescent="0.25">
      <c r="A255">
        <v>353207961</v>
      </c>
      <c r="B255" s="56" t="s">
        <v>1638</v>
      </c>
      <c r="C255" t="s">
        <v>41</v>
      </c>
      <c r="E255" t="s">
        <v>1623</v>
      </c>
    </row>
    <row r="256" spans="1:5" x14ac:dyDescent="0.25">
      <c r="A256">
        <v>353207961</v>
      </c>
      <c r="B256" s="55">
        <v>33664</v>
      </c>
      <c r="C256" t="s">
        <v>1664</v>
      </c>
      <c r="E256" t="s">
        <v>1623</v>
      </c>
    </row>
    <row r="257" spans="1:5" x14ac:dyDescent="0.25">
      <c r="A257">
        <v>353207961</v>
      </c>
      <c r="B257" s="55">
        <v>58762</v>
      </c>
      <c r="C257" t="s">
        <v>1653</v>
      </c>
      <c r="E257" t="s">
        <v>1623</v>
      </c>
    </row>
    <row r="258" spans="1:5" x14ac:dyDescent="0.25">
      <c r="A258">
        <v>353207960</v>
      </c>
      <c r="B258" s="55">
        <v>58833</v>
      </c>
      <c r="C258" t="s">
        <v>1668</v>
      </c>
      <c r="E258" t="s">
        <v>1623</v>
      </c>
    </row>
    <row r="259" spans="1:5" x14ac:dyDescent="0.25">
      <c r="A259">
        <v>353207960</v>
      </c>
      <c r="B259" s="56" t="s">
        <v>1638</v>
      </c>
      <c r="C259" t="s">
        <v>41</v>
      </c>
      <c r="E259" t="s">
        <v>1623</v>
      </c>
    </row>
    <row r="260" spans="1:5" x14ac:dyDescent="0.25">
      <c r="A260">
        <v>353207959</v>
      </c>
      <c r="B260" s="56" t="s">
        <v>1638</v>
      </c>
      <c r="C260" s="54" t="s">
        <v>41</v>
      </c>
      <c r="D260" s="54"/>
      <c r="E260" t="s">
        <v>1623</v>
      </c>
    </row>
    <row r="261" spans="1:5" x14ac:dyDescent="0.25">
      <c r="A261">
        <v>353207958</v>
      </c>
      <c r="B261" s="55">
        <v>63443</v>
      </c>
      <c r="C261" s="54" t="s">
        <v>1631</v>
      </c>
      <c r="D261" s="54"/>
      <c r="E261" t="s">
        <v>1623</v>
      </c>
    </row>
    <row r="262" spans="1:5" x14ac:dyDescent="0.25">
      <c r="A262">
        <v>353207957</v>
      </c>
      <c r="B262" s="55">
        <v>39105</v>
      </c>
      <c r="C262" s="54" t="s">
        <v>1651</v>
      </c>
      <c r="D262" s="54"/>
      <c r="E262" t="s">
        <v>1623</v>
      </c>
    </row>
    <row r="263" spans="1:5" x14ac:dyDescent="0.25">
      <c r="A263">
        <v>353207956</v>
      </c>
      <c r="B263" s="55">
        <v>39105</v>
      </c>
      <c r="C263" t="s">
        <v>1651</v>
      </c>
      <c r="E263" t="s">
        <v>1623</v>
      </c>
    </row>
    <row r="264" spans="1:5" x14ac:dyDescent="0.25">
      <c r="A264">
        <v>353207955</v>
      </c>
      <c r="B264" s="55" t="s">
        <v>1633</v>
      </c>
      <c r="C264" s="54" t="s">
        <v>1634</v>
      </c>
      <c r="D264" s="54"/>
      <c r="E264" t="s">
        <v>1623</v>
      </c>
    </row>
    <row r="265" spans="1:5" x14ac:dyDescent="0.25">
      <c r="A265">
        <v>353207954</v>
      </c>
      <c r="B265" s="55">
        <v>63233</v>
      </c>
      <c r="C265" s="54" t="s">
        <v>1632</v>
      </c>
      <c r="D265" s="54"/>
      <c r="E265" t="s">
        <v>1623</v>
      </c>
    </row>
    <row r="266" spans="1:5" x14ac:dyDescent="0.25">
      <c r="A266">
        <v>353207954</v>
      </c>
      <c r="B266" s="56" t="s">
        <v>1638</v>
      </c>
      <c r="C266" s="54" t="s">
        <v>41</v>
      </c>
      <c r="D266" s="54"/>
      <c r="E266" t="s">
        <v>1623</v>
      </c>
    </row>
    <row r="267" spans="1:5" x14ac:dyDescent="0.25">
      <c r="A267">
        <v>353207953</v>
      </c>
      <c r="B267" s="56" t="s">
        <v>1639</v>
      </c>
      <c r="C267" s="54" t="s">
        <v>688</v>
      </c>
      <c r="D267" s="54"/>
      <c r="E267" t="s">
        <v>1623</v>
      </c>
    </row>
    <row r="268" spans="1:5" x14ac:dyDescent="0.25">
      <c r="A268">
        <v>353207953</v>
      </c>
      <c r="B268" s="55">
        <v>38932</v>
      </c>
      <c r="C268" s="54" t="s">
        <v>1640</v>
      </c>
      <c r="D268" s="54"/>
      <c r="E268" t="s">
        <v>1623</v>
      </c>
    </row>
    <row r="269" spans="1:5" x14ac:dyDescent="0.25">
      <c r="A269">
        <v>353207952</v>
      </c>
      <c r="B269" s="55">
        <v>38932</v>
      </c>
      <c r="C269" s="54" t="s">
        <v>1640</v>
      </c>
      <c r="D269" s="54"/>
      <c r="E269" t="s">
        <v>1623</v>
      </c>
    </row>
    <row r="270" spans="1:5" x14ac:dyDescent="0.25">
      <c r="A270">
        <v>353207952</v>
      </c>
      <c r="B270" s="55">
        <v>33664</v>
      </c>
      <c r="C270" s="54" t="s">
        <v>1664</v>
      </c>
      <c r="D270" s="54"/>
      <c r="E270" t="s">
        <v>1623</v>
      </c>
    </row>
    <row r="271" spans="1:5" x14ac:dyDescent="0.25">
      <c r="A271">
        <v>353207951</v>
      </c>
      <c r="B271" s="55">
        <v>58762</v>
      </c>
      <c r="C271" s="54" t="s">
        <v>1653</v>
      </c>
      <c r="D271" s="54"/>
      <c r="E271" t="s">
        <v>1623</v>
      </c>
    </row>
    <row r="272" spans="1:5" x14ac:dyDescent="0.25">
      <c r="A272">
        <v>353207950</v>
      </c>
      <c r="B272" s="55">
        <v>58762</v>
      </c>
      <c r="C272" t="s">
        <v>1653</v>
      </c>
      <c r="E272" t="s">
        <v>1623</v>
      </c>
    </row>
    <row r="273" spans="1:5" x14ac:dyDescent="0.25">
      <c r="A273">
        <v>353207950</v>
      </c>
      <c r="B273" s="56" t="s">
        <v>1638</v>
      </c>
      <c r="C273" t="s">
        <v>41</v>
      </c>
      <c r="E273" t="s">
        <v>1623</v>
      </c>
    </row>
    <row r="274" spans="1:5" x14ac:dyDescent="0.25">
      <c r="A274">
        <v>353207949</v>
      </c>
      <c r="B274" s="55">
        <v>33664</v>
      </c>
      <c r="C274" t="s">
        <v>1664</v>
      </c>
      <c r="E274" t="s">
        <v>1623</v>
      </c>
    </row>
    <row r="275" spans="1:5" x14ac:dyDescent="0.25">
      <c r="A275">
        <v>353207949</v>
      </c>
      <c r="B275" s="56" t="s">
        <v>1638</v>
      </c>
      <c r="C275" t="s">
        <v>41</v>
      </c>
      <c r="E275" t="s">
        <v>1623</v>
      </c>
    </row>
    <row r="276" spans="1:5" x14ac:dyDescent="0.25">
      <c r="A276">
        <v>353207949</v>
      </c>
      <c r="B276" s="56" t="s">
        <v>1639</v>
      </c>
      <c r="C276" t="s">
        <v>688</v>
      </c>
      <c r="E276" t="s">
        <v>1623</v>
      </c>
    </row>
    <row r="277" spans="1:5" x14ac:dyDescent="0.25">
      <c r="A277">
        <v>353207948</v>
      </c>
      <c r="B277" s="56" t="s">
        <v>1638</v>
      </c>
      <c r="C277" s="54" t="s">
        <v>41</v>
      </c>
      <c r="D277" s="54"/>
      <c r="E277" t="s">
        <v>1623</v>
      </c>
    </row>
    <row r="278" spans="1:5" x14ac:dyDescent="0.25">
      <c r="A278">
        <v>353207948</v>
      </c>
      <c r="B278" s="56" t="s">
        <v>1639</v>
      </c>
      <c r="C278" s="54" t="s">
        <v>688</v>
      </c>
      <c r="D278" s="54"/>
      <c r="E278" t="s">
        <v>1623</v>
      </c>
    </row>
    <row r="279" spans="1:5" x14ac:dyDescent="0.25">
      <c r="A279">
        <v>353207947</v>
      </c>
      <c r="B279" s="55">
        <v>58833</v>
      </c>
      <c r="C279" t="s">
        <v>1668</v>
      </c>
      <c r="E279" t="s">
        <v>1625</v>
      </c>
    </row>
    <row r="280" spans="1:5" x14ac:dyDescent="0.25">
      <c r="A280">
        <v>353207947</v>
      </c>
      <c r="B280" s="55">
        <v>38932</v>
      </c>
      <c r="C280" t="s">
        <v>1640</v>
      </c>
      <c r="E280" t="s">
        <v>1625</v>
      </c>
    </row>
    <row r="281" spans="1:5" x14ac:dyDescent="0.25">
      <c r="A281">
        <v>353207946</v>
      </c>
      <c r="B281" s="56" t="s">
        <v>1638</v>
      </c>
      <c r="C281" t="s">
        <v>41</v>
      </c>
      <c r="E281" t="s">
        <v>1623</v>
      </c>
    </row>
    <row r="282" spans="1:5" x14ac:dyDescent="0.25">
      <c r="A282">
        <v>353207946</v>
      </c>
      <c r="B282" s="55">
        <v>33664</v>
      </c>
      <c r="C282" t="s">
        <v>1664</v>
      </c>
      <c r="E282" t="s">
        <v>1623</v>
      </c>
    </row>
    <row r="283" spans="1:5" x14ac:dyDescent="0.25">
      <c r="A283">
        <v>353207946</v>
      </c>
      <c r="B283" s="55">
        <v>63443</v>
      </c>
      <c r="C283" t="s">
        <v>1631</v>
      </c>
      <c r="E283" t="s">
        <v>1623</v>
      </c>
    </row>
    <row r="284" spans="1:5" x14ac:dyDescent="0.25">
      <c r="A284">
        <v>353207945</v>
      </c>
      <c r="B284" s="55">
        <v>53401</v>
      </c>
      <c r="C284" t="s">
        <v>1671</v>
      </c>
      <c r="E284" t="s">
        <v>1623</v>
      </c>
    </row>
    <row r="285" spans="1:5" x14ac:dyDescent="0.25">
      <c r="A285">
        <v>353207945</v>
      </c>
      <c r="B285" s="56" t="s">
        <v>1639</v>
      </c>
      <c r="C285" t="s">
        <v>688</v>
      </c>
      <c r="E285" t="s">
        <v>1623</v>
      </c>
    </row>
    <row r="286" spans="1:5" x14ac:dyDescent="0.25">
      <c r="A286">
        <v>353207945</v>
      </c>
      <c r="B286" s="55">
        <v>58529</v>
      </c>
      <c r="C286" t="s">
        <v>1622</v>
      </c>
      <c r="E286" t="s">
        <v>1623</v>
      </c>
    </row>
    <row r="287" spans="1:5" x14ac:dyDescent="0.25">
      <c r="A287">
        <v>353207944</v>
      </c>
      <c r="B287" s="55">
        <v>38932</v>
      </c>
      <c r="C287" s="54" t="s">
        <v>1640</v>
      </c>
      <c r="D287" s="54"/>
      <c r="E287" t="s">
        <v>1623</v>
      </c>
    </row>
    <row r="288" spans="1:5" x14ac:dyDescent="0.25">
      <c r="A288">
        <v>353207944</v>
      </c>
      <c r="B288" s="56" t="s">
        <v>1639</v>
      </c>
      <c r="C288" s="54" t="s">
        <v>688</v>
      </c>
      <c r="D288" s="54"/>
      <c r="E288" t="s">
        <v>1623</v>
      </c>
    </row>
    <row r="289" spans="1:5" x14ac:dyDescent="0.25">
      <c r="A289">
        <v>353207944</v>
      </c>
      <c r="B289" s="56" t="s">
        <v>1638</v>
      </c>
      <c r="C289" s="54" t="s">
        <v>41</v>
      </c>
      <c r="D289" s="54"/>
      <c r="E289" t="s">
        <v>1623</v>
      </c>
    </row>
    <row r="290" spans="1:5" x14ac:dyDescent="0.25">
      <c r="A290">
        <v>353207943</v>
      </c>
      <c r="B290" s="55">
        <v>33902</v>
      </c>
      <c r="C290" t="s">
        <v>1667</v>
      </c>
      <c r="E290" t="s">
        <v>1623</v>
      </c>
    </row>
    <row r="291" spans="1:5" x14ac:dyDescent="0.25">
      <c r="A291">
        <v>353207943</v>
      </c>
      <c r="B291" s="55">
        <v>58762</v>
      </c>
      <c r="C291" t="s">
        <v>1653</v>
      </c>
      <c r="E291" t="s">
        <v>1623</v>
      </c>
    </row>
    <row r="292" spans="1:5" x14ac:dyDescent="0.25">
      <c r="A292">
        <v>353207943</v>
      </c>
      <c r="B292" s="56" t="s">
        <v>1638</v>
      </c>
      <c r="C292" t="s">
        <v>41</v>
      </c>
      <c r="E292" t="s">
        <v>1623</v>
      </c>
    </row>
    <row r="293" spans="1:5" x14ac:dyDescent="0.25">
      <c r="A293">
        <v>353207942</v>
      </c>
      <c r="B293" s="55">
        <v>63233</v>
      </c>
      <c r="C293" t="s">
        <v>1632</v>
      </c>
      <c r="E293" t="s">
        <v>1623</v>
      </c>
    </row>
    <row r="294" spans="1:5" x14ac:dyDescent="0.25">
      <c r="A294">
        <v>353207942</v>
      </c>
      <c r="B294" s="56" t="s">
        <v>1639</v>
      </c>
      <c r="C294" t="s">
        <v>688</v>
      </c>
      <c r="E294" t="s">
        <v>1623</v>
      </c>
    </row>
    <row r="295" spans="1:5" x14ac:dyDescent="0.25">
      <c r="A295">
        <v>353207942</v>
      </c>
      <c r="B295" s="55">
        <v>39105</v>
      </c>
      <c r="C295" t="s">
        <v>1651</v>
      </c>
      <c r="E295" t="s">
        <v>1623</v>
      </c>
    </row>
    <row r="296" spans="1:5" x14ac:dyDescent="0.25">
      <c r="A296">
        <v>353207941</v>
      </c>
      <c r="B296" s="55">
        <v>48362</v>
      </c>
      <c r="C296" s="54" t="s">
        <v>1647</v>
      </c>
      <c r="D296" s="54"/>
      <c r="E296" t="s">
        <v>1623</v>
      </c>
    </row>
    <row r="297" spans="1:5" x14ac:dyDescent="0.25">
      <c r="A297">
        <v>353207941</v>
      </c>
      <c r="B297" s="55">
        <v>33664</v>
      </c>
      <c r="C297" s="54" t="s">
        <v>1664</v>
      </c>
      <c r="D297" s="54"/>
      <c r="E297" t="s">
        <v>1623</v>
      </c>
    </row>
    <row r="298" spans="1:5" x14ac:dyDescent="0.25">
      <c r="A298">
        <v>353207941</v>
      </c>
      <c r="B298" s="55">
        <v>58762</v>
      </c>
      <c r="C298" s="54" t="s">
        <v>1653</v>
      </c>
      <c r="D298" s="54"/>
      <c r="E298" t="s">
        <v>1623</v>
      </c>
    </row>
    <row r="299" spans="1:5" x14ac:dyDescent="0.25">
      <c r="A299">
        <v>353207940</v>
      </c>
      <c r="B299" s="55">
        <v>48362</v>
      </c>
      <c r="C299" t="s">
        <v>1647</v>
      </c>
      <c r="E299" t="s">
        <v>1623</v>
      </c>
    </row>
    <row r="300" spans="1:5" x14ac:dyDescent="0.25">
      <c r="A300">
        <v>353207940</v>
      </c>
      <c r="B300" s="56" t="s">
        <v>1639</v>
      </c>
      <c r="C300" t="s">
        <v>688</v>
      </c>
      <c r="E300" t="s">
        <v>1623</v>
      </c>
    </row>
    <row r="301" spans="1:5" x14ac:dyDescent="0.25">
      <c r="A301">
        <v>353207940</v>
      </c>
      <c r="B301" s="56" t="s">
        <v>1638</v>
      </c>
      <c r="C301" t="s">
        <v>41</v>
      </c>
      <c r="E301" t="s">
        <v>1623</v>
      </c>
    </row>
    <row r="302" spans="1:5" x14ac:dyDescent="0.25">
      <c r="A302">
        <v>353207939</v>
      </c>
      <c r="B302" s="55">
        <v>38932</v>
      </c>
      <c r="C302" s="54" t="s">
        <v>1640</v>
      </c>
      <c r="D302" s="54"/>
      <c r="E302" t="s">
        <v>1623</v>
      </c>
    </row>
    <row r="303" spans="1:5" x14ac:dyDescent="0.25">
      <c r="A303">
        <v>353207939</v>
      </c>
      <c r="B303" s="56" t="s">
        <v>1638</v>
      </c>
      <c r="C303" t="s">
        <v>41</v>
      </c>
      <c r="E303" t="s">
        <v>1623</v>
      </c>
    </row>
    <row r="304" spans="1:5" x14ac:dyDescent="0.25">
      <c r="A304">
        <v>353207939</v>
      </c>
      <c r="B304" s="55">
        <v>58762</v>
      </c>
      <c r="C304" t="s">
        <v>1653</v>
      </c>
      <c r="E304" t="s">
        <v>1623</v>
      </c>
    </row>
    <row r="305" spans="1:5" x14ac:dyDescent="0.25">
      <c r="A305">
        <v>353207939</v>
      </c>
      <c r="B305" s="56" t="s">
        <v>1639</v>
      </c>
      <c r="C305" t="s">
        <v>688</v>
      </c>
      <c r="E305" t="s">
        <v>1623</v>
      </c>
    </row>
    <row r="306" spans="1:5" x14ac:dyDescent="0.25">
      <c r="A306">
        <v>353207939</v>
      </c>
      <c r="B306" s="55">
        <v>63233</v>
      </c>
      <c r="C306" t="s">
        <v>1632</v>
      </c>
      <c r="E306" t="s">
        <v>1623</v>
      </c>
    </row>
    <row r="307" spans="1:5" x14ac:dyDescent="0.25">
      <c r="A307">
        <v>353207938</v>
      </c>
      <c r="B307" s="55">
        <v>63233</v>
      </c>
      <c r="C307" s="54" t="s">
        <v>1632</v>
      </c>
      <c r="D307" s="54"/>
      <c r="E307" t="s">
        <v>1623</v>
      </c>
    </row>
    <row r="308" spans="1:5" x14ac:dyDescent="0.25">
      <c r="A308">
        <v>353207938</v>
      </c>
      <c r="B308" s="56" t="s">
        <v>1639</v>
      </c>
      <c r="C308" s="54" t="s">
        <v>688</v>
      </c>
      <c r="D308" s="54"/>
      <c r="E308" t="s">
        <v>1623</v>
      </c>
    </row>
    <row r="309" spans="1:5" x14ac:dyDescent="0.25">
      <c r="A309">
        <v>353207938</v>
      </c>
      <c r="B309" s="56" t="s">
        <v>1638</v>
      </c>
      <c r="C309" s="54" t="s">
        <v>41</v>
      </c>
      <c r="D309" s="54"/>
      <c r="E309" t="s">
        <v>1623</v>
      </c>
    </row>
    <row r="310" spans="1:5" x14ac:dyDescent="0.25">
      <c r="A310">
        <v>353207937</v>
      </c>
      <c r="B310" s="55">
        <v>33902</v>
      </c>
      <c r="C310" s="54" t="s">
        <v>1667</v>
      </c>
      <c r="D310" s="54"/>
      <c r="E310" t="s">
        <v>1623</v>
      </c>
    </row>
    <row r="311" spans="1:5" x14ac:dyDescent="0.25">
      <c r="A311">
        <v>353207937</v>
      </c>
      <c r="B311" s="55">
        <v>58833</v>
      </c>
      <c r="C311" t="s">
        <v>1668</v>
      </c>
      <c r="E311" t="s">
        <v>1623</v>
      </c>
    </row>
    <row r="312" spans="1:5" x14ac:dyDescent="0.25">
      <c r="A312">
        <v>353207937</v>
      </c>
      <c r="B312" s="56" t="s">
        <v>1638</v>
      </c>
      <c r="C312" t="s">
        <v>41</v>
      </c>
      <c r="E312" t="s">
        <v>1623</v>
      </c>
    </row>
    <row r="313" spans="1:5" x14ac:dyDescent="0.25">
      <c r="A313">
        <v>353207937</v>
      </c>
      <c r="B313" s="55">
        <v>63443</v>
      </c>
      <c r="C313" t="s">
        <v>1631</v>
      </c>
      <c r="E313" t="s">
        <v>1623</v>
      </c>
    </row>
    <row r="314" spans="1:5" x14ac:dyDescent="0.25">
      <c r="A314">
        <v>353207936</v>
      </c>
      <c r="B314" s="56" t="s">
        <v>1639</v>
      </c>
      <c r="C314" t="s">
        <v>688</v>
      </c>
      <c r="E314" t="s">
        <v>1623</v>
      </c>
    </row>
    <row r="315" spans="1:5" x14ac:dyDescent="0.25">
      <c r="A315">
        <v>353207936</v>
      </c>
      <c r="B315" s="55">
        <v>58833</v>
      </c>
      <c r="C315" t="s">
        <v>1668</v>
      </c>
      <c r="E315" t="s">
        <v>1623</v>
      </c>
    </row>
    <row r="316" spans="1:5" x14ac:dyDescent="0.25">
      <c r="A316">
        <v>353207936</v>
      </c>
      <c r="B316" s="55">
        <v>33664</v>
      </c>
      <c r="C316" t="s">
        <v>1664</v>
      </c>
      <c r="E316" t="s">
        <v>1623</v>
      </c>
    </row>
    <row r="317" spans="1:5" x14ac:dyDescent="0.25">
      <c r="A317">
        <v>353207936</v>
      </c>
      <c r="B317" s="56" t="s">
        <v>1638</v>
      </c>
      <c r="C317" t="s">
        <v>41</v>
      </c>
      <c r="E317" t="s">
        <v>1623</v>
      </c>
    </row>
    <row r="318" spans="1:5" x14ac:dyDescent="0.25">
      <c r="A318">
        <v>353207935</v>
      </c>
      <c r="B318" s="55">
        <v>63443</v>
      </c>
      <c r="C318" s="54" t="s">
        <v>1631</v>
      </c>
      <c r="D318" s="54"/>
      <c r="E318" t="s">
        <v>1623</v>
      </c>
    </row>
    <row r="319" spans="1:5" x14ac:dyDescent="0.25">
      <c r="A319">
        <v>353207935</v>
      </c>
      <c r="B319" s="56" t="s">
        <v>1639</v>
      </c>
      <c r="C319" s="54" t="s">
        <v>688</v>
      </c>
      <c r="D319" s="54"/>
      <c r="E319" t="s">
        <v>1623</v>
      </c>
    </row>
    <row r="320" spans="1:5" x14ac:dyDescent="0.25">
      <c r="A320">
        <v>353207935</v>
      </c>
      <c r="B320" s="55">
        <v>58833</v>
      </c>
      <c r="C320" t="s">
        <v>1668</v>
      </c>
      <c r="E320" t="s">
        <v>1623</v>
      </c>
    </row>
    <row r="321" spans="1:5" x14ac:dyDescent="0.25">
      <c r="A321">
        <v>353207934</v>
      </c>
      <c r="B321" s="55">
        <v>33664</v>
      </c>
      <c r="C321" t="s">
        <v>1664</v>
      </c>
      <c r="E321" t="s">
        <v>1623</v>
      </c>
    </row>
    <row r="322" spans="1:5" x14ac:dyDescent="0.25">
      <c r="A322">
        <v>353207934</v>
      </c>
      <c r="B322" s="55">
        <v>48362</v>
      </c>
      <c r="C322" t="s">
        <v>1647</v>
      </c>
      <c r="E322" t="s">
        <v>1623</v>
      </c>
    </row>
    <row r="323" spans="1:5" x14ac:dyDescent="0.25">
      <c r="A323">
        <v>353207934</v>
      </c>
      <c r="B323" s="56" t="s">
        <v>1638</v>
      </c>
      <c r="C323" t="s">
        <v>41</v>
      </c>
      <c r="E323" t="s">
        <v>1623</v>
      </c>
    </row>
    <row r="324" spans="1:5" x14ac:dyDescent="0.25">
      <c r="A324">
        <v>353207933</v>
      </c>
      <c r="B324" s="55">
        <v>33664</v>
      </c>
      <c r="C324" t="s">
        <v>1664</v>
      </c>
      <c r="E324" t="s">
        <v>1623</v>
      </c>
    </row>
    <row r="325" spans="1:5" x14ac:dyDescent="0.25">
      <c r="A325">
        <v>353207933</v>
      </c>
      <c r="B325" s="55">
        <v>48362</v>
      </c>
      <c r="C325" t="s">
        <v>1647</v>
      </c>
      <c r="E325" t="s">
        <v>1623</v>
      </c>
    </row>
    <row r="326" spans="1:5" x14ac:dyDescent="0.25">
      <c r="A326">
        <v>353207933</v>
      </c>
      <c r="B326" s="55">
        <v>63443</v>
      </c>
      <c r="C326" t="s">
        <v>1631</v>
      </c>
      <c r="E326" t="s">
        <v>1623</v>
      </c>
    </row>
    <row r="327" spans="1:5" x14ac:dyDescent="0.25">
      <c r="A327">
        <v>353207933</v>
      </c>
      <c r="B327" s="56" t="s">
        <v>1638</v>
      </c>
      <c r="C327" t="s">
        <v>41</v>
      </c>
      <c r="E327" t="s">
        <v>1623</v>
      </c>
    </row>
    <row r="328" spans="1:5" x14ac:dyDescent="0.25">
      <c r="A328">
        <v>353207932</v>
      </c>
      <c r="B328" s="56" t="s">
        <v>1639</v>
      </c>
      <c r="C328" t="s">
        <v>688</v>
      </c>
      <c r="E328" t="s">
        <v>1623</v>
      </c>
    </row>
    <row r="329" spans="1:5" x14ac:dyDescent="0.25">
      <c r="A329">
        <v>353207932</v>
      </c>
      <c r="B329" s="55">
        <v>58529</v>
      </c>
      <c r="C329" t="s">
        <v>1622</v>
      </c>
      <c r="E329" t="s">
        <v>1623</v>
      </c>
    </row>
    <row r="330" spans="1:5" x14ac:dyDescent="0.25">
      <c r="A330">
        <v>353207931</v>
      </c>
      <c r="B330" s="55">
        <v>48362</v>
      </c>
      <c r="C330" s="54" t="s">
        <v>1647</v>
      </c>
      <c r="D330" s="54"/>
      <c r="E330" t="s">
        <v>1623</v>
      </c>
    </row>
    <row r="331" spans="1:5" x14ac:dyDescent="0.25">
      <c r="A331">
        <v>353207931</v>
      </c>
      <c r="B331" s="56" t="s">
        <v>1638</v>
      </c>
      <c r="C331" t="s">
        <v>41</v>
      </c>
      <c r="E331" t="s">
        <v>1623</v>
      </c>
    </row>
    <row r="332" spans="1:5" x14ac:dyDescent="0.25">
      <c r="A332">
        <v>353207931</v>
      </c>
      <c r="B332" s="56" t="s">
        <v>1639</v>
      </c>
      <c r="C332" t="s">
        <v>688</v>
      </c>
      <c r="E332" t="s">
        <v>1623</v>
      </c>
    </row>
    <row r="333" spans="1:5" x14ac:dyDescent="0.25">
      <c r="A333">
        <v>353207931</v>
      </c>
      <c r="B333" s="55">
        <v>39105</v>
      </c>
      <c r="C333" t="s">
        <v>1651</v>
      </c>
      <c r="E333" t="s">
        <v>1623</v>
      </c>
    </row>
    <row r="334" spans="1:5" x14ac:dyDescent="0.25">
      <c r="A334">
        <v>353207931</v>
      </c>
      <c r="B334" s="55">
        <v>63233</v>
      </c>
      <c r="C334" t="s">
        <v>1632</v>
      </c>
      <c r="E334" t="s">
        <v>1623</v>
      </c>
    </row>
    <row r="335" spans="1:5" x14ac:dyDescent="0.25">
      <c r="A335">
        <v>353207930</v>
      </c>
      <c r="B335" s="55">
        <v>48362</v>
      </c>
      <c r="C335" s="54" t="s">
        <v>1647</v>
      </c>
      <c r="D335" s="54"/>
      <c r="E335" t="s">
        <v>1623</v>
      </c>
    </row>
    <row r="336" spans="1:5" x14ac:dyDescent="0.25">
      <c r="A336">
        <v>353207930</v>
      </c>
      <c r="B336" s="55">
        <v>33664</v>
      </c>
      <c r="C336" s="54" t="s">
        <v>1664</v>
      </c>
      <c r="D336" s="54"/>
      <c r="E336" t="s">
        <v>1623</v>
      </c>
    </row>
    <row r="337" spans="1:5" x14ac:dyDescent="0.25">
      <c r="A337">
        <v>343203766</v>
      </c>
      <c r="B337" s="55" t="s">
        <v>1669</v>
      </c>
      <c r="C337" s="54" t="s">
        <v>1670</v>
      </c>
      <c r="D337" s="54"/>
      <c r="E337" t="s">
        <v>1625</v>
      </c>
    </row>
    <row r="338" spans="1:5" x14ac:dyDescent="0.25">
      <c r="A338">
        <v>343203765</v>
      </c>
      <c r="B338" s="55">
        <v>43759</v>
      </c>
      <c r="C338" s="54" t="s">
        <v>1646</v>
      </c>
      <c r="D338" s="54"/>
      <c r="E338" t="s">
        <v>1625</v>
      </c>
    </row>
    <row r="339" spans="1:5" x14ac:dyDescent="0.25">
      <c r="A339">
        <v>343203765</v>
      </c>
      <c r="B339" s="56" t="s">
        <v>1639</v>
      </c>
      <c r="C339" s="54" t="s">
        <v>688</v>
      </c>
      <c r="D339" s="54"/>
      <c r="E339" t="s">
        <v>1625</v>
      </c>
    </row>
    <row r="340" spans="1:5" x14ac:dyDescent="0.25">
      <c r="A340">
        <v>343203764</v>
      </c>
      <c r="B340" s="55">
        <v>48359</v>
      </c>
      <c r="C340" s="54" t="s">
        <v>1648</v>
      </c>
      <c r="D340" s="54"/>
      <c r="E340" t="s">
        <v>1625</v>
      </c>
    </row>
    <row r="341" spans="1:5" x14ac:dyDescent="0.25">
      <c r="A341">
        <v>343203764</v>
      </c>
      <c r="B341" s="55">
        <v>58529</v>
      </c>
      <c r="C341" s="54" t="s">
        <v>1622</v>
      </c>
      <c r="D341" s="54"/>
      <c r="E341" t="s">
        <v>1625</v>
      </c>
    </row>
    <row r="342" spans="1:5" x14ac:dyDescent="0.25">
      <c r="A342">
        <v>343203764</v>
      </c>
      <c r="B342" s="55">
        <v>53693</v>
      </c>
      <c r="C342" s="54" t="s">
        <v>1656</v>
      </c>
      <c r="D342" s="54"/>
      <c r="E342" t="s">
        <v>1625</v>
      </c>
    </row>
    <row r="343" spans="1:5" x14ac:dyDescent="0.25">
      <c r="A343">
        <v>343203763</v>
      </c>
      <c r="B343" s="55">
        <v>58529</v>
      </c>
      <c r="C343" s="54" t="s">
        <v>1622</v>
      </c>
      <c r="D343" s="54"/>
      <c r="E343" t="s">
        <v>1625</v>
      </c>
    </row>
    <row r="344" spans="1:5" x14ac:dyDescent="0.25">
      <c r="A344">
        <v>343203763</v>
      </c>
      <c r="B344" s="55">
        <v>44142</v>
      </c>
      <c r="C344" s="54" t="s">
        <v>1624</v>
      </c>
      <c r="D344" s="54"/>
      <c r="E344" t="s">
        <v>1625</v>
      </c>
    </row>
    <row r="345" spans="1:5" x14ac:dyDescent="0.25">
      <c r="A345">
        <v>343203762</v>
      </c>
      <c r="B345" s="55">
        <v>48359</v>
      </c>
      <c r="C345" t="s">
        <v>1648</v>
      </c>
      <c r="E345" t="s">
        <v>1625</v>
      </c>
    </row>
    <row r="346" spans="1:5" x14ac:dyDescent="0.25">
      <c r="A346">
        <v>343203762</v>
      </c>
      <c r="B346" s="56" t="s">
        <v>1639</v>
      </c>
      <c r="C346" t="s">
        <v>688</v>
      </c>
      <c r="E346" t="s">
        <v>1625</v>
      </c>
    </row>
    <row r="347" spans="1:5" x14ac:dyDescent="0.25">
      <c r="A347">
        <v>343203761</v>
      </c>
      <c r="B347" s="55">
        <v>43759</v>
      </c>
      <c r="C347" t="s">
        <v>1646</v>
      </c>
      <c r="E347" t="s">
        <v>1625</v>
      </c>
    </row>
    <row r="348" spans="1:5" x14ac:dyDescent="0.25">
      <c r="A348">
        <v>343203761</v>
      </c>
      <c r="B348" s="55">
        <v>48359</v>
      </c>
      <c r="C348" t="s">
        <v>1648</v>
      </c>
      <c r="E348" t="s">
        <v>1625</v>
      </c>
    </row>
    <row r="349" spans="1:5" x14ac:dyDescent="0.25">
      <c r="A349">
        <v>343203760</v>
      </c>
      <c r="B349" s="55">
        <v>44142</v>
      </c>
      <c r="C349" t="s">
        <v>1624</v>
      </c>
      <c r="E349" t="s">
        <v>1625</v>
      </c>
    </row>
    <row r="350" spans="1:5" x14ac:dyDescent="0.25">
      <c r="A350">
        <v>343203760</v>
      </c>
      <c r="B350" s="55">
        <v>39103</v>
      </c>
      <c r="C350" t="s">
        <v>1658</v>
      </c>
      <c r="E350" t="s">
        <v>1625</v>
      </c>
    </row>
    <row r="351" spans="1:5" x14ac:dyDescent="0.25">
      <c r="A351">
        <v>343203760</v>
      </c>
      <c r="B351" s="55">
        <v>58529</v>
      </c>
      <c r="C351" t="s">
        <v>1622</v>
      </c>
      <c r="E351" t="s">
        <v>1625</v>
      </c>
    </row>
    <row r="352" spans="1:5" x14ac:dyDescent="0.25">
      <c r="A352">
        <v>343203759</v>
      </c>
      <c r="B352" s="55">
        <v>48359</v>
      </c>
      <c r="C352" s="54" t="s">
        <v>1648</v>
      </c>
      <c r="D352" s="54"/>
      <c r="E352" t="s">
        <v>1625</v>
      </c>
    </row>
    <row r="353" spans="1:5" x14ac:dyDescent="0.25">
      <c r="A353">
        <v>343203759</v>
      </c>
      <c r="B353" s="56" t="s">
        <v>1639</v>
      </c>
      <c r="C353" s="54" t="s">
        <v>688</v>
      </c>
      <c r="D353" s="54"/>
      <c r="E353" t="s">
        <v>1625</v>
      </c>
    </row>
    <row r="354" spans="1:5" x14ac:dyDescent="0.25">
      <c r="A354">
        <v>343203758</v>
      </c>
      <c r="B354" s="55">
        <v>53693</v>
      </c>
      <c r="C354" s="54" t="s">
        <v>1656</v>
      </c>
      <c r="D354" s="54"/>
      <c r="E354" t="s">
        <v>1625</v>
      </c>
    </row>
    <row r="355" spans="1:5" x14ac:dyDescent="0.25">
      <c r="A355">
        <v>343203758</v>
      </c>
      <c r="B355" s="56" t="s">
        <v>1639</v>
      </c>
      <c r="C355" s="54" t="s">
        <v>688</v>
      </c>
      <c r="D355" s="54"/>
      <c r="E355" t="s">
        <v>1625</v>
      </c>
    </row>
    <row r="356" spans="1:5" x14ac:dyDescent="0.25">
      <c r="A356">
        <v>343203758</v>
      </c>
      <c r="B356" s="55">
        <v>48362</v>
      </c>
      <c r="C356" s="54" t="s">
        <v>1647</v>
      </c>
      <c r="D356" s="54"/>
      <c r="E356" t="s">
        <v>1625</v>
      </c>
    </row>
    <row r="357" spans="1:5" x14ac:dyDescent="0.25">
      <c r="A357">
        <v>343203757</v>
      </c>
      <c r="B357" s="55">
        <v>53693</v>
      </c>
      <c r="C357" s="54" t="s">
        <v>1656</v>
      </c>
      <c r="D357" s="54"/>
      <c r="E357" t="s">
        <v>1625</v>
      </c>
    </row>
    <row r="358" spans="1:5" x14ac:dyDescent="0.25">
      <c r="A358">
        <v>343203757</v>
      </c>
      <c r="B358" s="55">
        <v>44142</v>
      </c>
      <c r="C358" s="54" t="s">
        <v>1624</v>
      </c>
      <c r="D358" s="54"/>
      <c r="E358" t="s">
        <v>1625</v>
      </c>
    </row>
    <row r="359" spans="1:5" x14ac:dyDescent="0.25">
      <c r="A359">
        <v>343203757</v>
      </c>
      <c r="B359" s="55">
        <v>58529</v>
      </c>
      <c r="C359" s="54" t="s">
        <v>1622</v>
      </c>
      <c r="D359" s="54"/>
      <c r="E359" t="s">
        <v>1625</v>
      </c>
    </row>
    <row r="360" spans="1:5" x14ac:dyDescent="0.25">
      <c r="A360">
        <v>343203756</v>
      </c>
      <c r="B360" s="56" t="s">
        <v>1639</v>
      </c>
      <c r="C360" s="54" t="s">
        <v>688</v>
      </c>
      <c r="D360" s="54"/>
      <c r="E360" t="s">
        <v>1625</v>
      </c>
    </row>
    <row r="361" spans="1:5" x14ac:dyDescent="0.25">
      <c r="A361">
        <v>343203756</v>
      </c>
      <c r="B361" s="55">
        <v>44259</v>
      </c>
      <c r="C361" s="54" t="s">
        <v>1641</v>
      </c>
      <c r="D361" s="54"/>
      <c r="E361" t="s">
        <v>1625</v>
      </c>
    </row>
    <row r="362" spans="1:5" x14ac:dyDescent="0.25">
      <c r="A362">
        <v>343203756</v>
      </c>
      <c r="B362" s="55">
        <v>58529</v>
      </c>
      <c r="C362" s="54" t="s">
        <v>1622</v>
      </c>
      <c r="D362" s="54"/>
      <c r="E362" t="s">
        <v>1625</v>
      </c>
    </row>
    <row r="363" spans="1:5" x14ac:dyDescent="0.25">
      <c r="A363">
        <v>343203755</v>
      </c>
      <c r="B363" s="55">
        <v>38932</v>
      </c>
      <c r="C363" s="54" t="s">
        <v>1640</v>
      </c>
      <c r="D363" s="54"/>
      <c r="E363" t="s">
        <v>1625</v>
      </c>
    </row>
    <row r="364" spans="1:5" x14ac:dyDescent="0.25">
      <c r="A364">
        <v>343203755</v>
      </c>
      <c r="B364" s="56" t="s">
        <v>1639</v>
      </c>
      <c r="C364" s="54" t="s">
        <v>688</v>
      </c>
      <c r="D364" s="54"/>
      <c r="E364" t="s">
        <v>1625</v>
      </c>
    </row>
    <row r="365" spans="1:5" x14ac:dyDescent="0.25">
      <c r="A365">
        <v>343203754</v>
      </c>
      <c r="B365" s="55">
        <v>43759</v>
      </c>
      <c r="C365" t="s">
        <v>1646</v>
      </c>
      <c r="E365" t="s">
        <v>1625</v>
      </c>
    </row>
    <row r="366" spans="1:5" x14ac:dyDescent="0.25">
      <c r="A366">
        <v>343203754</v>
      </c>
      <c r="B366" s="55">
        <v>58529</v>
      </c>
      <c r="C366" t="s">
        <v>1622</v>
      </c>
      <c r="E366" t="s">
        <v>1625</v>
      </c>
    </row>
    <row r="367" spans="1:5" x14ac:dyDescent="0.25">
      <c r="A367">
        <v>343203754</v>
      </c>
      <c r="B367" s="56" t="s">
        <v>1639</v>
      </c>
      <c r="C367" t="s">
        <v>688</v>
      </c>
      <c r="E367" t="s">
        <v>1625</v>
      </c>
    </row>
    <row r="368" spans="1:5" x14ac:dyDescent="0.25">
      <c r="A368">
        <v>343203753</v>
      </c>
      <c r="B368" s="55">
        <v>38932</v>
      </c>
      <c r="C368" s="54" t="s">
        <v>1640</v>
      </c>
      <c r="D368" s="54"/>
      <c r="E368" t="s">
        <v>1625</v>
      </c>
    </row>
    <row r="369" spans="1:5" x14ac:dyDescent="0.25">
      <c r="A369">
        <v>343203753</v>
      </c>
      <c r="B369" s="56" t="s">
        <v>1639</v>
      </c>
      <c r="C369" s="54" t="s">
        <v>688</v>
      </c>
      <c r="D369" s="54"/>
      <c r="E369" t="s">
        <v>1625</v>
      </c>
    </row>
    <row r="370" spans="1:5" x14ac:dyDescent="0.25">
      <c r="A370">
        <v>343203752</v>
      </c>
      <c r="B370" s="55">
        <v>48362</v>
      </c>
      <c r="C370" t="s">
        <v>1647</v>
      </c>
      <c r="E370" t="s">
        <v>1625</v>
      </c>
    </row>
    <row r="371" spans="1:5" x14ac:dyDescent="0.25">
      <c r="A371">
        <v>343203752</v>
      </c>
      <c r="B371" s="55">
        <v>58529</v>
      </c>
      <c r="C371" t="s">
        <v>1622</v>
      </c>
      <c r="E371" t="s">
        <v>1625</v>
      </c>
    </row>
    <row r="372" spans="1:5" x14ac:dyDescent="0.25">
      <c r="A372">
        <v>343203752</v>
      </c>
      <c r="B372" s="55">
        <v>53693</v>
      </c>
      <c r="C372" t="s">
        <v>1656</v>
      </c>
      <c r="E372" t="s">
        <v>1625</v>
      </c>
    </row>
    <row r="373" spans="1:5" x14ac:dyDescent="0.25">
      <c r="A373">
        <v>343203751</v>
      </c>
      <c r="B373" s="55">
        <v>38932</v>
      </c>
      <c r="C373" t="s">
        <v>1640</v>
      </c>
      <c r="E373" t="s">
        <v>1625</v>
      </c>
    </row>
    <row r="374" spans="1:5" x14ac:dyDescent="0.25">
      <c r="A374">
        <v>343203751</v>
      </c>
      <c r="B374" s="55">
        <v>58529</v>
      </c>
      <c r="C374" t="s">
        <v>1622</v>
      </c>
      <c r="E374" t="s">
        <v>1625</v>
      </c>
    </row>
    <row r="375" spans="1:5" x14ac:dyDescent="0.25">
      <c r="A375">
        <v>343203750</v>
      </c>
      <c r="B375" s="56" t="s">
        <v>1639</v>
      </c>
      <c r="C375" s="54" t="s">
        <v>688</v>
      </c>
      <c r="D375" s="54"/>
      <c r="E375" t="s">
        <v>1625</v>
      </c>
    </row>
    <row r="376" spans="1:5" x14ac:dyDescent="0.25">
      <c r="A376">
        <v>343203748</v>
      </c>
      <c r="B376" s="55" t="s">
        <v>1690</v>
      </c>
      <c r="C376" s="54" t="s">
        <v>1691</v>
      </c>
      <c r="D376" s="54"/>
      <c r="E376" t="s">
        <v>1625</v>
      </c>
    </row>
    <row r="377" spans="1:5" x14ac:dyDescent="0.25">
      <c r="A377">
        <v>343203748</v>
      </c>
      <c r="B377" s="55" t="s">
        <v>1692</v>
      </c>
      <c r="C377" s="54" t="s">
        <v>1693</v>
      </c>
      <c r="D377" s="54"/>
      <c r="E377" t="s">
        <v>1625</v>
      </c>
    </row>
    <row r="378" spans="1:5" x14ac:dyDescent="0.25">
      <c r="A378">
        <v>343203747</v>
      </c>
      <c r="B378" s="55">
        <v>58529</v>
      </c>
      <c r="C378" s="54" t="s">
        <v>1622</v>
      </c>
      <c r="D378" s="54"/>
      <c r="E378" t="s">
        <v>1625</v>
      </c>
    </row>
    <row r="379" spans="1:5" x14ac:dyDescent="0.25">
      <c r="A379">
        <v>343203747</v>
      </c>
      <c r="B379" s="55">
        <v>44142</v>
      </c>
      <c r="C379" s="54" t="s">
        <v>1624</v>
      </c>
      <c r="D379" s="54"/>
      <c r="E379" t="s">
        <v>1625</v>
      </c>
    </row>
    <row r="380" spans="1:5" x14ac:dyDescent="0.25">
      <c r="A380">
        <v>343203746</v>
      </c>
      <c r="B380" s="56" t="s">
        <v>1639</v>
      </c>
      <c r="C380" t="s">
        <v>688</v>
      </c>
      <c r="E380" t="s">
        <v>1625</v>
      </c>
    </row>
    <row r="381" spans="1:5" x14ac:dyDescent="0.25">
      <c r="A381">
        <v>343203746</v>
      </c>
      <c r="B381" s="55">
        <v>58529</v>
      </c>
      <c r="C381" t="s">
        <v>1622</v>
      </c>
      <c r="E381" t="s">
        <v>1625</v>
      </c>
    </row>
    <row r="382" spans="1:5" x14ac:dyDescent="0.25">
      <c r="A382">
        <v>343203745</v>
      </c>
      <c r="B382" s="55">
        <v>39103</v>
      </c>
      <c r="C382" s="54" t="s">
        <v>1658</v>
      </c>
      <c r="D382" s="54"/>
      <c r="E382" t="s">
        <v>1625</v>
      </c>
    </row>
    <row r="383" spans="1:5" x14ac:dyDescent="0.25">
      <c r="A383">
        <v>343203745</v>
      </c>
      <c r="B383" s="55">
        <v>58529</v>
      </c>
      <c r="C383" s="54" t="s">
        <v>1622</v>
      </c>
      <c r="D383" s="54"/>
      <c r="E383" t="s">
        <v>1625</v>
      </c>
    </row>
    <row r="384" spans="1:5" x14ac:dyDescent="0.25">
      <c r="A384">
        <v>343203745</v>
      </c>
      <c r="B384" s="56" t="s">
        <v>1639</v>
      </c>
      <c r="C384" s="54" t="s">
        <v>688</v>
      </c>
      <c r="D384" s="54"/>
      <c r="E384" t="s">
        <v>1625</v>
      </c>
    </row>
    <row r="385" spans="1:5" x14ac:dyDescent="0.25">
      <c r="A385">
        <v>343203744</v>
      </c>
      <c r="B385" s="55">
        <v>58529</v>
      </c>
      <c r="C385" s="54" t="s">
        <v>1622</v>
      </c>
      <c r="D385" s="54"/>
      <c r="E385" t="s">
        <v>1625</v>
      </c>
    </row>
    <row r="386" spans="1:5" x14ac:dyDescent="0.25">
      <c r="A386">
        <v>343203744</v>
      </c>
      <c r="B386" s="56" t="s">
        <v>1639</v>
      </c>
      <c r="C386" s="54" t="s">
        <v>688</v>
      </c>
      <c r="D386" s="54"/>
      <c r="E386" t="s">
        <v>1625</v>
      </c>
    </row>
    <row r="387" spans="1:5" x14ac:dyDescent="0.25">
      <c r="A387">
        <v>343203743</v>
      </c>
      <c r="B387" s="55">
        <v>44259</v>
      </c>
      <c r="C387" t="s">
        <v>1641</v>
      </c>
      <c r="E387" t="s">
        <v>1625</v>
      </c>
    </row>
    <row r="388" spans="1:5" x14ac:dyDescent="0.25">
      <c r="A388">
        <v>343203743</v>
      </c>
      <c r="B388" s="55">
        <v>53693</v>
      </c>
      <c r="C388" t="s">
        <v>1656</v>
      </c>
      <c r="E388" t="s">
        <v>1625</v>
      </c>
    </row>
    <row r="389" spans="1:5" x14ac:dyDescent="0.25">
      <c r="A389">
        <v>343203743</v>
      </c>
      <c r="B389" s="56" t="s">
        <v>1639</v>
      </c>
      <c r="C389" t="s">
        <v>688</v>
      </c>
      <c r="E389" t="s">
        <v>1625</v>
      </c>
    </row>
    <row r="390" spans="1:5" x14ac:dyDescent="0.25">
      <c r="A390">
        <v>343203742</v>
      </c>
      <c r="B390" s="55" t="s">
        <v>1688</v>
      </c>
      <c r="C390" s="54" t="s">
        <v>1689</v>
      </c>
      <c r="D390" s="54"/>
      <c r="E390" t="s">
        <v>1625</v>
      </c>
    </row>
    <row r="391" spans="1:5" x14ac:dyDescent="0.25">
      <c r="A391">
        <v>343203741</v>
      </c>
      <c r="B391" s="55">
        <v>39103</v>
      </c>
      <c r="C391" t="s">
        <v>1658</v>
      </c>
      <c r="E391" t="s">
        <v>1625</v>
      </c>
    </row>
    <row r="392" spans="1:5" x14ac:dyDescent="0.25">
      <c r="A392">
        <v>343203741</v>
      </c>
      <c r="B392" s="55">
        <v>58529</v>
      </c>
      <c r="C392" t="s">
        <v>1622</v>
      </c>
      <c r="E392" t="s">
        <v>1625</v>
      </c>
    </row>
    <row r="393" spans="1:5" x14ac:dyDescent="0.25">
      <c r="A393">
        <v>343203740</v>
      </c>
      <c r="B393" s="55">
        <v>44259</v>
      </c>
      <c r="C393" s="54" t="s">
        <v>1641</v>
      </c>
      <c r="D393" s="54"/>
      <c r="E393" t="s">
        <v>1625</v>
      </c>
    </row>
    <row r="394" spans="1:5" x14ac:dyDescent="0.25">
      <c r="A394">
        <v>343203740</v>
      </c>
      <c r="B394" s="55">
        <v>58529</v>
      </c>
      <c r="C394" s="54" t="s">
        <v>1622</v>
      </c>
      <c r="D394" s="54"/>
      <c r="E394" t="s">
        <v>1625</v>
      </c>
    </row>
    <row r="395" spans="1:5" x14ac:dyDescent="0.25">
      <c r="A395">
        <v>343203739</v>
      </c>
      <c r="B395" s="55">
        <v>58529</v>
      </c>
      <c r="C395" s="54" t="s">
        <v>1622</v>
      </c>
      <c r="D395" s="54"/>
      <c r="E395" t="s">
        <v>1625</v>
      </c>
    </row>
    <row r="396" spans="1:5" x14ac:dyDescent="0.25">
      <c r="A396">
        <v>343203739</v>
      </c>
      <c r="B396" s="55">
        <v>44142</v>
      </c>
      <c r="C396" s="54" t="s">
        <v>1624</v>
      </c>
      <c r="D396" s="54"/>
      <c r="E396" t="s">
        <v>1625</v>
      </c>
    </row>
    <row r="397" spans="1:5" x14ac:dyDescent="0.25">
      <c r="A397">
        <v>343203739</v>
      </c>
      <c r="B397" s="55">
        <v>39103</v>
      </c>
      <c r="C397" s="54" t="s">
        <v>1658</v>
      </c>
      <c r="D397" s="54"/>
      <c r="E397" t="s">
        <v>1625</v>
      </c>
    </row>
    <row r="398" spans="1:5" x14ac:dyDescent="0.25">
      <c r="A398">
        <v>343203738</v>
      </c>
      <c r="B398" s="55">
        <v>58529</v>
      </c>
      <c r="C398" s="54" t="s">
        <v>1622</v>
      </c>
      <c r="D398" s="54"/>
      <c r="E398" t="s">
        <v>1625</v>
      </c>
    </row>
    <row r="399" spans="1:5" x14ac:dyDescent="0.25">
      <c r="A399">
        <v>343203738</v>
      </c>
      <c r="B399" s="55">
        <v>48359</v>
      </c>
      <c r="C399" s="54" t="s">
        <v>1648</v>
      </c>
      <c r="D399" s="54"/>
      <c r="E399" t="s">
        <v>1625</v>
      </c>
    </row>
    <row r="400" spans="1:5" x14ac:dyDescent="0.25">
      <c r="A400">
        <v>343203738</v>
      </c>
      <c r="B400" s="55">
        <v>44142</v>
      </c>
      <c r="C400" s="54" t="s">
        <v>1624</v>
      </c>
      <c r="D400" s="54"/>
      <c r="E400" t="s">
        <v>1625</v>
      </c>
    </row>
    <row r="401" spans="1:5" x14ac:dyDescent="0.25">
      <c r="A401">
        <v>343203737</v>
      </c>
      <c r="B401" s="55" t="s">
        <v>1665</v>
      </c>
      <c r="C401" s="54" t="s">
        <v>1666</v>
      </c>
      <c r="D401" s="54"/>
      <c r="E401" t="s">
        <v>1625</v>
      </c>
    </row>
    <row r="402" spans="1:5" x14ac:dyDescent="0.25">
      <c r="A402">
        <v>343203737</v>
      </c>
      <c r="B402" s="55" t="s">
        <v>1642</v>
      </c>
      <c r="C402" t="s">
        <v>1643</v>
      </c>
      <c r="E402" t="s">
        <v>1625</v>
      </c>
    </row>
    <row r="403" spans="1:5" x14ac:dyDescent="0.25">
      <c r="A403">
        <v>343203737</v>
      </c>
      <c r="B403" s="55" t="s">
        <v>1669</v>
      </c>
      <c r="C403" t="s">
        <v>1670</v>
      </c>
      <c r="E403" t="s">
        <v>1625</v>
      </c>
    </row>
    <row r="404" spans="1:5" x14ac:dyDescent="0.25">
      <c r="A404">
        <v>343203736</v>
      </c>
      <c r="B404" s="55">
        <v>58529</v>
      </c>
      <c r="C404" s="54" t="s">
        <v>1622</v>
      </c>
      <c r="D404" s="54"/>
      <c r="E404" t="s">
        <v>1625</v>
      </c>
    </row>
    <row r="405" spans="1:5" x14ac:dyDescent="0.25">
      <c r="A405">
        <v>343203736</v>
      </c>
      <c r="B405" s="56" t="s">
        <v>1639</v>
      </c>
      <c r="C405" s="54" t="s">
        <v>688</v>
      </c>
      <c r="D405" s="54"/>
      <c r="E405" t="s">
        <v>1625</v>
      </c>
    </row>
    <row r="406" spans="1:5" x14ac:dyDescent="0.25">
      <c r="A406">
        <v>343203734</v>
      </c>
      <c r="B406" s="56" t="s">
        <v>1639</v>
      </c>
      <c r="C406" s="54" t="s">
        <v>688</v>
      </c>
      <c r="D406" s="54"/>
      <c r="E406" t="s">
        <v>1625</v>
      </c>
    </row>
    <row r="407" spans="1:5" x14ac:dyDescent="0.25">
      <c r="A407">
        <v>343203733</v>
      </c>
      <c r="B407" s="55">
        <v>43759</v>
      </c>
      <c r="C407" t="s">
        <v>1646</v>
      </c>
      <c r="E407" t="s">
        <v>1625</v>
      </c>
    </row>
    <row r="408" spans="1:5" x14ac:dyDescent="0.25">
      <c r="A408">
        <v>343203732</v>
      </c>
      <c r="B408" s="56" t="s">
        <v>1639</v>
      </c>
      <c r="C408" t="s">
        <v>688</v>
      </c>
      <c r="E408" t="s">
        <v>1625</v>
      </c>
    </row>
    <row r="409" spans="1:5" x14ac:dyDescent="0.25">
      <c r="A409">
        <v>343203732</v>
      </c>
      <c r="B409" s="55">
        <v>58529</v>
      </c>
      <c r="C409" t="s">
        <v>1622</v>
      </c>
      <c r="E409" t="s">
        <v>1625</v>
      </c>
    </row>
    <row r="410" spans="1:5" x14ac:dyDescent="0.25">
      <c r="A410">
        <v>343203732</v>
      </c>
      <c r="B410" s="55">
        <v>44142</v>
      </c>
      <c r="C410" t="s">
        <v>1624</v>
      </c>
      <c r="E410" t="s">
        <v>1625</v>
      </c>
    </row>
    <row r="411" spans="1:5" x14ac:dyDescent="0.25">
      <c r="A411">
        <v>343203731</v>
      </c>
      <c r="B411" s="55" t="s">
        <v>1680</v>
      </c>
      <c r="C411" t="s">
        <v>1681</v>
      </c>
      <c r="E411" t="s">
        <v>1625</v>
      </c>
    </row>
    <row r="412" spans="1:5" x14ac:dyDescent="0.25">
      <c r="A412">
        <v>343203730</v>
      </c>
      <c r="B412" s="55">
        <v>58762</v>
      </c>
      <c r="C412" s="54" t="s">
        <v>1653</v>
      </c>
      <c r="D412" s="54"/>
      <c r="E412" t="s">
        <v>1625</v>
      </c>
    </row>
    <row r="413" spans="1:5" x14ac:dyDescent="0.25">
      <c r="A413">
        <v>343203730</v>
      </c>
      <c r="B413" s="56" t="s">
        <v>1639</v>
      </c>
      <c r="C413" s="54" t="s">
        <v>688</v>
      </c>
      <c r="D413" s="54"/>
      <c r="E413" t="s">
        <v>1625</v>
      </c>
    </row>
    <row r="414" spans="1:5" x14ac:dyDescent="0.25">
      <c r="A414">
        <v>343203729</v>
      </c>
      <c r="B414" s="55">
        <v>48362</v>
      </c>
      <c r="C414" s="54" t="s">
        <v>1647</v>
      </c>
      <c r="D414" s="54"/>
      <c r="E414" t="s">
        <v>1625</v>
      </c>
    </row>
    <row r="415" spans="1:5" x14ac:dyDescent="0.25">
      <c r="A415">
        <v>343203729</v>
      </c>
      <c r="B415" s="55">
        <v>58529</v>
      </c>
      <c r="C415" s="54" t="s">
        <v>1622</v>
      </c>
      <c r="D415" s="54"/>
      <c r="E415" t="s">
        <v>1625</v>
      </c>
    </row>
    <row r="416" spans="1:5" x14ac:dyDescent="0.25">
      <c r="A416">
        <v>343203729</v>
      </c>
      <c r="B416" s="55">
        <v>44142</v>
      </c>
      <c r="C416" s="54" t="s">
        <v>1624</v>
      </c>
      <c r="D416" s="54"/>
      <c r="E416" t="s">
        <v>1625</v>
      </c>
    </row>
    <row r="417" spans="1:5" x14ac:dyDescent="0.25">
      <c r="A417">
        <v>343203729</v>
      </c>
      <c r="B417" s="55">
        <v>38932</v>
      </c>
      <c r="C417" s="54" t="s">
        <v>1640</v>
      </c>
      <c r="D417" s="54"/>
      <c r="E417" t="s">
        <v>1625</v>
      </c>
    </row>
    <row r="418" spans="1:5" x14ac:dyDescent="0.25">
      <c r="A418">
        <v>343203728</v>
      </c>
      <c r="B418" s="55">
        <v>48362</v>
      </c>
      <c r="C418" t="s">
        <v>1647</v>
      </c>
      <c r="E418" t="s">
        <v>1625</v>
      </c>
    </row>
    <row r="419" spans="1:5" x14ac:dyDescent="0.25">
      <c r="A419">
        <v>343203728</v>
      </c>
      <c r="B419" s="56" t="s">
        <v>1639</v>
      </c>
      <c r="C419" t="s">
        <v>688</v>
      </c>
      <c r="E419" t="s">
        <v>1625</v>
      </c>
    </row>
    <row r="420" spans="1:5" x14ac:dyDescent="0.25">
      <c r="A420">
        <v>343203728</v>
      </c>
      <c r="B420" s="55">
        <v>43759</v>
      </c>
      <c r="C420" t="s">
        <v>1646</v>
      </c>
      <c r="E420" t="s">
        <v>1625</v>
      </c>
    </row>
    <row r="421" spans="1:5" x14ac:dyDescent="0.25">
      <c r="A421">
        <v>343203728</v>
      </c>
      <c r="B421" s="55">
        <v>58529</v>
      </c>
      <c r="C421" t="s">
        <v>1622</v>
      </c>
      <c r="E421" t="s">
        <v>1625</v>
      </c>
    </row>
    <row r="422" spans="1:5" x14ac:dyDescent="0.25">
      <c r="A422">
        <v>343203727</v>
      </c>
      <c r="B422" s="55">
        <v>48362</v>
      </c>
      <c r="C422" t="s">
        <v>1647</v>
      </c>
      <c r="E422" t="s">
        <v>1625</v>
      </c>
    </row>
    <row r="423" spans="1:5" x14ac:dyDescent="0.25">
      <c r="A423">
        <v>343203727</v>
      </c>
      <c r="B423" s="55">
        <v>44142</v>
      </c>
      <c r="C423" t="s">
        <v>1624</v>
      </c>
      <c r="E423" t="s">
        <v>1625</v>
      </c>
    </row>
    <row r="424" spans="1:5" x14ac:dyDescent="0.25">
      <c r="A424">
        <v>343203726</v>
      </c>
      <c r="B424" s="55">
        <v>58762</v>
      </c>
      <c r="C424" t="s">
        <v>1653</v>
      </c>
      <c r="E424" t="s">
        <v>1625</v>
      </c>
    </row>
    <row r="425" spans="1:5" x14ac:dyDescent="0.25">
      <c r="A425">
        <v>343203726</v>
      </c>
      <c r="B425" s="56" t="s">
        <v>1639</v>
      </c>
      <c r="C425" t="s">
        <v>688</v>
      </c>
      <c r="E425" t="s">
        <v>1625</v>
      </c>
    </row>
    <row r="426" spans="1:5" x14ac:dyDescent="0.25">
      <c r="A426">
        <v>343203725</v>
      </c>
      <c r="B426" s="56" t="s">
        <v>1639</v>
      </c>
      <c r="C426" t="s">
        <v>688</v>
      </c>
      <c r="E426" t="s">
        <v>1625</v>
      </c>
    </row>
    <row r="427" spans="1:5" x14ac:dyDescent="0.25">
      <c r="A427">
        <v>343203725</v>
      </c>
      <c r="B427" s="56" t="s">
        <v>1638</v>
      </c>
      <c r="C427" t="s">
        <v>41</v>
      </c>
      <c r="E427" t="s">
        <v>1625</v>
      </c>
    </row>
    <row r="428" spans="1:5" x14ac:dyDescent="0.25">
      <c r="A428">
        <v>343203725</v>
      </c>
      <c r="B428" s="55">
        <v>48359</v>
      </c>
      <c r="C428" t="s">
        <v>1648</v>
      </c>
      <c r="E428" t="s">
        <v>1625</v>
      </c>
    </row>
    <row r="429" spans="1:5" x14ac:dyDescent="0.25">
      <c r="A429">
        <v>343203725</v>
      </c>
      <c r="B429" s="55">
        <v>44259</v>
      </c>
      <c r="C429" t="s">
        <v>1641</v>
      </c>
      <c r="E429" t="s">
        <v>1625</v>
      </c>
    </row>
    <row r="430" spans="1:5" x14ac:dyDescent="0.25">
      <c r="A430">
        <v>343203724</v>
      </c>
      <c r="B430" s="55">
        <v>58529</v>
      </c>
      <c r="C430" s="54" t="s">
        <v>1622</v>
      </c>
      <c r="D430" s="54"/>
      <c r="E430" t="s">
        <v>1625</v>
      </c>
    </row>
    <row r="431" spans="1:5" x14ac:dyDescent="0.25">
      <c r="A431">
        <v>343203724</v>
      </c>
      <c r="B431" s="55">
        <v>48362</v>
      </c>
      <c r="C431" s="54" t="s">
        <v>1647</v>
      </c>
      <c r="D431" s="54"/>
      <c r="E431" t="s">
        <v>1625</v>
      </c>
    </row>
    <row r="432" spans="1:5" x14ac:dyDescent="0.25">
      <c r="A432">
        <v>343203724</v>
      </c>
      <c r="B432" s="56" t="s">
        <v>1639</v>
      </c>
      <c r="C432" s="54" t="s">
        <v>688</v>
      </c>
      <c r="D432" s="54"/>
      <c r="E432" t="s">
        <v>1625</v>
      </c>
    </row>
    <row r="433" spans="1:5" x14ac:dyDescent="0.25">
      <c r="A433">
        <v>343203724</v>
      </c>
      <c r="B433" s="55">
        <v>44142</v>
      </c>
      <c r="C433" s="54" t="s">
        <v>1624</v>
      </c>
      <c r="D433" s="54"/>
      <c r="E433" t="s">
        <v>1625</v>
      </c>
    </row>
    <row r="434" spans="1:5" x14ac:dyDescent="0.25">
      <c r="A434">
        <v>343203720</v>
      </c>
      <c r="B434" s="55">
        <v>58762</v>
      </c>
      <c r="C434" s="54" t="s">
        <v>1653</v>
      </c>
      <c r="D434" s="54"/>
      <c r="E434" t="s">
        <v>1625</v>
      </c>
    </row>
    <row r="435" spans="1:5" x14ac:dyDescent="0.25">
      <c r="A435">
        <v>343203720</v>
      </c>
      <c r="B435" s="56" t="s">
        <v>1638</v>
      </c>
      <c r="C435" s="54" t="s">
        <v>41</v>
      </c>
      <c r="D435" s="54"/>
      <c r="E435" t="s">
        <v>1625</v>
      </c>
    </row>
    <row r="436" spans="1:5" x14ac:dyDescent="0.25">
      <c r="A436">
        <v>343203720</v>
      </c>
      <c r="B436" s="56" t="s">
        <v>1639</v>
      </c>
      <c r="C436" s="54" t="s">
        <v>688</v>
      </c>
      <c r="D436" s="54"/>
      <c r="E436" t="s">
        <v>1625</v>
      </c>
    </row>
    <row r="437" spans="1:5" x14ac:dyDescent="0.25">
      <c r="A437">
        <v>343203720</v>
      </c>
      <c r="B437" s="55">
        <v>44142</v>
      </c>
      <c r="C437" s="54" t="s">
        <v>1624</v>
      </c>
      <c r="D437" s="54"/>
      <c r="E437" t="s">
        <v>1625</v>
      </c>
    </row>
    <row r="438" spans="1:5" x14ac:dyDescent="0.25">
      <c r="A438">
        <v>343203719</v>
      </c>
      <c r="B438" s="55">
        <v>48363</v>
      </c>
      <c r="C438" t="s">
        <v>1652</v>
      </c>
      <c r="E438" t="s">
        <v>1625</v>
      </c>
    </row>
    <row r="439" spans="1:5" x14ac:dyDescent="0.25">
      <c r="A439">
        <v>343203719</v>
      </c>
      <c r="B439" s="55">
        <v>43759</v>
      </c>
      <c r="C439" t="s">
        <v>1646</v>
      </c>
      <c r="E439" t="s">
        <v>1625</v>
      </c>
    </row>
    <row r="440" spans="1:5" x14ac:dyDescent="0.25">
      <c r="A440">
        <v>333200789</v>
      </c>
      <c r="B440" s="56" t="s">
        <v>1639</v>
      </c>
      <c r="C440" s="54" t="s">
        <v>688</v>
      </c>
      <c r="D440" s="54"/>
      <c r="E440" t="s">
        <v>1623</v>
      </c>
    </row>
    <row r="441" spans="1:5" x14ac:dyDescent="0.25">
      <c r="A441">
        <v>333200788</v>
      </c>
      <c r="B441" s="56" t="s">
        <v>1639</v>
      </c>
      <c r="C441" s="54" t="s">
        <v>688</v>
      </c>
      <c r="D441" s="54"/>
      <c r="E441" t="s">
        <v>1623</v>
      </c>
    </row>
    <row r="442" spans="1:5" x14ac:dyDescent="0.25">
      <c r="A442">
        <v>333200787</v>
      </c>
      <c r="B442" s="56" t="s">
        <v>1639</v>
      </c>
      <c r="C442" s="54" t="s">
        <v>688</v>
      </c>
      <c r="D442" s="54"/>
      <c r="E442" t="s">
        <v>1623</v>
      </c>
    </row>
    <row r="443" spans="1:5" x14ac:dyDescent="0.25">
      <c r="A443">
        <v>333200786</v>
      </c>
      <c r="B443" s="55">
        <v>33664</v>
      </c>
      <c r="C443" s="54" t="s">
        <v>1664</v>
      </c>
      <c r="D443" s="54"/>
      <c r="E443" t="s">
        <v>1623</v>
      </c>
    </row>
    <row r="444" spans="1:5" x14ac:dyDescent="0.25">
      <c r="A444">
        <v>333200784</v>
      </c>
      <c r="B444" s="55">
        <v>600</v>
      </c>
      <c r="C444" t="s">
        <v>1629</v>
      </c>
      <c r="E444" t="s">
        <v>1623</v>
      </c>
    </row>
    <row r="445" spans="1:5" x14ac:dyDescent="0.25">
      <c r="A445">
        <v>333200783</v>
      </c>
      <c r="B445" s="55">
        <v>58762</v>
      </c>
      <c r="C445" t="s">
        <v>1653</v>
      </c>
      <c r="E445" t="s">
        <v>1623</v>
      </c>
    </row>
    <row r="446" spans="1:5" x14ac:dyDescent="0.25">
      <c r="A446">
        <v>333200782</v>
      </c>
      <c r="B446" s="55">
        <v>33664</v>
      </c>
      <c r="C446" s="54" t="s">
        <v>1664</v>
      </c>
      <c r="D446" s="54"/>
      <c r="E446" t="s">
        <v>1623</v>
      </c>
    </row>
    <row r="447" spans="1:5" x14ac:dyDescent="0.25">
      <c r="A447">
        <v>333200781</v>
      </c>
      <c r="B447" s="55">
        <v>58762</v>
      </c>
      <c r="C447" s="54" t="s">
        <v>1653</v>
      </c>
      <c r="D447" s="54"/>
      <c r="E447" t="s">
        <v>1623</v>
      </c>
    </row>
    <row r="448" spans="1:5" x14ac:dyDescent="0.25">
      <c r="A448">
        <v>333200781</v>
      </c>
      <c r="B448" s="55">
        <v>33664</v>
      </c>
      <c r="C448" s="54" t="s">
        <v>1664</v>
      </c>
      <c r="D448" s="54"/>
      <c r="E448" t="s">
        <v>1623</v>
      </c>
    </row>
    <row r="449" spans="1:5" x14ac:dyDescent="0.25">
      <c r="A449">
        <v>333200779</v>
      </c>
      <c r="B449" s="56" t="s">
        <v>1639</v>
      </c>
      <c r="C449" s="54" t="s">
        <v>688</v>
      </c>
      <c r="D449" s="54"/>
      <c r="E449" t="s">
        <v>1623</v>
      </c>
    </row>
    <row r="450" spans="1:5" x14ac:dyDescent="0.25">
      <c r="A450">
        <v>333200779</v>
      </c>
      <c r="B450" s="55">
        <v>58529</v>
      </c>
      <c r="C450" s="54" t="s">
        <v>1622</v>
      </c>
      <c r="D450" s="54"/>
      <c r="E450" t="s">
        <v>1623</v>
      </c>
    </row>
    <row r="451" spans="1:5" x14ac:dyDescent="0.25">
      <c r="A451">
        <v>333200779</v>
      </c>
      <c r="B451" s="55">
        <v>63233</v>
      </c>
      <c r="C451" s="54" t="s">
        <v>1632</v>
      </c>
      <c r="D451" s="54"/>
      <c r="E451" t="s">
        <v>1623</v>
      </c>
    </row>
    <row r="452" spans="1:5" x14ac:dyDescent="0.25">
      <c r="A452">
        <v>333200778</v>
      </c>
      <c r="B452" s="55">
        <v>63443</v>
      </c>
      <c r="C452" s="54" t="s">
        <v>1631</v>
      </c>
      <c r="D452" s="54"/>
      <c r="E452" t="s">
        <v>1623</v>
      </c>
    </row>
    <row r="453" spans="1:5" x14ac:dyDescent="0.25">
      <c r="A453">
        <v>333200777</v>
      </c>
      <c r="B453" s="55">
        <v>48362</v>
      </c>
      <c r="C453" t="s">
        <v>1647</v>
      </c>
      <c r="E453" t="s">
        <v>1623</v>
      </c>
    </row>
    <row r="454" spans="1:5" x14ac:dyDescent="0.25">
      <c r="A454">
        <v>323200721</v>
      </c>
      <c r="B454" s="55" t="s">
        <v>1642</v>
      </c>
      <c r="C454" s="54" t="s">
        <v>1643</v>
      </c>
      <c r="D454" s="54"/>
      <c r="E454" t="s">
        <v>1625</v>
      </c>
    </row>
    <row r="455" spans="1:5" x14ac:dyDescent="0.25">
      <c r="A455">
        <v>323200720</v>
      </c>
      <c r="B455" s="56" t="s">
        <v>1639</v>
      </c>
      <c r="C455" s="54" t="s">
        <v>688</v>
      </c>
      <c r="D455" s="54"/>
      <c r="E455" t="s">
        <v>1625</v>
      </c>
    </row>
    <row r="456" spans="1:5" x14ac:dyDescent="0.25">
      <c r="A456">
        <v>323200719</v>
      </c>
      <c r="B456" s="55">
        <v>48363</v>
      </c>
      <c r="C456" s="54" t="s">
        <v>1652</v>
      </c>
      <c r="D456" s="54"/>
      <c r="E456" t="s">
        <v>1625</v>
      </c>
    </row>
    <row r="457" spans="1:5" x14ac:dyDescent="0.25">
      <c r="A457">
        <v>323200718</v>
      </c>
      <c r="B457" s="55" t="s">
        <v>1704</v>
      </c>
      <c r="C457" t="s">
        <v>1705</v>
      </c>
      <c r="E457" t="s">
        <v>1625</v>
      </c>
    </row>
    <row r="458" spans="1:5" x14ac:dyDescent="0.25">
      <c r="A458">
        <v>323200717</v>
      </c>
      <c r="B458" s="55">
        <v>58529</v>
      </c>
      <c r="C458" t="s">
        <v>1622</v>
      </c>
      <c r="E458" t="s">
        <v>1625</v>
      </c>
    </row>
    <row r="459" spans="1:5" x14ac:dyDescent="0.25">
      <c r="A459">
        <v>323200716</v>
      </c>
      <c r="B459" s="55">
        <v>39103</v>
      </c>
      <c r="C459" t="s">
        <v>1658</v>
      </c>
      <c r="E459" t="s">
        <v>1625</v>
      </c>
    </row>
    <row r="460" spans="1:5" x14ac:dyDescent="0.25">
      <c r="A460">
        <v>323200715</v>
      </c>
      <c r="B460" s="55">
        <v>58529</v>
      </c>
      <c r="C460" s="54" t="s">
        <v>1622</v>
      </c>
      <c r="D460" s="54"/>
      <c r="E460" t="s">
        <v>1625</v>
      </c>
    </row>
    <row r="461" spans="1:5" x14ac:dyDescent="0.25">
      <c r="A461">
        <v>323200714</v>
      </c>
      <c r="B461" s="56" t="s">
        <v>1639</v>
      </c>
      <c r="C461" s="54" t="s">
        <v>688</v>
      </c>
      <c r="D461" s="54"/>
      <c r="E461" t="s">
        <v>1625</v>
      </c>
    </row>
    <row r="462" spans="1:5" x14ac:dyDescent="0.25">
      <c r="A462">
        <v>323200712</v>
      </c>
      <c r="B462" s="55" t="s">
        <v>1680</v>
      </c>
      <c r="C462" t="s">
        <v>1681</v>
      </c>
      <c r="E462" t="s">
        <v>1625</v>
      </c>
    </row>
    <row r="463" spans="1:5" x14ac:dyDescent="0.25">
      <c r="A463">
        <v>323200711</v>
      </c>
      <c r="B463" s="55">
        <v>44259</v>
      </c>
      <c r="C463" s="54" t="s">
        <v>1641</v>
      </c>
      <c r="D463" s="54"/>
      <c r="E463" t="s">
        <v>1625</v>
      </c>
    </row>
    <row r="464" spans="1:5" x14ac:dyDescent="0.25">
      <c r="A464">
        <v>323200710</v>
      </c>
      <c r="B464" s="55">
        <v>600</v>
      </c>
      <c r="C464" t="s">
        <v>1629</v>
      </c>
      <c r="E464" t="s">
        <v>1625</v>
      </c>
    </row>
    <row r="465" spans="1:5" x14ac:dyDescent="0.25">
      <c r="A465">
        <v>323200709</v>
      </c>
      <c r="B465" s="55">
        <v>43759</v>
      </c>
      <c r="C465" s="54" t="s">
        <v>1646</v>
      </c>
      <c r="D465" s="54"/>
      <c r="E465" t="s">
        <v>1625</v>
      </c>
    </row>
    <row r="466" spans="1:5" x14ac:dyDescent="0.25">
      <c r="A466">
        <v>313201167</v>
      </c>
      <c r="B466" s="55" t="s">
        <v>1676</v>
      </c>
      <c r="C466" s="54" t="s">
        <v>1677</v>
      </c>
      <c r="D466" s="54"/>
      <c r="E466" t="s">
        <v>1623</v>
      </c>
    </row>
    <row r="467" spans="1:5" x14ac:dyDescent="0.25">
      <c r="A467">
        <v>313201162</v>
      </c>
      <c r="B467" s="56" t="s">
        <v>1639</v>
      </c>
      <c r="C467" t="s">
        <v>688</v>
      </c>
      <c r="E467" t="s">
        <v>1623</v>
      </c>
    </row>
    <row r="468" spans="1:5" x14ac:dyDescent="0.25">
      <c r="A468">
        <v>313201161</v>
      </c>
      <c r="B468" s="55">
        <v>58833</v>
      </c>
      <c r="C468" s="54" t="s">
        <v>1668</v>
      </c>
      <c r="D468" s="54"/>
      <c r="E468" t="s">
        <v>1623</v>
      </c>
    </row>
    <row r="469" spans="1:5" x14ac:dyDescent="0.25">
      <c r="A469">
        <v>313201160</v>
      </c>
      <c r="B469" s="55">
        <v>600</v>
      </c>
      <c r="C469" s="54" t="s">
        <v>1629</v>
      </c>
      <c r="D469" s="54"/>
      <c r="E469" t="s">
        <v>1623</v>
      </c>
    </row>
    <row r="470" spans="1:5" x14ac:dyDescent="0.25">
      <c r="A470">
        <v>313201159</v>
      </c>
      <c r="B470" s="55">
        <v>39105</v>
      </c>
      <c r="C470" t="s">
        <v>1651</v>
      </c>
      <c r="E470" t="s">
        <v>1623</v>
      </c>
    </row>
    <row r="471" spans="1:5" x14ac:dyDescent="0.25">
      <c r="A471">
        <v>313201158</v>
      </c>
      <c r="B471" s="55" t="s">
        <v>1682</v>
      </c>
      <c r="C471" s="54" t="s">
        <v>1683</v>
      </c>
      <c r="D471" s="54"/>
      <c r="E471" t="s">
        <v>1623</v>
      </c>
    </row>
    <row r="472" spans="1:5" x14ac:dyDescent="0.25">
      <c r="A472">
        <v>313201158</v>
      </c>
      <c r="B472" s="55" t="s">
        <v>1698</v>
      </c>
      <c r="C472" t="s">
        <v>1699</v>
      </c>
      <c r="E472" t="s">
        <v>1623</v>
      </c>
    </row>
    <row r="473" spans="1:5" x14ac:dyDescent="0.25">
      <c r="A473">
        <v>313201157</v>
      </c>
      <c r="B473" s="55" t="s">
        <v>1674</v>
      </c>
      <c r="C473" s="54" t="s">
        <v>1675</v>
      </c>
      <c r="D473" s="54"/>
      <c r="E473" t="s">
        <v>1623</v>
      </c>
    </row>
    <row r="474" spans="1:5" x14ac:dyDescent="0.25">
      <c r="A474">
        <v>303200532</v>
      </c>
      <c r="B474" s="55">
        <v>38932</v>
      </c>
      <c r="C474" s="54" t="s">
        <v>1640</v>
      </c>
      <c r="D474" s="54"/>
      <c r="E474" t="s">
        <v>1625</v>
      </c>
    </row>
    <row r="475" spans="1:5" x14ac:dyDescent="0.25">
      <c r="A475">
        <v>303200532</v>
      </c>
      <c r="B475" s="56" t="s">
        <v>1639</v>
      </c>
      <c r="C475" s="54" t="s">
        <v>688</v>
      </c>
      <c r="D475" s="54"/>
      <c r="E475" t="s">
        <v>1625</v>
      </c>
    </row>
    <row r="476" spans="1:5" x14ac:dyDescent="0.25">
      <c r="A476">
        <v>303200531</v>
      </c>
      <c r="B476" s="56" t="s">
        <v>1639</v>
      </c>
      <c r="C476" t="s">
        <v>688</v>
      </c>
      <c r="E476" t="s">
        <v>1625</v>
      </c>
    </row>
    <row r="477" spans="1:5" x14ac:dyDescent="0.25">
      <c r="A477">
        <v>303200530</v>
      </c>
      <c r="B477" s="55">
        <v>53693</v>
      </c>
      <c r="C477" s="54" t="s">
        <v>1656</v>
      </c>
      <c r="D477" s="54"/>
      <c r="E477" t="s">
        <v>1625</v>
      </c>
    </row>
    <row r="478" spans="1:5" x14ac:dyDescent="0.25">
      <c r="A478">
        <v>303200529</v>
      </c>
      <c r="B478" s="55" t="s">
        <v>1684</v>
      </c>
      <c r="C478" t="s">
        <v>1685</v>
      </c>
      <c r="E478" t="s">
        <v>1625</v>
      </c>
    </row>
    <row r="479" spans="1:5" x14ac:dyDescent="0.25">
      <c r="A479">
        <v>263200415</v>
      </c>
      <c r="B479" s="55" t="s">
        <v>1686</v>
      </c>
      <c r="C479" t="s">
        <v>1687</v>
      </c>
      <c r="E479" t="s">
        <v>1625</v>
      </c>
    </row>
    <row r="480" spans="1:5" x14ac:dyDescent="0.25">
      <c r="A480">
        <v>263200414</v>
      </c>
      <c r="B480" s="55">
        <v>53693</v>
      </c>
      <c r="C480" t="s">
        <v>1656</v>
      </c>
      <c r="E480" t="s">
        <v>1625</v>
      </c>
    </row>
    <row r="481" spans="1:5" x14ac:dyDescent="0.25">
      <c r="A481">
        <v>263200414</v>
      </c>
      <c r="B481" s="56" t="s">
        <v>1639</v>
      </c>
      <c r="C481" t="s">
        <v>688</v>
      </c>
      <c r="E481" t="s">
        <v>1625</v>
      </c>
    </row>
    <row r="482" spans="1:5" x14ac:dyDescent="0.25">
      <c r="A482">
        <v>263200414</v>
      </c>
      <c r="B482" s="55">
        <v>44142</v>
      </c>
      <c r="C482" t="s">
        <v>1624</v>
      </c>
      <c r="E482" t="s">
        <v>1625</v>
      </c>
    </row>
    <row r="483" spans="1:5" x14ac:dyDescent="0.25">
      <c r="A483">
        <v>253201481</v>
      </c>
      <c r="B483" s="55">
        <v>38932</v>
      </c>
      <c r="C483" t="s">
        <v>1640</v>
      </c>
      <c r="E483" t="s">
        <v>1623</v>
      </c>
    </row>
    <row r="484" spans="1:5" x14ac:dyDescent="0.25">
      <c r="A484">
        <v>253201480</v>
      </c>
      <c r="B484" s="55">
        <v>63233</v>
      </c>
      <c r="C484" s="54" t="s">
        <v>1632</v>
      </c>
      <c r="D484" s="54"/>
      <c r="E484" t="s">
        <v>1623</v>
      </c>
    </row>
    <row r="485" spans="1:5" x14ac:dyDescent="0.25">
      <c r="A485">
        <v>253201480</v>
      </c>
      <c r="B485" s="56" t="s">
        <v>1639</v>
      </c>
      <c r="C485" s="54" t="s">
        <v>688</v>
      </c>
      <c r="D485" s="54"/>
      <c r="E485" t="s">
        <v>1623</v>
      </c>
    </row>
    <row r="486" spans="1:5" x14ac:dyDescent="0.25">
      <c r="A486">
        <v>253201479</v>
      </c>
      <c r="B486" s="55" t="s">
        <v>1633</v>
      </c>
      <c r="C486" t="s">
        <v>1634</v>
      </c>
      <c r="E486" t="s">
        <v>1623</v>
      </c>
    </row>
    <row r="487" spans="1:5" x14ac:dyDescent="0.25">
      <c r="A487">
        <v>253201478</v>
      </c>
      <c r="B487" s="56" t="s">
        <v>1638</v>
      </c>
      <c r="C487" s="54" t="s">
        <v>41</v>
      </c>
      <c r="D487" s="54"/>
      <c r="E487" t="s">
        <v>1623</v>
      </c>
    </row>
    <row r="488" spans="1:5" x14ac:dyDescent="0.25">
      <c r="A488">
        <v>253201478</v>
      </c>
      <c r="B488" s="56" t="s">
        <v>1639</v>
      </c>
      <c r="C488" s="54" t="s">
        <v>688</v>
      </c>
      <c r="D488" s="54"/>
      <c r="E488" t="s">
        <v>1623</v>
      </c>
    </row>
    <row r="489" spans="1:5" x14ac:dyDescent="0.25">
      <c r="A489">
        <v>253201478</v>
      </c>
      <c r="B489" s="55">
        <v>53401</v>
      </c>
      <c r="C489" s="54" t="s">
        <v>1671</v>
      </c>
      <c r="D489" s="54"/>
      <c r="E489" t="s">
        <v>1623</v>
      </c>
    </row>
    <row r="490" spans="1:5" x14ac:dyDescent="0.25">
      <c r="A490">
        <v>253201477</v>
      </c>
      <c r="B490" s="55">
        <v>58762</v>
      </c>
      <c r="C490" s="54" t="s">
        <v>1653</v>
      </c>
      <c r="D490" s="54"/>
      <c r="E490" t="s">
        <v>1623</v>
      </c>
    </row>
    <row r="491" spans="1:5" x14ac:dyDescent="0.25">
      <c r="A491">
        <v>253201477</v>
      </c>
      <c r="B491" s="56" t="s">
        <v>1638</v>
      </c>
      <c r="C491" s="54" t="s">
        <v>41</v>
      </c>
      <c r="D491" s="54"/>
      <c r="E491" t="s">
        <v>1623</v>
      </c>
    </row>
    <row r="492" spans="1:5" x14ac:dyDescent="0.25">
      <c r="A492">
        <v>253201476</v>
      </c>
      <c r="B492" s="55">
        <v>33664</v>
      </c>
      <c r="C492" t="s">
        <v>1664</v>
      </c>
      <c r="E492" t="s">
        <v>1623</v>
      </c>
    </row>
    <row r="493" spans="1:5" x14ac:dyDescent="0.25">
      <c r="A493">
        <v>253201476</v>
      </c>
      <c r="B493" s="55">
        <v>63443</v>
      </c>
      <c r="C493" t="s">
        <v>1631</v>
      </c>
      <c r="E493" t="s">
        <v>1623</v>
      </c>
    </row>
    <row r="494" spans="1:5" x14ac:dyDescent="0.25">
      <c r="A494">
        <v>83201210</v>
      </c>
      <c r="B494" s="55">
        <v>58529</v>
      </c>
      <c r="C494" t="s">
        <v>1622</v>
      </c>
      <c r="E494" t="s">
        <v>76</v>
      </c>
    </row>
    <row r="495" spans="1:5" x14ac:dyDescent="0.25">
      <c r="A495">
        <v>83201209</v>
      </c>
      <c r="B495" s="55" t="s">
        <v>1684</v>
      </c>
      <c r="C495" t="s">
        <v>1685</v>
      </c>
      <c r="E495" t="s">
        <v>76</v>
      </c>
    </row>
    <row r="496" spans="1:5" x14ac:dyDescent="0.25">
      <c r="A496">
        <v>83201208</v>
      </c>
      <c r="B496" s="55" t="s">
        <v>1669</v>
      </c>
      <c r="C496" t="s">
        <v>1670</v>
      </c>
      <c r="E496" t="s">
        <v>1625</v>
      </c>
    </row>
    <row r="497" spans="1:5" x14ac:dyDescent="0.25">
      <c r="A497">
        <v>83201208</v>
      </c>
      <c r="B497" s="55" t="s">
        <v>1642</v>
      </c>
      <c r="C497" t="s">
        <v>1643</v>
      </c>
      <c r="E497" t="s">
        <v>1625</v>
      </c>
    </row>
    <row r="498" spans="1:5" x14ac:dyDescent="0.25">
      <c r="A498">
        <v>83201206</v>
      </c>
      <c r="B498" s="55">
        <v>600</v>
      </c>
      <c r="C498" s="54" t="s">
        <v>1629</v>
      </c>
      <c r="D498" s="54"/>
      <c r="E498" t="s">
        <v>1621</v>
      </c>
    </row>
    <row r="499" spans="1:5" x14ac:dyDescent="0.25">
      <c r="A499">
        <v>83201205</v>
      </c>
      <c r="B499" s="55">
        <v>618</v>
      </c>
      <c r="C499" s="54" t="s">
        <v>1626</v>
      </c>
      <c r="D499" s="54"/>
      <c r="E499" t="s">
        <v>1621</v>
      </c>
    </row>
    <row r="500" spans="1:5" x14ac:dyDescent="0.25">
      <c r="A500">
        <v>83201204</v>
      </c>
      <c r="B500" s="55">
        <v>53693</v>
      </c>
      <c r="C500" t="s">
        <v>1656</v>
      </c>
      <c r="E500" t="s">
        <v>1625</v>
      </c>
    </row>
    <row r="501" spans="1:5" x14ac:dyDescent="0.25">
      <c r="A501">
        <v>83201204</v>
      </c>
      <c r="B501" s="55">
        <v>58762</v>
      </c>
      <c r="C501" t="s">
        <v>1653</v>
      </c>
      <c r="E501" t="s">
        <v>1625</v>
      </c>
    </row>
    <row r="502" spans="1:5" x14ac:dyDescent="0.25">
      <c r="A502">
        <v>83201203</v>
      </c>
      <c r="B502" s="55">
        <v>48362</v>
      </c>
      <c r="C502" s="54" t="s">
        <v>1647</v>
      </c>
      <c r="D502" s="54"/>
      <c r="E502" t="s">
        <v>1621</v>
      </c>
    </row>
    <row r="503" spans="1:5" x14ac:dyDescent="0.25">
      <c r="A503">
        <v>83201202</v>
      </c>
      <c r="B503" s="55">
        <v>600</v>
      </c>
      <c r="C503" t="s">
        <v>1629</v>
      </c>
      <c r="E503" t="s">
        <v>1621</v>
      </c>
    </row>
    <row r="504" spans="1:5" x14ac:dyDescent="0.25">
      <c r="A504">
        <v>63201772</v>
      </c>
      <c r="B504" s="55">
        <v>39103</v>
      </c>
      <c r="C504" t="s">
        <v>1658</v>
      </c>
      <c r="E504" t="s">
        <v>1625</v>
      </c>
    </row>
    <row r="505" spans="1:5" x14ac:dyDescent="0.25">
      <c r="A505">
        <v>63201746</v>
      </c>
      <c r="B505" s="56" t="s">
        <v>1639</v>
      </c>
      <c r="C505" t="s">
        <v>688</v>
      </c>
      <c r="E505" t="s">
        <v>76</v>
      </c>
    </row>
    <row r="506" spans="1:5" x14ac:dyDescent="0.25">
      <c r="A506">
        <v>63201745</v>
      </c>
      <c r="B506" s="55">
        <v>44142</v>
      </c>
      <c r="C506" t="s">
        <v>1624</v>
      </c>
      <c r="E506" t="s">
        <v>76</v>
      </c>
    </row>
    <row r="507" spans="1:5" x14ac:dyDescent="0.25">
      <c r="A507">
        <v>63201745</v>
      </c>
      <c r="B507" s="56" t="s">
        <v>1639</v>
      </c>
      <c r="C507" t="s">
        <v>688</v>
      </c>
      <c r="E507" t="s">
        <v>76</v>
      </c>
    </row>
    <row r="508" spans="1:5" x14ac:dyDescent="0.25">
      <c r="A508">
        <v>63201744</v>
      </c>
      <c r="B508" s="56" t="s">
        <v>1639</v>
      </c>
      <c r="C508" s="54" t="s">
        <v>688</v>
      </c>
      <c r="D508" s="54"/>
      <c r="E508" t="s">
        <v>1625</v>
      </c>
    </row>
    <row r="509" spans="1:5" x14ac:dyDescent="0.25">
      <c r="A509">
        <v>63201743</v>
      </c>
      <c r="B509" s="55" t="s">
        <v>1700</v>
      </c>
      <c r="C509" t="s">
        <v>1701</v>
      </c>
      <c r="E509" t="s">
        <v>1625</v>
      </c>
    </row>
    <row r="510" spans="1:5" x14ac:dyDescent="0.25">
      <c r="A510">
        <v>63201742</v>
      </c>
      <c r="B510" s="55" t="s">
        <v>1678</v>
      </c>
      <c r="C510" s="54" t="s">
        <v>1679</v>
      </c>
      <c r="D510" s="54"/>
      <c r="E510" t="s">
        <v>76</v>
      </c>
    </row>
    <row r="511" spans="1:5" x14ac:dyDescent="0.25">
      <c r="A511">
        <v>63201741</v>
      </c>
      <c r="B511" s="55">
        <v>39103</v>
      </c>
      <c r="C511" s="54" t="s">
        <v>1658</v>
      </c>
      <c r="D511" s="54"/>
      <c r="E511" t="s">
        <v>66</v>
      </c>
    </row>
    <row r="512" spans="1:5" x14ac:dyDescent="0.25">
      <c r="A512">
        <v>63201740</v>
      </c>
      <c r="B512" s="55">
        <v>58529</v>
      </c>
      <c r="C512" s="54" t="s">
        <v>1622</v>
      </c>
      <c r="D512" s="54"/>
      <c r="E512" t="s">
        <v>1621</v>
      </c>
    </row>
    <row r="513" spans="1:5" x14ac:dyDescent="0.25">
      <c r="A513">
        <v>63201739</v>
      </c>
      <c r="B513" s="55">
        <v>600</v>
      </c>
      <c r="C513" s="54" t="s">
        <v>1629</v>
      </c>
      <c r="D513" s="54"/>
      <c r="E513" t="s">
        <v>1621</v>
      </c>
    </row>
    <row r="514" spans="1:5" x14ac:dyDescent="0.25">
      <c r="A514">
        <v>63201738</v>
      </c>
      <c r="B514" s="56" t="s">
        <v>1639</v>
      </c>
      <c r="C514" s="54" t="s">
        <v>688</v>
      </c>
      <c r="D514" s="54"/>
      <c r="E514" t="s">
        <v>1621</v>
      </c>
    </row>
    <row r="515" spans="1:5" x14ac:dyDescent="0.25">
      <c r="A515">
        <v>63201738</v>
      </c>
      <c r="B515" s="55">
        <v>48363</v>
      </c>
      <c r="C515" s="54" t="s">
        <v>1652</v>
      </c>
      <c r="D515" s="54"/>
      <c r="E515" t="s">
        <v>1621</v>
      </c>
    </row>
    <row r="516" spans="1:5" x14ac:dyDescent="0.25">
      <c r="A516">
        <v>63201737</v>
      </c>
      <c r="B516" s="55">
        <v>44142</v>
      </c>
      <c r="C516" t="s">
        <v>1624</v>
      </c>
      <c r="E516" t="s">
        <v>1621</v>
      </c>
    </row>
    <row r="517" spans="1:5" x14ac:dyDescent="0.25">
      <c r="A517">
        <v>63201736</v>
      </c>
      <c r="B517" s="55">
        <v>600</v>
      </c>
      <c r="C517" s="54" t="s">
        <v>1629</v>
      </c>
      <c r="D517" s="54"/>
      <c r="E517" t="s">
        <v>1621</v>
      </c>
    </row>
    <row r="518" spans="1:5" x14ac:dyDescent="0.25">
      <c r="A518">
        <v>63201735</v>
      </c>
      <c r="B518" s="55" t="s">
        <v>1680</v>
      </c>
      <c r="C518" s="54" t="s">
        <v>1681</v>
      </c>
      <c r="D518" s="54"/>
      <c r="E518" t="s">
        <v>1625</v>
      </c>
    </row>
    <row r="519" spans="1:5" x14ac:dyDescent="0.25">
      <c r="A519">
        <v>63201733</v>
      </c>
      <c r="B519" s="55">
        <v>618</v>
      </c>
      <c r="C519" t="s">
        <v>1626</v>
      </c>
      <c r="E519" t="s">
        <v>1621</v>
      </c>
    </row>
    <row r="520" spans="1:5" x14ac:dyDescent="0.25">
      <c r="A520">
        <v>63201732</v>
      </c>
      <c r="B520" s="55">
        <v>600</v>
      </c>
      <c r="C520" t="s">
        <v>1629</v>
      </c>
      <c r="E520" t="s">
        <v>1621</v>
      </c>
    </row>
    <row r="521" spans="1:5" x14ac:dyDescent="0.25">
      <c r="A521">
        <v>63201731</v>
      </c>
      <c r="B521" s="55">
        <v>600</v>
      </c>
      <c r="C521" s="54" t="s">
        <v>1629</v>
      </c>
      <c r="D521" s="54"/>
      <c r="E521" t="s">
        <v>1621</v>
      </c>
    </row>
    <row r="522" spans="1:5" x14ac:dyDescent="0.25">
      <c r="A522">
        <v>63201730</v>
      </c>
      <c r="B522" s="55">
        <v>600</v>
      </c>
      <c r="C522" t="s">
        <v>1629</v>
      </c>
      <c r="E522" t="s">
        <v>66</v>
      </c>
    </row>
    <row r="523" spans="1:5" x14ac:dyDescent="0.25">
      <c r="A523">
        <v>43200592</v>
      </c>
      <c r="B523" s="55">
        <v>38932</v>
      </c>
      <c r="C523" s="54" t="s">
        <v>1640</v>
      </c>
      <c r="D523" s="54"/>
      <c r="E523" t="s">
        <v>1625</v>
      </c>
    </row>
    <row r="524" spans="1:5" x14ac:dyDescent="0.25">
      <c r="A524">
        <v>43200591</v>
      </c>
      <c r="B524" s="56" t="s">
        <v>1639</v>
      </c>
      <c r="C524" t="s">
        <v>688</v>
      </c>
      <c r="E524" t="s">
        <v>1625</v>
      </c>
    </row>
    <row r="525" spans="1:5" x14ac:dyDescent="0.25">
      <c r="A525">
        <v>43200590</v>
      </c>
      <c r="B525" s="55">
        <v>43759</v>
      </c>
      <c r="C525" s="54" t="s">
        <v>1646</v>
      </c>
      <c r="D525" s="54"/>
      <c r="E525" t="s">
        <v>1621</v>
      </c>
    </row>
    <row r="526" spans="1:5" x14ac:dyDescent="0.25">
      <c r="A526">
        <v>43200589</v>
      </c>
      <c r="B526" s="55">
        <v>600</v>
      </c>
      <c r="C526" s="54" t="s">
        <v>1629</v>
      </c>
      <c r="D526" s="54"/>
      <c r="E526" t="s">
        <v>1621</v>
      </c>
    </row>
    <row r="527" spans="1:5" x14ac:dyDescent="0.25">
      <c r="A527">
        <v>43200588</v>
      </c>
      <c r="B527" s="55">
        <v>600</v>
      </c>
      <c r="C527" s="54" t="s">
        <v>1629</v>
      </c>
      <c r="D527" s="54"/>
      <c r="E527" t="s">
        <v>1621</v>
      </c>
    </row>
    <row r="528" spans="1:5" x14ac:dyDescent="0.25">
      <c r="A528">
        <v>43200587</v>
      </c>
      <c r="B528" s="55">
        <v>600</v>
      </c>
      <c r="C528" s="54" t="s">
        <v>1629</v>
      </c>
      <c r="D528" s="54"/>
      <c r="E528" t="s">
        <v>1621</v>
      </c>
    </row>
    <row r="529" spans="1:5" x14ac:dyDescent="0.25">
      <c r="A529">
        <v>33201650</v>
      </c>
      <c r="B529" s="55">
        <v>63443</v>
      </c>
      <c r="C529" s="54" t="s">
        <v>1631</v>
      </c>
      <c r="D529" s="54"/>
      <c r="E529" t="s">
        <v>1625</v>
      </c>
    </row>
    <row r="530" spans="1:5" x14ac:dyDescent="0.25">
      <c r="A530">
        <v>33201649</v>
      </c>
      <c r="B530" s="55">
        <v>33664</v>
      </c>
      <c r="C530" t="s">
        <v>1664</v>
      </c>
      <c r="E530" t="s">
        <v>1635</v>
      </c>
    </row>
    <row r="531" spans="1:5" x14ac:dyDescent="0.25">
      <c r="A531">
        <v>33201649</v>
      </c>
      <c r="B531" s="55">
        <v>58762</v>
      </c>
      <c r="C531" t="s">
        <v>1653</v>
      </c>
      <c r="E531" t="s">
        <v>1635</v>
      </c>
    </row>
    <row r="532" spans="1:5" x14ac:dyDescent="0.25">
      <c r="A532">
        <v>33201648</v>
      </c>
      <c r="B532" s="55">
        <v>58833</v>
      </c>
      <c r="C532" s="54" t="s">
        <v>1668</v>
      </c>
      <c r="D532" s="54"/>
      <c r="E532" t="s">
        <v>1635</v>
      </c>
    </row>
    <row r="533" spans="1:5" x14ac:dyDescent="0.25">
      <c r="A533">
        <v>33201647</v>
      </c>
      <c r="B533" s="55">
        <v>600</v>
      </c>
      <c r="C533" t="s">
        <v>1629</v>
      </c>
      <c r="E533" t="s">
        <v>1635</v>
      </c>
    </row>
    <row r="534" spans="1:5" x14ac:dyDescent="0.25">
      <c r="A534">
        <v>33201646</v>
      </c>
      <c r="B534" s="55">
        <v>600</v>
      </c>
      <c r="C534" s="54" t="s">
        <v>1629</v>
      </c>
      <c r="D534" s="54"/>
      <c r="E534" t="s">
        <v>1635</v>
      </c>
    </row>
    <row r="535" spans="1:5" x14ac:dyDescent="0.25">
      <c r="A535">
        <v>33201645</v>
      </c>
      <c r="B535" s="55">
        <v>600</v>
      </c>
      <c r="C535" t="s">
        <v>1629</v>
      </c>
      <c r="E535" t="s">
        <v>1635</v>
      </c>
    </row>
    <row r="536" spans="1:5" x14ac:dyDescent="0.25">
      <c r="A536">
        <v>33201644</v>
      </c>
      <c r="B536" s="55">
        <v>600</v>
      </c>
      <c r="C536" s="54" t="s">
        <v>1629</v>
      </c>
      <c r="D536" s="54"/>
      <c r="E536" t="s">
        <v>1635</v>
      </c>
    </row>
    <row r="537" spans="1:5" x14ac:dyDescent="0.25">
      <c r="A537">
        <v>33201643</v>
      </c>
      <c r="B537" s="55">
        <v>600</v>
      </c>
      <c r="C537" s="54" t="s">
        <v>1629</v>
      </c>
      <c r="D537" s="54"/>
      <c r="E537" t="s">
        <v>1635</v>
      </c>
    </row>
    <row r="538" spans="1:5" x14ac:dyDescent="0.25">
      <c r="A538">
        <v>33201641</v>
      </c>
      <c r="B538" s="55">
        <v>58762</v>
      </c>
      <c r="C538" t="s">
        <v>1653</v>
      </c>
      <c r="E538" t="s">
        <v>1623</v>
      </c>
    </row>
    <row r="539" spans="1:5" x14ac:dyDescent="0.25">
      <c r="A539">
        <v>33201640</v>
      </c>
      <c r="B539" s="55">
        <v>58529</v>
      </c>
      <c r="C539" t="s">
        <v>1622</v>
      </c>
      <c r="E539" t="s">
        <v>1623</v>
      </c>
    </row>
    <row r="540" spans="1:5" x14ac:dyDescent="0.25">
      <c r="A540">
        <v>33201640</v>
      </c>
      <c r="B540" s="56" t="s">
        <v>1639</v>
      </c>
      <c r="C540" t="s">
        <v>688</v>
      </c>
      <c r="E540" t="s">
        <v>1623</v>
      </c>
    </row>
    <row r="541" spans="1:5" x14ac:dyDescent="0.25">
      <c r="A541">
        <v>33201639</v>
      </c>
      <c r="B541" s="55">
        <v>600</v>
      </c>
      <c r="C541" s="54" t="s">
        <v>1629</v>
      </c>
      <c r="D541" s="54"/>
      <c r="E541" t="s">
        <v>1635</v>
      </c>
    </row>
    <row r="542" spans="1:5" x14ac:dyDescent="0.25">
      <c r="A542">
        <v>33201638</v>
      </c>
      <c r="B542" s="55">
        <v>618</v>
      </c>
      <c r="C542" s="54" t="s">
        <v>1626</v>
      </c>
      <c r="D542" s="54"/>
      <c r="E542" t="s">
        <v>1635</v>
      </c>
    </row>
    <row r="543" spans="1:5" x14ac:dyDescent="0.25">
      <c r="A543">
        <v>23203786</v>
      </c>
      <c r="B543" s="56" t="s">
        <v>1639</v>
      </c>
      <c r="C543" t="s">
        <v>688</v>
      </c>
      <c r="E543" t="s">
        <v>1625</v>
      </c>
    </row>
    <row r="544" spans="1:5" x14ac:dyDescent="0.25">
      <c r="A544">
        <v>23203783</v>
      </c>
      <c r="B544" s="55" t="s">
        <v>1708</v>
      </c>
      <c r="C544" t="s">
        <v>1709</v>
      </c>
      <c r="E544" t="s">
        <v>1625</v>
      </c>
    </row>
    <row r="545" spans="1:5" x14ac:dyDescent="0.25">
      <c r="A545">
        <v>23203780</v>
      </c>
      <c r="B545" s="55" t="s">
        <v>1642</v>
      </c>
      <c r="C545" s="54" t="s">
        <v>1643</v>
      </c>
      <c r="D545" s="54"/>
      <c r="E545" t="s">
        <v>66</v>
      </c>
    </row>
    <row r="546" spans="1:5" x14ac:dyDescent="0.25">
      <c r="A546">
        <v>23203779</v>
      </c>
      <c r="B546" s="55">
        <v>48363</v>
      </c>
      <c r="C546" s="54" t="s">
        <v>1652</v>
      </c>
      <c r="D546" s="54"/>
      <c r="E546" t="s">
        <v>1625</v>
      </c>
    </row>
    <row r="547" spans="1:5" x14ac:dyDescent="0.25">
      <c r="A547">
        <v>23203779</v>
      </c>
      <c r="B547" s="56" t="s">
        <v>1639</v>
      </c>
      <c r="C547" t="s">
        <v>688</v>
      </c>
      <c r="E547" t="s">
        <v>1625</v>
      </c>
    </row>
    <row r="548" spans="1:5" x14ac:dyDescent="0.25">
      <c r="A548">
        <v>23203778</v>
      </c>
      <c r="B548" s="55">
        <v>39103</v>
      </c>
      <c r="C548" t="s">
        <v>1658</v>
      </c>
      <c r="E548" t="s">
        <v>1625</v>
      </c>
    </row>
    <row r="549" spans="1:5" x14ac:dyDescent="0.25">
      <c r="A549">
        <v>23203777</v>
      </c>
      <c r="B549" s="55">
        <v>58529</v>
      </c>
      <c r="C549" s="54" t="s">
        <v>1622</v>
      </c>
      <c r="D549" s="54"/>
      <c r="E549" t="s">
        <v>1625</v>
      </c>
    </row>
    <row r="550" spans="1:5" x14ac:dyDescent="0.25">
      <c r="A550">
        <v>23203777</v>
      </c>
      <c r="B550" s="56" t="s">
        <v>1639</v>
      </c>
      <c r="C550" s="54" t="s">
        <v>688</v>
      </c>
      <c r="D550" s="54"/>
      <c r="E550" t="s">
        <v>1625</v>
      </c>
    </row>
    <row r="551" spans="1:5" x14ac:dyDescent="0.25">
      <c r="A551">
        <v>23203776</v>
      </c>
      <c r="B551" s="55" t="s">
        <v>1665</v>
      </c>
      <c r="C551" s="54" t="s">
        <v>1666</v>
      </c>
      <c r="D551" s="54"/>
      <c r="E551" t="s">
        <v>1625</v>
      </c>
    </row>
    <row r="552" spans="1:5" x14ac:dyDescent="0.25">
      <c r="A552">
        <v>23203775</v>
      </c>
      <c r="B552" s="55">
        <v>48363</v>
      </c>
      <c r="C552" t="s">
        <v>1652</v>
      </c>
      <c r="E552" t="s">
        <v>1625</v>
      </c>
    </row>
    <row r="553" spans="1:5" x14ac:dyDescent="0.25">
      <c r="A553">
        <v>23203775</v>
      </c>
      <c r="B553" s="56" t="s">
        <v>1639</v>
      </c>
      <c r="C553" t="s">
        <v>688</v>
      </c>
      <c r="E553" t="s">
        <v>1625</v>
      </c>
    </row>
    <row r="554" spans="1:5" x14ac:dyDescent="0.25">
      <c r="A554">
        <v>23203774</v>
      </c>
      <c r="B554" s="55">
        <v>58529</v>
      </c>
      <c r="C554" t="s">
        <v>1622</v>
      </c>
      <c r="E554" t="s">
        <v>76</v>
      </c>
    </row>
    <row r="555" spans="1:5" x14ac:dyDescent="0.25">
      <c r="A555">
        <v>23203773</v>
      </c>
      <c r="B555" s="55">
        <v>44142</v>
      </c>
      <c r="C555" s="54" t="s">
        <v>1624</v>
      </c>
      <c r="D555" s="54"/>
      <c r="E555" t="s">
        <v>76</v>
      </c>
    </row>
    <row r="556" spans="1:5" x14ac:dyDescent="0.25">
      <c r="A556">
        <v>23203772</v>
      </c>
      <c r="B556" s="56" t="s">
        <v>1639</v>
      </c>
      <c r="C556" s="54" t="s">
        <v>688</v>
      </c>
      <c r="D556" s="54"/>
      <c r="E556" t="s">
        <v>1625</v>
      </c>
    </row>
    <row r="557" spans="1:5" x14ac:dyDescent="0.25">
      <c r="A557">
        <v>23203771</v>
      </c>
      <c r="B557" s="55">
        <v>58762</v>
      </c>
      <c r="C557" s="54" t="s">
        <v>1653</v>
      </c>
      <c r="D557" s="54"/>
      <c r="E557" t="s">
        <v>1625</v>
      </c>
    </row>
    <row r="558" spans="1:5" x14ac:dyDescent="0.25">
      <c r="A558">
        <v>23203771</v>
      </c>
      <c r="B558" s="56" t="s">
        <v>1639</v>
      </c>
      <c r="C558" s="54" t="s">
        <v>688</v>
      </c>
      <c r="D558" s="54"/>
      <c r="E558" t="s">
        <v>1625</v>
      </c>
    </row>
    <row r="559" spans="1:5" x14ac:dyDescent="0.25">
      <c r="A559">
        <v>23203771</v>
      </c>
      <c r="B559" s="55">
        <v>44142</v>
      </c>
      <c r="C559" t="s">
        <v>1624</v>
      </c>
      <c r="E559" t="s">
        <v>1625</v>
      </c>
    </row>
    <row r="560" spans="1:5" x14ac:dyDescent="0.25">
      <c r="A560">
        <v>23203769</v>
      </c>
      <c r="B560" s="55" t="s">
        <v>1636</v>
      </c>
      <c r="C560" t="s">
        <v>1637</v>
      </c>
      <c r="E560" t="s">
        <v>1621</v>
      </c>
    </row>
    <row r="561" spans="1:5" x14ac:dyDescent="0.25">
      <c r="A561">
        <v>23203768</v>
      </c>
      <c r="B561" s="55">
        <v>38932</v>
      </c>
      <c r="C561" s="54" t="s">
        <v>1640</v>
      </c>
      <c r="D561" s="54"/>
      <c r="E561" t="s">
        <v>1621</v>
      </c>
    </row>
    <row r="562" spans="1:5" x14ac:dyDescent="0.25">
      <c r="A562">
        <v>23203767</v>
      </c>
      <c r="B562" s="55">
        <v>58762</v>
      </c>
      <c r="C562" s="54" t="s">
        <v>1653</v>
      </c>
      <c r="D562" s="54"/>
      <c r="E562" t="s">
        <v>1621</v>
      </c>
    </row>
    <row r="563" spans="1:5" x14ac:dyDescent="0.25">
      <c r="A563">
        <v>23203766</v>
      </c>
      <c r="B563" s="55">
        <v>48359</v>
      </c>
      <c r="C563" t="s">
        <v>1648</v>
      </c>
      <c r="E563" t="s">
        <v>66</v>
      </c>
    </row>
    <row r="564" spans="1:5" x14ac:dyDescent="0.25">
      <c r="A564">
        <v>23203766</v>
      </c>
      <c r="B564" s="56" t="s">
        <v>1639</v>
      </c>
      <c r="C564" t="s">
        <v>688</v>
      </c>
      <c r="E564" t="s">
        <v>66</v>
      </c>
    </row>
    <row r="565" spans="1:5" x14ac:dyDescent="0.25">
      <c r="A565">
        <v>23203765</v>
      </c>
      <c r="B565" s="55">
        <v>600</v>
      </c>
      <c r="C565" s="54" t="s">
        <v>1629</v>
      </c>
      <c r="D565" s="54"/>
      <c r="E565" t="s">
        <v>66</v>
      </c>
    </row>
    <row r="566" spans="1:5" x14ac:dyDescent="0.25">
      <c r="A566">
        <v>23203764</v>
      </c>
      <c r="B566" s="55">
        <v>618</v>
      </c>
      <c r="C566" t="s">
        <v>1626</v>
      </c>
      <c r="E566" t="s">
        <v>66</v>
      </c>
    </row>
    <row r="567" spans="1:5" x14ac:dyDescent="0.25">
      <c r="A567">
        <v>23203763</v>
      </c>
      <c r="B567" s="55">
        <v>600</v>
      </c>
      <c r="C567" t="s">
        <v>1629</v>
      </c>
      <c r="E567" t="s">
        <v>1621</v>
      </c>
    </row>
    <row r="568" spans="1:5" x14ac:dyDescent="0.25">
      <c r="A568">
        <v>23203762</v>
      </c>
      <c r="B568" s="55">
        <v>600</v>
      </c>
      <c r="C568" s="54" t="s">
        <v>1629</v>
      </c>
      <c r="D568" s="54"/>
      <c r="E568" t="s">
        <v>66</v>
      </c>
    </row>
    <row r="569" spans="1:5" x14ac:dyDescent="0.25">
      <c r="A569">
        <v>23203761</v>
      </c>
      <c r="B569" s="55">
        <v>600</v>
      </c>
      <c r="C569" s="54" t="s">
        <v>1629</v>
      </c>
      <c r="D569" s="54"/>
      <c r="E569" t="s">
        <v>1621</v>
      </c>
    </row>
    <row r="570" spans="1:5" x14ac:dyDescent="0.25">
      <c r="A570">
        <v>23203760</v>
      </c>
      <c r="B570" s="55">
        <v>600</v>
      </c>
      <c r="C570" t="s">
        <v>1629</v>
      </c>
      <c r="E570" t="s">
        <v>1621</v>
      </c>
    </row>
    <row r="571" spans="1:5" x14ac:dyDescent="0.25">
      <c r="A571">
        <v>23203759</v>
      </c>
      <c r="B571" s="55">
        <v>600</v>
      </c>
      <c r="C571" s="54" t="s">
        <v>1629</v>
      </c>
      <c r="D571" s="54"/>
      <c r="E571" t="s">
        <v>66</v>
      </c>
    </row>
    <row r="572" spans="1:5" x14ac:dyDescent="0.25">
      <c r="A572">
        <v>23203758</v>
      </c>
      <c r="B572" s="55">
        <v>600</v>
      </c>
      <c r="C572" s="54" t="s">
        <v>1629</v>
      </c>
      <c r="D572" s="54"/>
      <c r="E572" t="s">
        <v>1621</v>
      </c>
    </row>
    <row r="573" spans="1:5" x14ac:dyDescent="0.25">
      <c r="A573">
        <v>23203757</v>
      </c>
      <c r="B573" s="55">
        <v>600</v>
      </c>
      <c r="C573" t="s">
        <v>1629</v>
      </c>
      <c r="E573" t="s">
        <v>1621</v>
      </c>
    </row>
    <row r="574" spans="1:5" x14ac:dyDescent="0.25">
      <c r="A574">
        <v>23203756</v>
      </c>
      <c r="B574" s="55">
        <v>600</v>
      </c>
      <c r="C574" t="s">
        <v>1629</v>
      </c>
      <c r="E574" t="s">
        <v>1621</v>
      </c>
    </row>
    <row r="575" spans="1:5" x14ac:dyDescent="0.25">
      <c r="A575">
        <v>23203755</v>
      </c>
      <c r="B575" s="55">
        <v>600</v>
      </c>
      <c r="C575" t="s">
        <v>1629</v>
      </c>
      <c r="E575" t="s">
        <v>66</v>
      </c>
    </row>
    <row r="576" spans="1:5" x14ac:dyDescent="0.25">
      <c r="A576">
        <v>23203754</v>
      </c>
      <c r="B576" s="55">
        <v>600</v>
      </c>
      <c r="C576" s="54" t="s">
        <v>1629</v>
      </c>
      <c r="D576" s="54"/>
      <c r="E576" t="s">
        <v>66</v>
      </c>
    </row>
    <row r="577" spans="1:5" x14ac:dyDescent="0.25">
      <c r="A577">
        <v>23203753</v>
      </c>
      <c r="B577" s="55">
        <v>600</v>
      </c>
      <c r="C577" t="s">
        <v>1629</v>
      </c>
      <c r="E577" t="s">
        <v>66</v>
      </c>
    </row>
    <row r="578" spans="1:5" x14ac:dyDescent="0.25">
      <c r="A578">
        <v>23203752</v>
      </c>
      <c r="B578" s="55">
        <v>44259</v>
      </c>
      <c r="C578" s="54" t="s">
        <v>1641</v>
      </c>
      <c r="D578" s="54"/>
      <c r="E578" t="s">
        <v>66</v>
      </c>
    </row>
    <row r="579" spans="1:5" x14ac:dyDescent="0.25">
      <c r="A579">
        <v>23203751</v>
      </c>
      <c r="B579" s="55">
        <v>600</v>
      </c>
      <c r="C579" t="s">
        <v>1629</v>
      </c>
      <c r="E579" t="s">
        <v>1621</v>
      </c>
    </row>
    <row r="580" spans="1:5" x14ac:dyDescent="0.25">
      <c r="A580">
        <v>23203750</v>
      </c>
      <c r="B580" s="55">
        <v>600</v>
      </c>
      <c r="C580" t="s">
        <v>1629</v>
      </c>
      <c r="E580" t="s">
        <v>1621</v>
      </c>
    </row>
    <row r="581" spans="1:5" x14ac:dyDescent="0.25">
      <c r="A581">
        <v>23203749</v>
      </c>
      <c r="B581" s="55">
        <v>600</v>
      </c>
      <c r="C581" s="54" t="s">
        <v>1629</v>
      </c>
      <c r="D581" s="54"/>
      <c r="E581" t="s">
        <v>1621</v>
      </c>
    </row>
    <row r="582" spans="1:5" x14ac:dyDescent="0.25">
      <c r="A582">
        <v>23203748</v>
      </c>
      <c r="B582" s="55">
        <v>600</v>
      </c>
      <c r="C582" t="s">
        <v>1629</v>
      </c>
      <c r="E582" t="s">
        <v>66</v>
      </c>
    </row>
    <row r="583" spans="1:5" x14ac:dyDescent="0.25">
      <c r="A583">
        <v>23203747</v>
      </c>
      <c r="B583" s="55">
        <v>600</v>
      </c>
      <c r="C583" t="s">
        <v>1629</v>
      </c>
      <c r="E583" t="s">
        <v>1621</v>
      </c>
    </row>
    <row r="584" spans="1:5" x14ac:dyDescent="0.25">
      <c r="A584">
        <v>23203746</v>
      </c>
      <c r="B584" s="55">
        <v>600</v>
      </c>
      <c r="C584" t="s">
        <v>1629</v>
      </c>
      <c r="E584" t="s">
        <v>66</v>
      </c>
    </row>
    <row r="585" spans="1:5" x14ac:dyDescent="0.25">
      <c r="A585">
        <v>23203745</v>
      </c>
      <c r="B585" s="55">
        <v>600</v>
      </c>
      <c r="C585" t="s">
        <v>1629</v>
      </c>
      <c r="E585" t="s">
        <v>1621</v>
      </c>
    </row>
    <row r="586" spans="1:5" x14ac:dyDescent="0.25">
      <c r="A586">
        <v>23203744</v>
      </c>
      <c r="B586" s="55">
        <v>600</v>
      </c>
      <c r="C586" s="54" t="s">
        <v>1629</v>
      </c>
      <c r="D586" s="54"/>
      <c r="E586" t="s">
        <v>66</v>
      </c>
    </row>
    <row r="587" spans="1:5" x14ac:dyDescent="0.25">
      <c r="A587">
        <v>23203743</v>
      </c>
      <c r="B587" s="55">
        <v>600</v>
      </c>
      <c r="C587" s="54" t="s">
        <v>1629</v>
      </c>
      <c r="D587" s="54"/>
      <c r="E587" t="s">
        <v>66</v>
      </c>
    </row>
    <row r="588" spans="1:5" x14ac:dyDescent="0.25">
      <c r="A588">
        <v>23203742</v>
      </c>
      <c r="B588" s="55">
        <v>600</v>
      </c>
      <c r="C588" s="54" t="s">
        <v>1629</v>
      </c>
      <c r="D588" s="54"/>
      <c r="E588" t="s">
        <v>1621</v>
      </c>
    </row>
    <row r="589" spans="1:5" x14ac:dyDescent="0.25">
      <c r="A589">
        <v>23203741</v>
      </c>
      <c r="B589" s="55">
        <v>600</v>
      </c>
      <c r="C589" s="54" t="s">
        <v>1629</v>
      </c>
      <c r="D589" s="54"/>
      <c r="E589" t="s">
        <v>66</v>
      </c>
    </row>
    <row r="590" spans="1:5" x14ac:dyDescent="0.25">
      <c r="A590">
        <v>23203740</v>
      </c>
      <c r="B590" s="55">
        <v>618</v>
      </c>
      <c r="C590" s="54" t="s">
        <v>1626</v>
      </c>
      <c r="D590" s="54"/>
      <c r="E590" t="s">
        <v>66</v>
      </c>
    </row>
    <row r="591" spans="1:5" x14ac:dyDescent="0.25">
      <c r="A591">
        <v>23203739</v>
      </c>
      <c r="B591" s="55">
        <v>600</v>
      </c>
      <c r="C591" s="54" t="s">
        <v>1629</v>
      </c>
      <c r="D591" s="54"/>
      <c r="E591" t="s">
        <v>1621</v>
      </c>
    </row>
    <row r="592" spans="1:5" x14ac:dyDescent="0.25">
      <c r="A592">
        <v>23203738</v>
      </c>
      <c r="B592" s="55">
        <v>600</v>
      </c>
      <c r="C592" s="54" t="s">
        <v>1629</v>
      </c>
      <c r="D592" s="54"/>
      <c r="E592" t="s">
        <v>1621</v>
      </c>
    </row>
    <row r="593" spans="1:5" x14ac:dyDescent="0.25">
      <c r="A593">
        <v>23203736</v>
      </c>
      <c r="B593" s="55">
        <v>618</v>
      </c>
      <c r="C593" s="54" t="s">
        <v>1626</v>
      </c>
      <c r="D593" s="54"/>
      <c r="E593" t="s">
        <v>66</v>
      </c>
    </row>
    <row r="594" spans="1:5" x14ac:dyDescent="0.25">
      <c r="A594">
        <v>23203735</v>
      </c>
      <c r="B594" s="55">
        <v>600</v>
      </c>
      <c r="C594" t="s">
        <v>1629</v>
      </c>
      <c r="E594" t="s">
        <v>66</v>
      </c>
    </row>
    <row r="595" spans="1:5" x14ac:dyDescent="0.25">
      <c r="A595">
        <v>23203734</v>
      </c>
      <c r="B595" s="55">
        <v>600</v>
      </c>
      <c r="C595" t="s">
        <v>1629</v>
      </c>
      <c r="E595" t="s">
        <v>1621</v>
      </c>
    </row>
    <row r="596" spans="1:5" x14ac:dyDescent="0.25">
      <c r="A596">
        <v>23203733</v>
      </c>
      <c r="B596" s="55">
        <v>600</v>
      </c>
      <c r="C596" s="54" t="s">
        <v>1629</v>
      </c>
      <c r="D596" s="54"/>
      <c r="E596" t="s">
        <v>66</v>
      </c>
    </row>
    <row r="597" spans="1:5" x14ac:dyDescent="0.25">
      <c r="A597">
        <v>13203040</v>
      </c>
      <c r="B597" s="56" t="s">
        <v>1639</v>
      </c>
      <c r="C597" s="54" t="s">
        <v>688</v>
      </c>
      <c r="D597" s="54"/>
      <c r="E597" t="s">
        <v>1630</v>
      </c>
    </row>
    <row r="598" spans="1:5" x14ac:dyDescent="0.25">
      <c r="A598">
        <v>13203037</v>
      </c>
      <c r="B598" s="55">
        <v>600</v>
      </c>
      <c r="C598" t="s">
        <v>1629</v>
      </c>
      <c r="E598" t="s">
        <v>1630</v>
      </c>
    </row>
    <row r="599" spans="1:5" x14ac:dyDescent="0.25">
      <c r="A599">
        <v>13203036</v>
      </c>
      <c r="B599" s="55">
        <v>600</v>
      </c>
      <c r="C599" s="54" t="s">
        <v>1629</v>
      </c>
      <c r="D599" s="54"/>
      <c r="E599" t="s">
        <v>1630</v>
      </c>
    </row>
    <row r="600" spans="1:5" x14ac:dyDescent="0.25">
      <c r="A600">
        <v>13203035</v>
      </c>
      <c r="B600" s="55">
        <v>39105</v>
      </c>
      <c r="C600" s="54" t="s">
        <v>1651</v>
      </c>
      <c r="D600" s="54"/>
      <c r="E600" t="s">
        <v>1630</v>
      </c>
    </row>
    <row r="601" spans="1:5" x14ac:dyDescent="0.25">
      <c r="A601">
        <v>13203034</v>
      </c>
      <c r="B601" s="55">
        <v>600</v>
      </c>
      <c r="C601" s="54" t="s">
        <v>1629</v>
      </c>
      <c r="D601" s="54"/>
      <c r="E601" t="s">
        <v>1630</v>
      </c>
    </row>
    <row r="602" spans="1:5" x14ac:dyDescent="0.25">
      <c r="A602">
        <v>13203033</v>
      </c>
      <c r="B602" s="55" t="s">
        <v>1694</v>
      </c>
      <c r="C602" t="s">
        <v>1695</v>
      </c>
      <c r="E602" t="s">
        <v>1630</v>
      </c>
    </row>
    <row r="603" spans="1:5" x14ac:dyDescent="0.25">
      <c r="A603">
        <v>13203030</v>
      </c>
      <c r="B603" s="55">
        <v>58833</v>
      </c>
      <c r="C603" t="s">
        <v>1668</v>
      </c>
      <c r="E603" t="s">
        <v>1623</v>
      </c>
    </row>
    <row r="604" spans="1:5" x14ac:dyDescent="0.25">
      <c r="A604">
        <v>13203029</v>
      </c>
      <c r="B604" s="55">
        <v>600</v>
      </c>
      <c r="C604" s="54" t="s">
        <v>1629</v>
      </c>
      <c r="D604" s="54"/>
      <c r="E604" t="s">
        <v>1630</v>
      </c>
    </row>
    <row r="605" spans="1:5" x14ac:dyDescent="0.25">
      <c r="A605">
        <v>13203028</v>
      </c>
      <c r="B605" s="55">
        <v>600</v>
      </c>
      <c r="C605" t="s">
        <v>1629</v>
      </c>
      <c r="E605" t="s">
        <v>1630</v>
      </c>
    </row>
    <row r="606" spans="1:5" x14ac:dyDescent="0.25">
      <c r="A606">
        <v>13203027</v>
      </c>
      <c r="B606" s="55">
        <v>600</v>
      </c>
      <c r="C606" s="54" t="s">
        <v>1629</v>
      </c>
      <c r="D606" s="54"/>
      <c r="E606" t="s">
        <v>1630</v>
      </c>
    </row>
    <row r="607" spans="1:5" x14ac:dyDescent="0.25">
      <c r="A607">
        <v>13203026</v>
      </c>
      <c r="B607" s="55">
        <v>600</v>
      </c>
      <c r="C607" s="54" t="s">
        <v>1629</v>
      </c>
      <c r="D607" s="54"/>
      <c r="E607" t="s">
        <v>1630</v>
      </c>
    </row>
    <row r="608" spans="1:5" x14ac:dyDescent="0.25">
      <c r="A608">
        <v>13203025</v>
      </c>
      <c r="B608" s="55">
        <v>600</v>
      </c>
      <c r="C608" s="54" t="s">
        <v>1629</v>
      </c>
      <c r="D608" s="54"/>
      <c r="E608" t="s">
        <v>1630</v>
      </c>
    </row>
    <row r="609" spans="1:5" x14ac:dyDescent="0.25">
      <c r="A609">
        <v>13203024</v>
      </c>
      <c r="B609" s="55">
        <v>600</v>
      </c>
      <c r="C609" s="54" t="s">
        <v>1629</v>
      </c>
      <c r="D609" s="54"/>
      <c r="E609" t="s">
        <v>1630</v>
      </c>
    </row>
    <row r="610" spans="1:5" x14ac:dyDescent="0.25">
      <c r="A610">
        <v>13203023</v>
      </c>
      <c r="B610" s="55">
        <v>63233</v>
      </c>
      <c r="C610" s="54" t="s">
        <v>1632</v>
      </c>
      <c r="D610" s="54"/>
      <c r="E610" t="s">
        <v>1623</v>
      </c>
    </row>
    <row r="611" spans="1:5" x14ac:dyDescent="0.25">
      <c r="A611">
        <v>13203021</v>
      </c>
      <c r="B611" s="55">
        <v>600</v>
      </c>
      <c r="C611" s="54" t="s">
        <v>1629</v>
      </c>
      <c r="D611" s="54"/>
      <c r="E611" t="s">
        <v>1630</v>
      </c>
    </row>
    <row r="612" spans="1:5" x14ac:dyDescent="0.25">
      <c r="A612">
        <v>13203020</v>
      </c>
      <c r="B612" s="55">
        <v>600</v>
      </c>
      <c r="C612" t="s">
        <v>1629</v>
      </c>
      <c r="E612" t="s">
        <v>1630</v>
      </c>
    </row>
    <row r="613" spans="1:5" x14ac:dyDescent="0.25">
      <c r="A613">
        <v>13203019</v>
      </c>
      <c r="B613" s="55">
        <v>600</v>
      </c>
      <c r="C613" t="s">
        <v>1629</v>
      </c>
      <c r="E613" t="s">
        <v>1630</v>
      </c>
    </row>
    <row r="614" spans="1:5" x14ac:dyDescent="0.25">
      <c r="A614">
        <v>13203018</v>
      </c>
      <c r="B614" s="55">
        <v>600</v>
      </c>
      <c r="C614" t="s">
        <v>1629</v>
      </c>
      <c r="E614" t="s">
        <v>1630</v>
      </c>
    </row>
    <row r="615" spans="1:5" x14ac:dyDescent="0.25">
      <c r="A615">
        <v>13203016</v>
      </c>
      <c r="B615" s="55">
        <v>618</v>
      </c>
      <c r="C615" s="54" t="s">
        <v>1626</v>
      </c>
      <c r="D615" s="54"/>
      <c r="E615" t="s">
        <v>1630</v>
      </c>
    </row>
    <row r="616" spans="1:5" x14ac:dyDescent="0.25">
      <c r="A616">
        <v>13203015</v>
      </c>
      <c r="B616" s="55">
        <v>600</v>
      </c>
      <c r="C616" s="54" t="s">
        <v>1629</v>
      </c>
      <c r="D616" s="54"/>
      <c r="E616" t="s">
        <v>1630</v>
      </c>
    </row>
    <row r="617" spans="1:5" x14ac:dyDescent="0.25">
      <c r="A617">
        <v>13203014</v>
      </c>
      <c r="B617" s="55">
        <v>600</v>
      </c>
      <c r="C617" s="54" t="s">
        <v>1629</v>
      </c>
      <c r="D617" s="54"/>
      <c r="E617" t="s">
        <v>1630</v>
      </c>
    </row>
    <row r="618" spans="1:5" x14ac:dyDescent="0.25">
      <c r="A618">
        <v>13203013</v>
      </c>
      <c r="B618" s="55">
        <v>600</v>
      </c>
      <c r="C618" s="54" t="s">
        <v>1629</v>
      </c>
      <c r="D618" s="54"/>
      <c r="E618" t="s">
        <v>1630</v>
      </c>
    </row>
    <row r="619" spans="1:5" x14ac:dyDescent="0.25">
      <c r="A619">
        <v>13203012</v>
      </c>
      <c r="B619" s="55">
        <v>600</v>
      </c>
      <c r="C619" s="54" t="s">
        <v>1629</v>
      </c>
      <c r="D619" s="54"/>
      <c r="E619" t="s">
        <v>1630</v>
      </c>
    </row>
    <row r="620" spans="1:5" x14ac:dyDescent="0.25">
      <c r="A620">
        <v>13203011</v>
      </c>
      <c r="B620" s="55">
        <v>618</v>
      </c>
      <c r="C620" s="54" t="s">
        <v>1626</v>
      </c>
      <c r="D620" s="54"/>
      <c r="E620" t="s">
        <v>1630</v>
      </c>
    </row>
    <row r="621" spans="1:5" x14ac:dyDescent="0.25">
      <c r="A621">
        <v>13203010</v>
      </c>
      <c r="B621" s="55">
        <v>600</v>
      </c>
      <c r="C621" s="54" t="s">
        <v>1629</v>
      </c>
      <c r="D621" s="54"/>
      <c r="E621" t="s">
        <v>1630</v>
      </c>
    </row>
    <row r="622" spans="1:5" x14ac:dyDescent="0.25">
      <c r="A622">
        <v>13203009</v>
      </c>
      <c r="B622" s="55">
        <v>600</v>
      </c>
      <c r="C622" t="s">
        <v>1629</v>
      </c>
      <c r="E622" t="s">
        <v>1630</v>
      </c>
    </row>
    <row r="623" spans="1:5" x14ac:dyDescent="0.25">
      <c r="A623">
        <v>13203008</v>
      </c>
      <c r="B623" s="55">
        <v>618</v>
      </c>
      <c r="C623" s="54" t="s">
        <v>1626</v>
      </c>
      <c r="D623" s="54"/>
      <c r="E623" t="s">
        <v>1630</v>
      </c>
    </row>
    <row r="624" spans="1:5" x14ac:dyDescent="0.25">
      <c r="A624">
        <v>13203007</v>
      </c>
      <c r="B624" s="55">
        <v>600</v>
      </c>
      <c r="C624" s="54" t="s">
        <v>1629</v>
      </c>
      <c r="D624" s="54"/>
      <c r="E624" t="s">
        <v>1630</v>
      </c>
    </row>
    <row r="625" spans="1:5" x14ac:dyDescent="0.25">
      <c r="A625">
        <v>13203006</v>
      </c>
      <c r="B625" s="55">
        <v>600</v>
      </c>
      <c r="C625" s="54" t="s">
        <v>1629</v>
      </c>
      <c r="D625" s="54"/>
      <c r="E625" t="s">
        <v>1630</v>
      </c>
    </row>
    <row r="626" spans="1:5" x14ac:dyDescent="0.25">
      <c r="A626">
        <v>13203005</v>
      </c>
      <c r="B626" s="55">
        <v>600</v>
      </c>
      <c r="C626" s="54" t="s">
        <v>1629</v>
      </c>
      <c r="D626" s="54"/>
      <c r="E626" t="s">
        <v>1630</v>
      </c>
    </row>
    <row r="627" spans="1:5" x14ac:dyDescent="0.25">
      <c r="A627">
        <v>13203004</v>
      </c>
      <c r="B627" s="55">
        <v>600</v>
      </c>
      <c r="C627" s="54" t="s">
        <v>1629</v>
      </c>
      <c r="D627" s="54"/>
      <c r="E627" t="s">
        <v>1630</v>
      </c>
    </row>
    <row r="628" spans="1:5" x14ac:dyDescent="0.25">
      <c r="A628">
        <v>13203003</v>
      </c>
      <c r="B628" s="55">
        <v>58762</v>
      </c>
      <c r="C628" s="54" t="s">
        <v>1653</v>
      </c>
      <c r="D628" s="54"/>
      <c r="E628" t="s">
        <v>1630</v>
      </c>
    </row>
    <row r="629" spans="1:5" x14ac:dyDescent="0.25">
      <c r="A629">
        <v>13203003</v>
      </c>
      <c r="B629" s="55">
        <v>33664</v>
      </c>
      <c r="C629" s="54" t="s">
        <v>1664</v>
      </c>
      <c r="D629" s="54"/>
      <c r="E629" t="s">
        <v>1630</v>
      </c>
    </row>
    <row r="630" spans="1:5" x14ac:dyDescent="0.25">
      <c r="A630">
        <v>13203003</v>
      </c>
      <c r="B630" s="56" t="s">
        <v>1639</v>
      </c>
      <c r="C630" t="s">
        <v>688</v>
      </c>
      <c r="E630" t="s">
        <v>1630</v>
      </c>
    </row>
    <row r="631" spans="1:5" x14ac:dyDescent="0.25">
      <c r="A631">
        <v>13203002</v>
      </c>
      <c r="B631" s="55">
        <v>600</v>
      </c>
      <c r="C631" s="54" t="s">
        <v>1629</v>
      </c>
      <c r="D631" s="54"/>
      <c r="E631" t="s">
        <v>1630</v>
      </c>
    </row>
    <row r="632" spans="1:5" x14ac:dyDescent="0.25">
      <c r="A632">
        <v>13203001</v>
      </c>
      <c r="B632" s="55">
        <v>58833</v>
      </c>
      <c r="C632" s="54" t="s">
        <v>1668</v>
      </c>
      <c r="D632" s="54"/>
      <c r="E632" t="s">
        <v>1630</v>
      </c>
    </row>
    <row r="633" spans="1:5" x14ac:dyDescent="0.25">
      <c r="A633">
        <v>13203001</v>
      </c>
      <c r="B633" s="55">
        <v>39105</v>
      </c>
      <c r="C633" s="54" t="s">
        <v>1651</v>
      </c>
      <c r="D633" s="54"/>
      <c r="E633" t="s">
        <v>1630</v>
      </c>
    </row>
    <row r="634" spans="1:5" x14ac:dyDescent="0.25">
      <c r="A634">
        <v>13203001</v>
      </c>
      <c r="B634" s="55">
        <v>63443</v>
      </c>
      <c r="C634" s="54" t="s">
        <v>1631</v>
      </c>
      <c r="D634" s="54"/>
      <c r="E634" t="s">
        <v>1630</v>
      </c>
    </row>
    <row r="635" spans="1:5" x14ac:dyDescent="0.25">
      <c r="A635">
        <v>13203000</v>
      </c>
      <c r="B635" s="55">
        <v>33664</v>
      </c>
      <c r="C635" s="54" t="s">
        <v>1664</v>
      </c>
      <c r="D635" s="54"/>
      <c r="E635" t="s">
        <v>1630</v>
      </c>
    </row>
    <row r="636" spans="1:5" x14ac:dyDescent="0.25">
      <c r="A636">
        <v>13203000</v>
      </c>
      <c r="B636" s="55">
        <v>48345</v>
      </c>
      <c r="C636" s="54" t="s">
        <v>1657</v>
      </c>
      <c r="D636" s="54"/>
      <c r="E636" t="s">
        <v>1630</v>
      </c>
    </row>
    <row r="637" spans="1:5" x14ac:dyDescent="0.25">
      <c r="B637"/>
    </row>
    <row r="638" spans="1:5" x14ac:dyDescent="0.25">
      <c r="B638"/>
    </row>
    <row r="639" spans="1:5" x14ac:dyDescent="0.25">
      <c r="B639"/>
    </row>
    <row r="640" spans="1:5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</sheetData>
  <autoFilter ref="A1:E636" xr:uid="{F717210A-6A11-4B06-966E-68C2E408267D}">
    <sortState xmlns:xlrd2="http://schemas.microsoft.com/office/spreadsheetml/2017/richdata2" ref="A2:E636">
      <sortCondition descending="1" ref="A1:A63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2:P340"/>
  <sheetViews>
    <sheetView showGridLines="0" workbookViewId="0">
      <selection activeCell="H16" sqref="H16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14" width="4.7109375" style="1" customWidth="1"/>
    <col min="15" max="15" width="7.7109375" style="1" customWidth="1"/>
    <col min="16" max="16" width="14.85546875" style="2" customWidth="1"/>
    <col min="17" max="16384" width="9.140625" style="1"/>
  </cols>
  <sheetData>
    <row r="2" spans="1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16" x14ac:dyDescent="0.2">
      <c r="C3" s="7"/>
    </row>
    <row r="4" spans="1:16" x14ac:dyDescent="0.2">
      <c r="B4" s="3" t="s">
        <v>21</v>
      </c>
      <c r="C4" s="8"/>
      <c r="F4" s="9"/>
      <c r="G4" s="11"/>
    </row>
    <row r="5" spans="1:16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SUM(TABELA2567[VALOR])</f>
        <v>0</v>
      </c>
    </row>
    <row r="6" spans="1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1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1:16" x14ac:dyDescent="0.2">
      <c r="F8" s="9"/>
    </row>
    <row r="9" spans="1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1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1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1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1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1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1:16" s="13" customFormat="1" ht="12.95" hidden="1" customHeight="1" x14ac:dyDescent="0.2">
      <c r="B15" s="31" t="s">
        <v>0</v>
      </c>
      <c r="C15" s="31" t="s">
        <v>1</v>
      </c>
      <c r="D15" s="31" t="s">
        <v>2</v>
      </c>
      <c r="E15" s="32" t="s">
        <v>3</v>
      </c>
      <c r="F15" s="33" t="s">
        <v>4</v>
      </c>
      <c r="G15" s="32" t="s">
        <v>5</v>
      </c>
      <c r="H15" s="34" t="s">
        <v>8</v>
      </c>
      <c r="I15" s="32" t="s">
        <v>9</v>
      </c>
      <c r="J15" s="32" t="s">
        <v>10</v>
      </c>
      <c r="K15" s="32" t="s">
        <v>11</v>
      </c>
      <c r="L15" s="32" t="s">
        <v>12</v>
      </c>
      <c r="M15" s="32" t="s">
        <v>13</v>
      </c>
      <c r="N15" s="35" t="s">
        <v>14</v>
      </c>
      <c r="O15" s="32" t="s">
        <v>16</v>
      </c>
      <c r="P15" s="33" t="s">
        <v>15</v>
      </c>
    </row>
    <row r="16" spans="1:16" x14ac:dyDescent="0.2">
      <c r="A16" s="1" t="str">
        <f>TRIM(TABELA2567[[#This Row],[PRODUTO]])&amp;TRIM(TABELA2567[[#This Row],[COR]])</f>
        <v>03.01.12530400</v>
      </c>
      <c r="B16" s="18" t="s">
        <v>55</v>
      </c>
      <c r="C16" s="19" t="s">
        <v>56</v>
      </c>
      <c r="D16" s="19" t="s">
        <v>46</v>
      </c>
      <c r="E16" s="19" t="s">
        <v>57</v>
      </c>
      <c r="F16" s="20">
        <v>332.53</v>
      </c>
      <c r="G16" s="19" t="s">
        <v>31</v>
      </c>
      <c r="H16" s="19"/>
      <c r="I16" s="19"/>
      <c r="J16" s="19"/>
      <c r="K16" s="19"/>
      <c r="L16" s="19"/>
      <c r="M16" s="19"/>
      <c r="N16" s="19"/>
      <c r="O16" s="19">
        <f>SUM(TABELA2567[[#This Row],[T1]:[T7]])</f>
        <v>0</v>
      </c>
      <c r="P16" s="21">
        <f>TABELA2567[[#This Row],[QTDE]]*TABELA2567[[#This Row],[PREÇO]]</f>
        <v>0</v>
      </c>
    </row>
    <row r="17" spans="1:16" x14ac:dyDescent="0.2">
      <c r="A17" s="1" t="str">
        <f>TRIM(TABELA2567[[#This Row],[PRODUTO]])&amp;TRIM(TABELA2567[[#This Row],[COR]])</f>
        <v>03.04.03501858</v>
      </c>
      <c r="B17" s="18" t="s">
        <v>58</v>
      </c>
      <c r="C17" s="19" t="s">
        <v>59</v>
      </c>
      <c r="D17" s="19" t="s">
        <v>60</v>
      </c>
      <c r="E17" s="19" t="s">
        <v>61</v>
      </c>
      <c r="F17" s="20">
        <v>221.44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SUM(TABELA2567[[#This Row],[T1]:[T7]])</f>
        <v>0</v>
      </c>
      <c r="P17" s="21">
        <f>TABELA2567[[#This Row],[QTDE]]*TABELA2567[[#This Row],[PREÇO]]</f>
        <v>0</v>
      </c>
    </row>
    <row r="18" spans="1:16" x14ac:dyDescent="0.2">
      <c r="A18" s="1" t="str">
        <f>TRIM(TABELA2567[[#This Row],[PRODUTO]])&amp;TRIM(TABELA2567[[#This Row],[COR]])</f>
        <v>03.04.03502441</v>
      </c>
      <c r="B18" s="18" t="s">
        <v>58</v>
      </c>
      <c r="C18" s="19" t="s">
        <v>59</v>
      </c>
      <c r="D18" s="19" t="s">
        <v>62</v>
      </c>
      <c r="E18" s="19" t="s">
        <v>63</v>
      </c>
      <c r="F18" s="20">
        <v>221.44</v>
      </c>
      <c r="G18" s="19" t="s">
        <v>31</v>
      </c>
      <c r="H18" s="19"/>
      <c r="I18" s="19"/>
      <c r="J18" s="19"/>
      <c r="K18" s="19"/>
      <c r="L18" s="19"/>
      <c r="M18" s="19"/>
      <c r="N18" s="19"/>
      <c r="O18" s="19">
        <f>SUM(TABELA2567[[#This Row],[T1]:[T7]])</f>
        <v>0</v>
      </c>
      <c r="P18" s="21">
        <f>TABELA2567[[#This Row],[QTDE]]*TABELA2567[[#This Row],[PREÇO]]</f>
        <v>0</v>
      </c>
    </row>
    <row r="19" spans="1:16" x14ac:dyDescent="0.2">
      <c r="A19" s="1" t="str">
        <f>TRIM(TABELA2567[[#This Row],[PRODUTO]])&amp;TRIM(TABELA2567[[#This Row],[COR]])</f>
        <v>04.04.01360101</v>
      </c>
      <c r="B19" s="18" t="s">
        <v>64</v>
      </c>
      <c r="C19" s="19" t="s">
        <v>65</v>
      </c>
      <c r="D19" s="19" t="s">
        <v>36</v>
      </c>
      <c r="E19" s="19" t="s">
        <v>37</v>
      </c>
      <c r="F19" s="20">
        <v>202.92</v>
      </c>
      <c r="G19" s="19" t="s">
        <v>66</v>
      </c>
      <c r="H19" s="19"/>
      <c r="I19" s="19"/>
      <c r="J19" s="19"/>
      <c r="K19" s="19"/>
      <c r="L19" s="19"/>
      <c r="M19" s="19"/>
      <c r="N19" s="19"/>
      <c r="O19" s="19">
        <f>SUM(TABELA2567[[#This Row],[T1]:[T7]])</f>
        <v>0</v>
      </c>
      <c r="P19" s="21">
        <f>TABELA2567[[#This Row],[QTDE]]*TABELA2567[[#This Row],[PREÇO]]</f>
        <v>0</v>
      </c>
    </row>
    <row r="20" spans="1:16" x14ac:dyDescent="0.2">
      <c r="A20" s="1" t="str">
        <f>TRIM(TABELA2567[[#This Row],[PRODUTO]])&amp;TRIM(TABELA2567[[#This Row],[COR]])</f>
        <v>04.04.01370101</v>
      </c>
      <c r="B20" s="18" t="s">
        <v>67</v>
      </c>
      <c r="C20" s="19" t="s">
        <v>68</v>
      </c>
      <c r="D20" s="19" t="s">
        <v>36</v>
      </c>
      <c r="E20" s="19" t="s">
        <v>37</v>
      </c>
      <c r="F20" s="20">
        <v>169.6</v>
      </c>
      <c r="G20" s="19" t="s">
        <v>66</v>
      </c>
      <c r="H20" s="19"/>
      <c r="I20" s="19"/>
      <c r="J20" s="19"/>
      <c r="K20" s="19"/>
      <c r="L20" s="19"/>
      <c r="M20" s="19"/>
      <c r="N20" s="19"/>
      <c r="O20" s="19">
        <f>SUM(TABELA2567[[#This Row],[T1]:[T7]])</f>
        <v>0</v>
      </c>
      <c r="P20" s="21">
        <f>TABELA2567[[#This Row],[QTDE]]*TABELA2567[[#This Row],[PREÇO]]</f>
        <v>0</v>
      </c>
    </row>
    <row r="21" spans="1:16" x14ac:dyDescent="0.2">
      <c r="A21" s="1" t="str">
        <f>TRIM(TABELA2567[[#This Row],[PRODUTO]])&amp;TRIM(TABELA2567[[#This Row],[COR]])</f>
        <v>04.04.01380015</v>
      </c>
      <c r="B21" s="18" t="s">
        <v>69</v>
      </c>
      <c r="C21" s="19" t="s">
        <v>70</v>
      </c>
      <c r="D21" s="19" t="s">
        <v>49</v>
      </c>
      <c r="E21" s="19" t="s">
        <v>71</v>
      </c>
      <c r="F21" s="20">
        <v>184.41</v>
      </c>
      <c r="G21" s="19" t="s">
        <v>44</v>
      </c>
      <c r="H21" s="19"/>
      <c r="I21" s="19"/>
      <c r="J21" s="19"/>
      <c r="K21" s="19"/>
      <c r="L21" s="19"/>
      <c r="M21" s="19"/>
      <c r="N21" s="19"/>
      <c r="O21" s="19">
        <f>SUM(TABELA2567[[#This Row],[T1]:[T7]])</f>
        <v>0</v>
      </c>
      <c r="P21" s="21">
        <f>TABELA2567[[#This Row],[QTDE]]*TABELA2567[[#This Row],[PREÇO]]</f>
        <v>0</v>
      </c>
    </row>
    <row r="22" spans="1:16" x14ac:dyDescent="0.2">
      <c r="A22" s="1" t="str">
        <f>TRIM(TABELA2567[[#This Row],[PRODUTO]])&amp;TRIM(TABELA2567[[#This Row],[COR]])</f>
        <v>04.04.01400015</v>
      </c>
      <c r="B22" s="18" t="s">
        <v>72</v>
      </c>
      <c r="C22" s="19" t="s">
        <v>73</v>
      </c>
      <c r="D22" s="19" t="s">
        <v>49</v>
      </c>
      <c r="E22" s="19" t="s">
        <v>71</v>
      </c>
      <c r="F22" s="20">
        <v>202.92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SUM(TABELA2567[[#This Row],[T1]:[T7]])</f>
        <v>0</v>
      </c>
      <c r="P22" s="21">
        <f>TABELA2567[[#This Row],[QTDE]]*TABELA2567[[#This Row],[PREÇO]]</f>
        <v>0</v>
      </c>
    </row>
    <row r="23" spans="1:16" x14ac:dyDescent="0.2">
      <c r="A23" s="1" t="str">
        <f>TRIM(TABELA2567[[#This Row],[PRODUTO]])&amp;TRIM(TABELA2567[[#This Row],[COR]])</f>
        <v>04.05.07870003</v>
      </c>
      <c r="B23" s="18" t="s">
        <v>74</v>
      </c>
      <c r="C23" s="19" t="s">
        <v>75</v>
      </c>
      <c r="D23" s="19" t="s">
        <v>34</v>
      </c>
      <c r="E23" s="19" t="s">
        <v>35</v>
      </c>
      <c r="F23" s="20">
        <v>184.41</v>
      </c>
      <c r="G23" s="19" t="s">
        <v>76</v>
      </c>
      <c r="H23" s="19"/>
      <c r="I23" s="19"/>
      <c r="J23" s="19"/>
      <c r="K23" s="19"/>
      <c r="L23" s="19"/>
      <c r="M23" s="19"/>
      <c r="N23" s="19"/>
      <c r="O23" s="19">
        <f>SUM(TABELA2567[[#This Row],[T1]:[T7]])</f>
        <v>0</v>
      </c>
      <c r="P23" s="21">
        <f>TABELA2567[[#This Row],[QTDE]]*TABELA2567[[#This Row],[PREÇO]]</f>
        <v>0</v>
      </c>
    </row>
    <row r="24" spans="1:16" x14ac:dyDescent="0.2">
      <c r="A24" s="1" t="str">
        <f>TRIM(TABELA2567[[#This Row],[PRODUTO]])&amp;TRIM(TABELA2567[[#This Row],[COR]])</f>
        <v>04.05.07890830</v>
      </c>
      <c r="B24" s="18" t="s">
        <v>77</v>
      </c>
      <c r="C24" s="19" t="s">
        <v>78</v>
      </c>
      <c r="D24" s="19" t="s">
        <v>79</v>
      </c>
      <c r="E24" s="19" t="s">
        <v>80</v>
      </c>
      <c r="F24" s="20">
        <v>184.41</v>
      </c>
      <c r="G24" s="19" t="s">
        <v>31</v>
      </c>
      <c r="H24" s="19"/>
      <c r="I24" s="19"/>
      <c r="J24" s="19"/>
      <c r="K24" s="19"/>
      <c r="L24" s="19"/>
      <c r="M24" s="19"/>
      <c r="N24" s="19"/>
      <c r="O24" s="19">
        <f>SUM(TABELA2567[[#This Row],[T1]:[T7]])</f>
        <v>0</v>
      </c>
      <c r="P24" s="21">
        <f>TABELA2567[[#This Row],[QTDE]]*TABELA2567[[#This Row],[PREÇO]]</f>
        <v>0</v>
      </c>
    </row>
    <row r="25" spans="1:16" x14ac:dyDescent="0.2">
      <c r="A25" s="1" t="str">
        <f>TRIM(TABELA2567[[#This Row],[PRODUTO]])&amp;TRIM(TABELA2567[[#This Row],[COR]])</f>
        <v>04.05.07900101</v>
      </c>
      <c r="B25" s="18" t="s">
        <v>81</v>
      </c>
      <c r="C25" s="19" t="s">
        <v>82</v>
      </c>
      <c r="D25" s="19" t="s">
        <v>36</v>
      </c>
      <c r="E25" s="19" t="s">
        <v>37</v>
      </c>
      <c r="F25" s="20">
        <v>184.41</v>
      </c>
      <c r="G25" s="19" t="s">
        <v>76</v>
      </c>
      <c r="H25" s="19"/>
      <c r="I25" s="19"/>
      <c r="J25" s="19"/>
      <c r="K25" s="19"/>
      <c r="L25" s="19"/>
      <c r="M25" s="19"/>
      <c r="N25" s="19"/>
      <c r="O25" s="19">
        <f>SUM(TABELA2567[[#This Row],[T1]:[T7]])</f>
        <v>0</v>
      </c>
      <c r="P25" s="21">
        <f>TABELA2567[[#This Row],[QTDE]]*TABELA2567[[#This Row],[PREÇO]]</f>
        <v>0</v>
      </c>
    </row>
    <row r="26" spans="1:16" x14ac:dyDescent="0.2">
      <c r="A26" s="1" t="str">
        <f>TRIM(TABELA2567[[#This Row],[PRODUTO]])&amp;TRIM(TABELA2567[[#This Row],[COR]])</f>
        <v>04.13.126027682</v>
      </c>
      <c r="B26" s="18" t="s">
        <v>83</v>
      </c>
      <c r="C26" s="19" t="s">
        <v>84</v>
      </c>
      <c r="D26" s="19" t="s">
        <v>85</v>
      </c>
      <c r="E26" s="19" t="s">
        <v>86</v>
      </c>
      <c r="F26" s="20">
        <v>139.97</v>
      </c>
      <c r="G26" s="19" t="s">
        <v>31</v>
      </c>
      <c r="H26" s="19"/>
      <c r="I26" s="19"/>
      <c r="J26" s="19"/>
      <c r="K26" s="19"/>
      <c r="L26" s="19"/>
      <c r="M26" s="19"/>
      <c r="N26" s="19"/>
      <c r="O26" s="19">
        <f>SUM(TABELA2567[[#This Row],[T1]:[T7]])</f>
        <v>0</v>
      </c>
      <c r="P26" s="21">
        <f>TABELA2567[[#This Row],[QTDE]]*TABELA2567[[#This Row],[PREÇO]]</f>
        <v>0</v>
      </c>
    </row>
    <row r="27" spans="1:16" x14ac:dyDescent="0.2">
      <c r="A27" s="1" t="str">
        <f>TRIM(TABELA2567[[#This Row],[PRODUTO]])&amp;TRIM(TABELA2567[[#This Row],[COR]])</f>
        <v>04.13.128227689</v>
      </c>
      <c r="B27" s="18" t="s">
        <v>87</v>
      </c>
      <c r="C27" s="19" t="s">
        <v>88</v>
      </c>
      <c r="D27" s="19" t="s">
        <v>89</v>
      </c>
      <c r="E27" s="19" t="s">
        <v>90</v>
      </c>
      <c r="F27" s="20">
        <v>139.97</v>
      </c>
      <c r="G27" s="19" t="s">
        <v>39</v>
      </c>
      <c r="H27" s="19"/>
      <c r="I27" s="19"/>
      <c r="J27" s="19"/>
      <c r="K27" s="19"/>
      <c r="L27" s="19"/>
      <c r="M27" s="19"/>
      <c r="N27" s="19"/>
      <c r="O27" s="19">
        <f>SUM(TABELA2567[[#This Row],[T1]:[T7]])</f>
        <v>0</v>
      </c>
      <c r="P27" s="21">
        <f>TABELA2567[[#This Row],[QTDE]]*TABELA2567[[#This Row],[PREÇO]]</f>
        <v>0</v>
      </c>
    </row>
    <row r="28" spans="1:16" x14ac:dyDescent="0.2">
      <c r="A28" s="1" t="str">
        <f>TRIM(TABELA2567[[#This Row],[PRODUTO]])&amp;TRIM(TABELA2567[[#This Row],[COR]])</f>
        <v>04.16.02950003</v>
      </c>
      <c r="B28" s="18" t="s">
        <v>91</v>
      </c>
      <c r="C28" s="19" t="s">
        <v>92</v>
      </c>
      <c r="D28" s="19" t="s">
        <v>34</v>
      </c>
      <c r="E28" s="19" t="s">
        <v>35</v>
      </c>
      <c r="F28" s="20">
        <v>147.38</v>
      </c>
      <c r="G28" s="19" t="s">
        <v>66</v>
      </c>
      <c r="H28" s="19"/>
      <c r="I28" s="19"/>
      <c r="J28" s="19"/>
      <c r="K28" s="19"/>
      <c r="L28" s="19"/>
      <c r="M28" s="19"/>
      <c r="N28" s="19"/>
      <c r="O28" s="19">
        <f>SUM(TABELA2567[[#This Row],[T1]:[T7]])</f>
        <v>0</v>
      </c>
      <c r="P28" s="21">
        <f>TABELA2567[[#This Row],[QTDE]]*TABELA2567[[#This Row],[PREÇO]]</f>
        <v>0</v>
      </c>
    </row>
    <row r="29" spans="1:16" x14ac:dyDescent="0.2">
      <c r="A29" s="1" t="str">
        <f>TRIM(TABELA2567[[#This Row],[PRODUTO]])&amp;TRIM(TABELA2567[[#This Row],[COR]])</f>
        <v>04.16.02950830</v>
      </c>
      <c r="B29" s="18" t="s">
        <v>91</v>
      </c>
      <c r="C29" s="19" t="s">
        <v>92</v>
      </c>
      <c r="D29" s="19" t="s">
        <v>79</v>
      </c>
      <c r="E29" s="19" t="s">
        <v>80</v>
      </c>
      <c r="F29" s="20">
        <v>147.38</v>
      </c>
      <c r="G29" s="19" t="s">
        <v>66</v>
      </c>
      <c r="H29" s="19"/>
      <c r="I29" s="19"/>
      <c r="J29" s="19"/>
      <c r="K29" s="19"/>
      <c r="L29" s="19"/>
      <c r="M29" s="19"/>
      <c r="N29" s="19"/>
      <c r="O29" s="19">
        <f>SUM(TABELA2567[[#This Row],[T1]:[T7]])</f>
        <v>0</v>
      </c>
      <c r="P29" s="21">
        <f>TABELA2567[[#This Row],[QTDE]]*TABELA2567[[#This Row],[PREÇO]]</f>
        <v>0</v>
      </c>
    </row>
    <row r="30" spans="1:16" x14ac:dyDescent="0.2">
      <c r="A30" s="1" t="str">
        <f>TRIM(TABELA2567[[#This Row],[PRODUTO]])&amp;TRIM(TABELA2567[[#This Row],[COR]])</f>
        <v>04.16.02960101</v>
      </c>
      <c r="B30" s="18" t="s">
        <v>93</v>
      </c>
      <c r="C30" s="19" t="s">
        <v>94</v>
      </c>
      <c r="D30" s="19" t="s">
        <v>36</v>
      </c>
      <c r="E30" s="19" t="s">
        <v>37</v>
      </c>
      <c r="F30" s="20">
        <v>158.49</v>
      </c>
      <c r="G30" s="19" t="s">
        <v>66</v>
      </c>
      <c r="H30" s="19"/>
      <c r="I30" s="19"/>
      <c r="J30" s="19"/>
      <c r="K30" s="19"/>
      <c r="L30" s="19"/>
      <c r="M30" s="19"/>
      <c r="N30" s="19"/>
      <c r="O30" s="19">
        <f>SUM(TABELA2567[[#This Row],[T1]:[T7]])</f>
        <v>0</v>
      </c>
      <c r="P30" s="21">
        <f>TABELA2567[[#This Row],[QTDE]]*TABELA2567[[#This Row],[PREÇO]]</f>
        <v>0</v>
      </c>
    </row>
    <row r="31" spans="1:16" x14ac:dyDescent="0.2">
      <c r="A31" s="1" t="str">
        <f>TRIM(TABELA2567[[#This Row],[PRODUTO]])&amp;TRIM(TABELA2567[[#This Row],[COR]])</f>
        <v>04.19.05010101</v>
      </c>
      <c r="B31" s="18" t="s">
        <v>95</v>
      </c>
      <c r="C31" s="19" t="s">
        <v>96</v>
      </c>
      <c r="D31" s="19" t="s">
        <v>36</v>
      </c>
      <c r="E31" s="19" t="s">
        <v>37</v>
      </c>
      <c r="F31" s="20">
        <v>177</v>
      </c>
      <c r="G31" s="19" t="s">
        <v>66</v>
      </c>
      <c r="H31" s="19"/>
      <c r="I31" s="19"/>
      <c r="J31" s="19"/>
      <c r="K31" s="19"/>
      <c r="L31" s="19"/>
      <c r="M31" s="19"/>
      <c r="N31" s="19"/>
      <c r="O31" s="19">
        <f>SUM(TABELA2567[[#This Row],[T1]:[T7]])</f>
        <v>0</v>
      </c>
      <c r="P31" s="21">
        <f>TABELA2567[[#This Row],[QTDE]]*TABELA2567[[#This Row],[PREÇO]]</f>
        <v>0</v>
      </c>
    </row>
    <row r="32" spans="1:16" x14ac:dyDescent="0.2">
      <c r="A32" s="1" t="str">
        <f>TRIM(TABELA2567[[#This Row],[PRODUTO]])&amp;TRIM(TABELA2567[[#This Row],[COR]])</f>
        <v>04.42.00060105</v>
      </c>
      <c r="B32" s="18" t="s">
        <v>97</v>
      </c>
      <c r="C32" s="19" t="s">
        <v>98</v>
      </c>
      <c r="D32" s="19" t="s">
        <v>32</v>
      </c>
      <c r="E32" s="19" t="s">
        <v>33</v>
      </c>
      <c r="F32" s="20">
        <v>295.5</v>
      </c>
      <c r="G32" s="19" t="s">
        <v>76</v>
      </c>
      <c r="H32" s="19"/>
      <c r="I32" s="19"/>
      <c r="J32" s="19"/>
      <c r="K32" s="19"/>
      <c r="L32" s="19"/>
      <c r="M32" s="19"/>
      <c r="N32" s="19"/>
      <c r="O32" s="19">
        <f>SUM(TABELA2567[[#This Row],[T1]:[T7]])</f>
        <v>0</v>
      </c>
      <c r="P32" s="21">
        <f>TABELA2567[[#This Row],[QTDE]]*TABELA2567[[#This Row],[PREÇO]]</f>
        <v>0</v>
      </c>
    </row>
    <row r="33" spans="1:16" x14ac:dyDescent="0.2">
      <c r="A33" s="1" t="str">
        <f>TRIM(TABELA2567[[#This Row],[PRODUTO]])&amp;TRIM(TABELA2567[[#This Row],[COR]])</f>
        <v>04.47.00450003</v>
      </c>
      <c r="B33" s="18" t="s">
        <v>99</v>
      </c>
      <c r="C33" s="19" t="s">
        <v>100</v>
      </c>
      <c r="D33" s="19" t="s">
        <v>34</v>
      </c>
      <c r="E33" s="19" t="s">
        <v>35</v>
      </c>
      <c r="F33" s="20">
        <v>158.49</v>
      </c>
      <c r="G33" s="19" t="s">
        <v>66</v>
      </c>
      <c r="H33" s="19"/>
      <c r="I33" s="19"/>
      <c r="J33" s="19"/>
      <c r="K33" s="19"/>
      <c r="L33" s="19"/>
      <c r="M33" s="19"/>
      <c r="N33" s="19"/>
      <c r="O33" s="19">
        <f>SUM(TABELA2567[[#This Row],[T1]:[T7]])</f>
        <v>0</v>
      </c>
      <c r="P33" s="21">
        <f>TABELA2567[[#This Row],[QTDE]]*TABELA2567[[#This Row],[PREÇO]]</f>
        <v>0</v>
      </c>
    </row>
    <row r="34" spans="1:16" x14ac:dyDescent="0.2">
      <c r="A34" s="1" t="str">
        <f>TRIM(TABELA2567[[#This Row],[PRODUTO]])&amp;TRIM(TABELA2567[[#This Row],[COR]])</f>
        <v>04.47.00455217</v>
      </c>
      <c r="B34" s="18" t="s">
        <v>99</v>
      </c>
      <c r="C34" s="19" t="s">
        <v>100</v>
      </c>
      <c r="D34" s="19" t="s">
        <v>101</v>
      </c>
      <c r="E34" s="19" t="s">
        <v>57</v>
      </c>
      <c r="F34" s="20">
        <v>158.49</v>
      </c>
      <c r="G34" s="19" t="s">
        <v>66</v>
      </c>
      <c r="H34" s="19"/>
      <c r="I34" s="19"/>
      <c r="J34" s="19"/>
      <c r="K34" s="19"/>
      <c r="L34" s="19"/>
      <c r="M34" s="19"/>
      <c r="N34" s="19"/>
      <c r="O34" s="19">
        <f>SUM(TABELA2567[[#This Row],[T1]:[T7]])</f>
        <v>0</v>
      </c>
      <c r="P34" s="21">
        <f>TABELA2567[[#This Row],[QTDE]]*TABELA2567[[#This Row],[PREÇO]]</f>
        <v>0</v>
      </c>
    </row>
    <row r="35" spans="1:16" x14ac:dyDescent="0.2">
      <c r="A35" s="1" t="str">
        <f>TRIM(TABELA2567[[#This Row],[PRODUTO]])&amp;TRIM(TABELA2567[[#This Row],[COR]])</f>
        <v>04.47.00475217</v>
      </c>
      <c r="B35" s="18" t="s">
        <v>102</v>
      </c>
      <c r="C35" s="19" t="s">
        <v>103</v>
      </c>
      <c r="D35" s="19" t="s">
        <v>101</v>
      </c>
      <c r="E35" s="19" t="s">
        <v>104</v>
      </c>
      <c r="F35" s="20">
        <v>147.38</v>
      </c>
      <c r="G35" s="19" t="s">
        <v>66</v>
      </c>
      <c r="H35" s="19"/>
      <c r="I35" s="19"/>
      <c r="J35" s="19"/>
      <c r="K35" s="19"/>
      <c r="L35" s="19"/>
      <c r="M35" s="19"/>
      <c r="N35" s="19"/>
      <c r="O35" s="19">
        <f>SUM(TABELA2567[[#This Row],[T1]:[T7]])</f>
        <v>0</v>
      </c>
      <c r="P35" s="21">
        <f>TABELA2567[[#This Row],[QTDE]]*TABELA2567[[#This Row],[PREÇO]]</f>
        <v>0</v>
      </c>
    </row>
    <row r="36" spans="1:16" x14ac:dyDescent="0.2">
      <c r="A36" s="1" t="str">
        <f>TRIM(TABELA2567[[#This Row],[PRODUTO]])&amp;TRIM(TABELA2567[[#This Row],[COR]])</f>
        <v>04.47.00480101</v>
      </c>
      <c r="B36" s="18" t="s">
        <v>105</v>
      </c>
      <c r="C36" s="19" t="s">
        <v>106</v>
      </c>
      <c r="D36" s="19" t="s">
        <v>36</v>
      </c>
      <c r="E36" s="19" t="s">
        <v>107</v>
      </c>
      <c r="F36" s="20">
        <v>184.41</v>
      </c>
      <c r="G36" s="19" t="s">
        <v>76</v>
      </c>
      <c r="H36" s="19"/>
      <c r="I36" s="19"/>
      <c r="J36" s="19"/>
      <c r="K36" s="19"/>
      <c r="L36" s="19"/>
      <c r="M36" s="19"/>
      <c r="N36" s="19"/>
      <c r="O36" s="19">
        <f>SUM(TABELA2567[[#This Row],[T1]:[T7]])</f>
        <v>0</v>
      </c>
      <c r="P36" s="21">
        <f>TABELA2567[[#This Row],[QTDE]]*TABELA2567[[#This Row],[PREÇO]]</f>
        <v>0</v>
      </c>
    </row>
    <row r="37" spans="1:16" x14ac:dyDescent="0.2">
      <c r="A37" s="1" t="str">
        <f>TRIM(TABELA2567[[#This Row],[PRODUTO]])&amp;TRIM(TABELA2567[[#This Row],[COR]])</f>
        <v>04.47.00490105</v>
      </c>
      <c r="B37" s="18" t="s">
        <v>108</v>
      </c>
      <c r="C37" s="19" t="s">
        <v>109</v>
      </c>
      <c r="D37" s="19" t="s">
        <v>32</v>
      </c>
      <c r="E37" s="19" t="s">
        <v>33</v>
      </c>
      <c r="F37" s="20">
        <v>480.65</v>
      </c>
      <c r="G37" s="19" t="s">
        <v>66</v>
      </c>
      <c r="H37" s="19"/>
      <c r="I37" s="19"/>
      <c r="J37" s="19"/>
      <c r="K37" s="19"/>
      <c r="L37" s="19"/>
      <c r="M37" s="19"/>
      <c r="N37" s="19"/>
      <c r="O37" s="19">
        <f>SUM(TABELA2567[[#This Row],[T1]:[T7]])</f>
        <v>0</v>
      </c>
      <c r="P37" s="21">
        <f>TABELA2567[[#This Row],[QTDE]]*TABELA2567[[#This Row],[PREÇO]]</f>
        <v>0</v>
      </c>
    </row>
    <row r="38" spans="1:16" x14ac:dyDescent="0.2">
      <c r="A38" s="1" t="str">
        <f>TRIM(TABELA2567[[#This Row],[PRODUTO]])&amp;TRIM(TABELA2567[[#This Row],[COR]])</f>
        <v>04.47.00502441</v>
      </c>
      <c r="B38" s="18" t="s">
        <v>110</v>
      </c>
      <c r="C38" s="19" t="s">
        <v>111</v>
      </c>
      <c r="D38" s="19" t="s">
        <v>62</v>
      </c>
      <c r="E38" s="19" t="s">
        <v>63</v>
      </c>
      <c r="F38" s="20">
        <v>202.92</v>
      </c>
      <c r="G38" s="19" t="s">
        <v>76</v>
      </c>
      <c r="H38" s="19"/>
      <c r="I38" s="19"/>
      <c r="J38" s="19"/>
      <c r="K38" s="19"/>
      <c r="L38" s="19"/>
      <c r="M38" s="19"/>
      <c r="N38" s="19"/>
      <c r="O38" s="19">
        <f>SUM(TABELA2567[[#This Row],[T1]:[T7]])</f>
        <v>0</v>
      </c>
      <c r="P38" s="21">
        <f>TABELA2567[[#This Row],[QTDE]]*TABELA2567[[#This Row],[PREÇO]]</f>
        <v>0</v>
      </c>
    </row>
    <row r="39" spans="1:16" x14ac:dyDescent="0.2">
      <c r="A39" s="1" t="str">
        <f>TRIM(TABELA2567[[#This Row],[PRODUTO]])&amp;TRIM(TABELA2567[[#This Row],[COR]])</f>
        <v>04.47.00503918</v>
      </c>
      <c r="B39" s="18" t="s">
        <v>110</v>
      </c>
      <c r="C39" s="19" t="s">
        <v>111</v>
      </c>
      <c r="D39" s="19" t="s">
        <v>112</v>
      </c>
      <c r="E39" s="19" t="s">
        <v>113</v>
      </c>
      <c r="F39" s="20">
        <v>202.92</v>
      </c>
      <c r="G39" s="19" t="s">
        <v>76</v>
      </c>
      <c r="H39" s="19"/>
      <c r="I39" s="19"/>
      <c r="J39" s="19"/>
      <c r="K39" s="19"/>
      <c r="L39" s="19"/>
      <c r="M39" s="19"/>
      <c r="N39" s="19"/>
      <c r="O39" s="19">
        <f>SUM(TABELA2567[[#This Row],[T1]:[T7]])</f>
        <v>0</v>
      </c>
      <c r="P39" s="21">
        <f>TABELA2567[[#This Row],[QTDE]]*TABELA2567[[#This Row],[PREÇO]]</f>
        <v>0</v>
      </c>
    </row>
    <row r="40" spans="1:16" x14ac:dyDescent="0.2">
      <c r="A40" s="1" t="str">
        <f>TRIM(TABELA2567[[#This Row],[PRODUTO]])&amp;TRIM(TABELA2567[[#This Row],[COR]])</f>
        <v>04.47.00530105</v>
      </c>
      <c r="B40" s="18" t="s">
        <v>114</v>
      </c>
      <c r="C40" s="19" t="s">
        <v>115</v>
      </c>
      <c r="D40" s="19" t="s">
        <v>32</v>
      </c>
      <c r="E40" s="19" t="s">
        <v>33</v>
      </c>
      <c r="F40" s="20">
        <v>258.47000000000003</v>
      </c>
      <c r="G40" s="19" t="s">
        <v>66</v>
      </c>
      <c r="H40" s="19"/>
      <c r="I40" s="19"/>
      <c r="J40" s="19"/>
      <c r="K40" s="19"/>
      <c r="L40" s="19"/>
      <c r="M40" s="19"/>
      <c r="N40" s="19"/>
      <c r="O40" s="19">
        <f>SUM(TABELA2567[[#This Row],[T1]:[T7]])</f>
        <v>0</v>
      </c>
      <c r="P40" s="21">
        <f>TABELA2567[[#This Row],[QTDE]]*TABELA2567[[#This Row],[PREÇO]]</f>
        <v>0</v>
      </c>
    </row>
    <row r="41" spans="1:16" x14ac:dyDescent="0.2">
      <c r="A41" s="1" t="str">
        <f>TRIM(TABELA2567[[#This Row],[PRODUTO]])&amp;TRIM(TABELA2567[[#This Row],[COR]])</f>
        <v>04.47.00540105</v>
      </c>
      <c r="B41" s="18" t="s">
        <v>116</v>
      </c>
      <c r="C41" s="19" t="s">
        <v>117</v>
      </c>
      <c r="D41" s="19" t="s">
        <v>32</v>
      </c>
      <c r="E41" s="19" t="s">
        <v>33</v>
      </c>
      <c r="F41" s="20">
        <v>125.16</v>
      </c>
      <c r="G41" s="19" t="s">
        <v>66</v>
      </c>
      <c r="H41" s="19"/>
      <c r="I41" s="19"/>
      <c r="J41" s="19"/>
      <c r="K41" s="19"/>
      <c r="L41" s="19"/>
      <c r="M41" s="19"/>
      <c r="N41" s="19"/>
      <c r="O41" s="19">
        <f>SUM(TABELA2567[[#This Row],[T1]:[T7]])</f>
        <v>0</v>
      </c>
      <c r="P41" s="21">
        <f>TABELA2567[[#This Row],[QTDE]]*TABELA2567[[#This Row],[PREÇO]]</f>
        <v>0</v>
      </c>
    </row>
    <row r="42" spans="1:16" x14ac:dyDescent="0.2">
      <c r="A42" s="1" t="str">
        <f>TRIM(TABELA2567[[#This Row],[PRODUTO]])&amp;TRIM(TABELA2567[[#This Row],[COR]])</f>
        <v>04.69.20510002</v>
      </c>
      <c r="B42" s="18" t="s">
        <v>1605</v>
      </c>
      <c r="C42" s="19" t="s">
        <v>1606</v>
      </c>
      <c r="D42" s="19" t="s">
        <v>40</v>
      </c>
      <c r="E42" s="19" t="s">
        <v>41</v>
      </c>
      <c r="F42" s="20">
        <v>110.35</v>
      </c>
      <c r="G42" s="19" t="s">
        <v>66</v>
      </c>
      <c r="H42" s="19"/>
      <c r="I42" s="19"/>
      <c r="J42" s="19"/>
      <c r="K42" s="19"/>
      <c r="L42" s="19"/>
      <c r="M42" s="19"/>
      <c r="N42" s="19"/>
      <c r="O42" s="19">
        <f>SUM(TABELA2567[[#This Row],[T1]:[T7]])</f>
        <v>0</v>
      </c>
      <c r="P42" s="21">
        <f>TABELA2567[[#This Row],[QTDE]]*TABELA2567[[#This Row],[PREÇO]]</f>
        <v>0</v>
      </c>
    </row>
    <row r="43" spans="1:16" x14ac:dyDescent="0.2">
      <c r="A43" s="1" t="str">
        <f>TRIM(TABELA2567[[#This Row],[PRODUTO]])&amp;TRIM(TABELA2567[[#This Row],[COR]])</f>
        <v>04.69.20521858</v>
      </c>
      <c r="B43" s="18" t="s">
        <v>118</v>
      </c>
      <c r="C43" s="19" t="s">
        <v>119</v>
      </c>
      <c r="D43" s="19" t="s">
        <v>60</v>
      </c>
      <c r="E43" s="19" t="s">
        <v>61</v>
      </c>
      <c r="F43" s="20">
        <v>128.86000000000001</v>
      </c>
      <c r="G43" s="19" t="s">
        <v>66</v>
      </c>
      <c r="H43" s="19"/>
      <c r="I43" s="19"/>
      <c r="J43" s="19"/>
      <c r="K43" s="19"/>
      <c r="L43" s="19"/>
      <c r="M43" s="19"/>
      <c r="N43" s="19"/>
      <c r="O43" s="19">
        <f>SUM(TABELA2567[[#This Row],[T1]:[T7]])</f>
        <v>0</v>
      </c>
      <c r="P43" s="21">
        <f>TABELA2567[[#This Row],[QTDE]]*TABELA2567[[#This Row],[PREÇO]]</f>
        <v>0</v>
      </c>
    </row>
    <row r="44" spans="1:16" x14ac:dyDescent="0.2">
      <c r="A44" s="1" t="str">
        <f>TRIM(TABELA2567[[#This Row],[PRODUTO]])&amp;TRIM(TABELA2567[[#This Row],[COR]])</f>
        <v>04.69.20540101</v>
      </c>
      <c r="B44" s="18" t="s">
        <v>120</v>
      </c>
      <c r="C44" s="19" t="s">
        <v>121</v>
      </c>
      <c r="D44" s="19" t="s">
        <v>36</v>
      </c>
      <c r="E44" s="19" t="s">
        <v>37</v>
      </c>
      <c r="F44" s="20">
        <v>110.35</v>
      </c>
      <c r="G44" s="19" t="s">
        <v>66</v>
      </c>
      <c r="H44" s="19"/>
      <c r="I44" s="19"/>
      <c r="J44" s="19"/>
      <c r="K44" s="19"/>
      <c r="L44" s="19"/>
      <c r="M44" s="19"/>
      <c r="N44" s="19"/>
      <c r="O44" s="19">
        <f>SUM(TABELA2567[[#This Row],[T1]:[T7]])</f>
        <v>0</v>
      </c>
      <c r="P44" s="21">
        <f>TABELA2567[[#This Row],[QTDE]]*TABELA2567[[#This Row],[PREÇO]]</f>
        <v>0</v>
      </c>
    </row>
    <row r="45" spans="1:16" x14ac:dyDescent="0.2">
      <c r="A45" s="1" t="str">
        <f>TRIM(TABELA2567[[#This Row],[PRODUTO]])&amp;TRIM(TABELA2567[[#This Row],[COR]])</f>
        <v>04.69.20580105</v>
      </c>
      <c r="B45" s="18" t="s">
        <v>122</v>
      </c>
      <c r="C45" s="19" t="s">
        <v>123</v>
      </c>
      <c r="D45" s="19" t="s">
        <v>32</v>
      </c>
      <c r="E45" s="19" t="s">
        <v>33</v>
      </c>
      <c r="F45" s="20">
        <v>110.35</v>
      </c>
      <c r="G45" s="19" t="s">
        <v>66</v>
      </c>
      <c r="H45" s="19"/>
      <c r="I45" s="19"/>
      <c r="J45" s="19"/>
      <c r="K45" s="19"/>
      <c r="L45" s="19"/>
      <c r="M45" s="19"/>
      <c r="N45" s="19"/>
      <c r="O45" s="19">
        <f>SUM(TABELA2567[[#This Row],[T1]:[T7]])</f>
        <v>0</v>
      </c>
      <c r="P45" s="21">
        <f>TABELA2567[[#This Row],[QTDE]]*TABELA2567[[#This Row],[PREÇO]]</f>
        <v>0</v>
      </c>
    </row>
    <row r="46" spans="1:16" x14ac:dyDescent="0.2">
      <c r="A46" s="1" t="str">
        <f>TRIM(TABELA2567[[#This Row],[PRODUTO]])&amp;TRIM(TABELA2567[[#This Row],[COR]])</f>
        <v>04.69.20600105</v>
      </c>
      <c r="B46" s="18" t="s">
        <v>124</v>
      </c>
      <c r="C46" s="19" t="s">
        <v>125</v>
      </c>
      <c r="D46" s="19" t="s">
        <v>32</v>
      </c>
      <c r="E46" s="19" t="s">
        <v>42</v>
      </c>
      <c r="F46" s="20">
        <v>110.35</v>
      </c>
      <c r="G46" s="19" t="s">
        <v>66</v>
      </c>
      <c r="H46" s="19"/>
      <c r="I46" s="19"/>
      <c r="J46" s="19"/>
      <c r="K46" s="19"/>
      <c r="L46" s="19"/>
      <c r="M46" s="19"/>
      <c r="N46" s="19"/>
      <c r="O46" s="19">
        <f>SUM(TABELA2567[[#This Row],[T1]:[T7]])</f>
        <v>0</v>
      </c>
      <c r="P46" s="21">
        <f>TABELA2567[[#This Row],[QTDE]]*TABELA2567[[#This Row],[PREÇO]]</f>
        <v>0</v>
      </c>
    </row>
    <row r="47" spans="1:16" x14ac:dyDescent="0.2">
      <c r="A47" s="1" t="str">
        <f>TRIM(TABELA2567[[#This Row],[PRODUTO]])&amp;TRIM(TABELA2567[[#This Row],[COR]])</f>
        <v>04.81.02700101</v>
      </c>
      <c r="B47" s="18" t="s">
        <v>126</v>
      </c>
      <c r="C47" s="19" t="s">
        <v>127</v>
      </c>
      <c r="D47" s="19" t="s">
        <v>36</v>
      </c>
      <c r="E47" s="19" t="s">
        <v>128</v>
      </c>
      <c r="F47" s="20">
        <v>332.53</v>
      </c>
      <c r="G47" s="19" t="s">
        <v>76</v>
      </c>
      <c r="H47" s="19"/>
      <c r="I47" s="19"/>
      <c r="J47" s="19"/>
      <c r="K47" s="19"/>
      <c r="L47" s="19"/>
      <c r="M47" s="19"/>
      <c r="N47" s="19"/>
      <c r="O47" s="19">
        <f>SUM(TABELA2567[[#This Row],[T1]:[T7]])</f>
        <v>0</v>
      </c>
      <c r="P47" s="21">
        <f>TABELA2567[[#This Row],[QTDE]]*TABELA2567[[#This Row],[PREÇO]]</f>
        <v>0</v>
      </c>
    </row>
    <row r="48" spans="1:16" x14ac:dyDescent="0.2">
      <c r="A48" s="1" t="str">
        <f>TRIM(TABELA2567[[#This Row],[PRODUTO]])&amp;TRIM(TABELA2567[[#This Row],[COR]])</f>
        <v>04.81.02710101</v>
      </c>
      <c r="B48" s="18" t="s">
        <v>129</v>
      </c>
      <c r="C48" s="19" t="s">
        <v>130</v>
      </c>
      <c r="D48" s="19" t="s">
        <v>36</v>
      </c>
      <c r="E48" s="19" t="s">
        <v>37</v>
      </c>
      <c r="F48" s="20">
        <v>184.41</v>
      </c>
      <c r="G48" s="19" t="s">
        <v>66</v>
      </c>
      <c r="H48" s="19"/>
      <c r="I48" s="19"/>
      <c r="J48" s="19"/>
      <c r="K48" s="19"/>
      <c r="L48" s="19"/>
      <c r="M48" s="19"/>
      <c r="N48" s="19"/>
      <c r="O48" s="19">
        <f>SUM(TABELA2567[[#This Row],[T1]:[T7]])</f>
        <v>0</v>
      </c>
      <c r="P48" s="21">
        <f>TABELA2567[[#This Row],[QTDE]]*TABELA2567[[#This Row],[PREÇO]]</f>
        <v>0</v>
      </c>
    </row>
    <row r="49" spans="1:16" x14ac:dyDescent="0.2">
      <c r="A49" s="1" t="str">
        <f>TRIM(TABELA2567[[#This Row],[PRODUTO]])&amp;TRIM(TABELA2567[[#This Row],[COR]])</f>
        <v>04.81.02720830</v>
      </c>
      <c r="B49" s="18" t="s">
        <v>131</v>
      </c>
      <c r="C49" s="19" t="s">
        <v>132</v>
      </c>
      <c r="D49" s="19" t="s">
        <v>79</v>
      </c>
      <c r="E49" s="19" t="s">
        <v>80</v>
      </c>
      <c r="F49" s="20">
        <v>184.41</v>
      </c>
      <c r="G49" s="19" t="s">
        <v>66</v>
      </c>
      <c r="H49" s="19"/>
      <c r="I49" s="19"/>
      <c r="J49" s="19"/>
      <c r="K49" s="19"/>
      <c r="L49" s="19"/>
      <c r="M49" s="19"/>
      <c r="N49" s="19"/>
      <c r="O49" s="19">
        <f>SUM(TABELA2567[[#This Row],[T1]:[T7]])</f>
        <v>0</v>
      </c>
      <c r="P49" s="21">
        <f>TABELA2567[[#This Row],[QTDE]]*TABELA2567[[#This Row],[PREÇO]]</f>
        <v>0</v>
      </c>
    </row>
    <row r="50" spans="1:16" x14ac:dyDescent="0.2">
      <c r="A50" s="1" t="str">
        <f>TRIM(TABELA2567[[#This Row],[PRODUTO]])&amp;TRIM(TABELA2567[[#This Row],[COR]])</f>
        <v>04.81.02730101</v>
      </c>
      <c r="B50" s="18" t="s">
        <v>133</v>
      </c>
      <c r="C50" s="19" t="s">
        <v>134</v>
      </c>
      <c r="D50" s="19" t="s">
        <v>36</v>
      </c>
      <c r="E50" s="19" t="s">
        <v>37</v>
      </c>
      <c r="F50" s="20">
        <v>169.6</v>
      </c>
      <c r="G50" s="19" t="s">
        <v>66</v>
      </c>
      <c r="H50" s="19"/>
      <c r="I50" s="19"/>
      <c r="J50" s="19"/>
      <c r="K50" s="19"/>
      <c r="L50" s="19"/>
      <c r="M50" s="19"/>
      <c r="N50" s="19"/>
      <c r="O50" s="19">
        <f>SUM(TABELA2567[[#This Row],[T1]:[T7]])</f>
        <v>0</v>
      </c>
      <c r="P50" s="21">
        <f>TABELA2567[[#This Row],[QTDE]]*TABELA2567[[#This Row],[PREÇO]]</f>
        <v>0</v>
      </c>
    </row>
    <row r="51" spans="1:16" x14ac:dyDescent="0.2">
      <c r="A51" s="1" t="str">
        <f>TRIM(TABELA2567[[#This Row],[PRODUTO]])&amp;TRIM(TABELA2567[[#This Row],[COR]])</f>
        <v>04.81.02740003</v>
      </c>
      <c r="B51" s="18" t="s">
        <v>135</v>
      </c>
      <c r="C51" s="19" t="s">
        <v>136</v>
      </c>
      <c r="D51" s="19" t="s">
        <v>34</v>
      </c>
      <c r="E51" s="19" t="s">
        <v>35</v>
      </c>
      <c r="F51" s="20">
        <v>232.55</v>
      </c>
      <c r="G51" s="19" t="s">
        <v>76</v>
      </c>
      <c r="H51" s="19"/>
      <c r="I51" s="19"/>
      <c r="J51" s="19"/>
      <c r="K51" s="19"/>
      <c r="L51" s="19"/>
      <c r="M51" s="19"/>
      <c r="N51" s="19"/>
      <c r="O51" s="19">
        <f>SUM(TABELA2567[[#This Row],[T1]:[T7]])</f>
        <v>0</v>
      </c>
      <c r="P51" s="21">
        <f>TABELA2567[[#This Row],[QTDE]]*TABELA2567[[#This Row],[PREÇO]]</f>
        <v>0</v>
      </c>
    </row>
    <row r="52" spans="1:16" x14ac:dyDescent="0.2">
      <c r="A52" s="1" t="str">
        <f>TRIM(TABELA2567[[#This Row],[PRODUTO]])&amp;TRIM(TABELA2567[[#This Row],[COR]])</f>
        <v>04.81.02742441</v>
      </c>
      <c r="B52" s="18" t="s">
        <v>135</v>
      </c>
      <c r="C52" s="19" t="s">
        <v>136</v>
      </c>
      <c r="D52" s="19" t="s">
        <v>62</v>
      </c>
      <c r="E52" s="19" t="s">
        <v>137</v>
      </c>
      <c r="F52" s="20">
        <v>232.55</v>
      </c>
      <c r="G52" s="19" t="s">
        <v>76</v>
      </c>
      <c r="H52" s="19"/>
      <c r="I52" s="19"/>
      <c r="J52" s="19"/>
      <c r="K52" s="19"/>
      <c r="L52" s="19"/>
      <c r="M52" s="19"/>
      <c r="N52" s="19"/>
      <c r="O52" s="19">
        <f>SUM(TABELA2567[[#This Row],[T1]:[T7]])</f>
        <v>0</v>
      </c>
      <c r="P52" s="21">
        <f>TABELA2567[[#This Row],[QTDE]]*TABELA2567[[#This Row],[PREÇO]]</f>
        <v>0</v>
      </c>
    </row>
    <row r="53" spans="1:16" x14ac:dyDescent="0.2">
      <c r="A53" s="1" t="str">
        <f>TRIM(TABELA2567[[#This Row],[PRODUTO]])&amp;TRIM(TABELA2567[[#This Row],[COR]])</f>
        <v>04.81.02751617</v>
      </c>
      <c r="B53" s="18" t="s">
        <v>138</v>
      </c>
      <c r="C53" s="19" t="s">
        <v>139</v>
      </c>
      <c r="D53" s="19" t="s">
        <v>140</v>
      </c>
      <c r="E53" s="19" t="s">
        <v>141</v>
      </c>
      <c r="F53" s="20">
        <v>251.06</v>
      </c>
      <c r="G53" s="19" t="s">
        <v>66</v>
      </c>
      <c r="H53" s="19"/>
      <c r="I53" s="19"/>
      <c r="J53" s="19"/>
      <c r="K53" s="19"/>
      <c r="L53" s="19"/>
      <c r="M53" s="19"/>
      <c r="N53" s="19"/>
      <c r="O53" s="19">
        <f>SUM(TABELA2567[[#This Row],[T1]:[T7]])</f>
        <v>0</v>
      </c>
      <c r="P53" s="21">
        <f>TABELA2567[[#This Row],[QTDE]]*TABELA2567[[#This Row],[PREÇO]]</f>
        <v>0</v>
      </c>
    </row>
    <row r="54" spans="1:16" x14ac:dyDescent="0.2">
      <c r="A54" s="1" t="str">
        <f>TRIM(TABELA2567[[#This Row],[PRODUTO]])&amp;TRIM(TABELA2567[[#This Row],[COR]])</f>
        <v>04.81.02770105</v>
      </c>
      <c r="B54" s="18" t="s">
        <v>142</v>
      </c>
      <c r="C54" s="19" t="s">
        <v>143</v>
      </c>
      <c r="D54" s="19" t="s">
        <v>32</v>
      </c>
      <c r="E54" s="19" t="s">
        <v>33</v>
      </c>
      <c r="F54" s="20">
        <v>158.49</v>
      </c>
      <c r="G54" s="19" t="s">
        <v>66</v>
      </c>
      <c r="H54" s="19"/>
      <c r="I54" s="19"/>
      <c r="J54" s="19"/>
      <c r="K54" s="19"/>
      <c r="L54" s="19"/>
      <c r="M54" s="19"/>
      <c r="N54" s="19"/>
      <c r="O54" s="19">
        <f>SUM(TABELA2567[[#This Row],[T1]:[T7]])</f>
        <v>0</v>
      </c>
      <c r="P54" s="21">
        <f>TABELA2567[[#This Row],[QTDE]]*TABELA2567[[#This Row],[PREÇO]]</f>
        <v>0</v>
      </c>
    </row>
    <row r="55" spans="1:16" x14ac:dyDescent="0.2">
      <c r="A55" s="1" t="str">
        <f>TRIM(TABELA2567[[#This Row],[PRODUTO]])&amp;TRIM(TABELA2567[[#This Row],[COR]])</f>
        <v>04.81.02780101</v>
      </c>
      <c r="B55" s="18" t="s">
        <v>144</v>
      </c>
      <c r="C55" s="19" t="s">
        <v>145</v>
      </c>
      <c r="D55" s="19" t="s">
        <v>36</v>
      </c>
      <c r="E55" s="19" t="s">
        <v>37</v>
      </c>
      <c r="F55" s="20">
        <v>332.53</v>
      </c>
      <c r="G55" s="19" t="s">
        <v>66</v>
      </c>
      <c r="H55" s="19"/>
      <c r="I55" s="19"/>
      <c r="J55" s="19"/>
      <c r="K55" s="19"/>
      <c r="L55" s="19"/>
      <c r="M55" s="19"/>
      <c r="N55" s="19"/>
      <c r="O55" s="19">
        <f>SUM(TABELA2567[[#This Row],[T1]:[T7]])</f>
        <v>0</v>
      </c>
      <c r="P55" s="21">
        <f>TABELA2567[[#This Row],[QTDE]]*TABELA2567[[#This Row],[PREÇO]]</f>
        <v>0</v>
      </c>
    </row>
    <row r="56" spans="1:16" x14ac:dyDescent="0.2">
      <c r="A56" s="1" t="str">
        <f>TRIM(TABELA2567[[#This Row],[PRODUTO]])&amp;TRIM(TABELA2567[[#This Row],[COR]])</f>
        <v>04.81.02790003</v>
      </c>
      <c r="B56" s="18" t="s">
        <v>146</v>
      </c>
      <c r="C56" s="19" t="s">
        <v>132</v>
      </c>
      <c r="D56" s="19" t="s">
        <v>34</v>
      </c>
      <c r="E56" s="19" t="s">
        <v>35</v>
      </c>
      <c r="F56" s="20">
        <v>184.41</v>
      </c>
      <c r="G56" s="19" t="s">
        <v>66</v>
      </c>
      <c r="H56" s="19"/>
      <c r="I56" s="19"/>
      <c r="J56" s="19"/>
      <c r="K56" s="19"/>
      <c r="L56" s="19"/>
      <c r="M56" s="19"/>
      <c r="N56" s="19"/>
      <c r="O56" s="19">
        <f>SUM(TABELA2567[[#This Row],[T1]:[T7]])</f>
        <v>0</v>
      </c>
      <c r="P56" s="21">
        <f>TABELA2567[[#This Row],[QTDE]]*TABELA2567[[#This Row],[PREÇO]]</f>
        <v>0</v>
      </c>
    </row>
    <row r="57" spans="1:16" x14ac:dyDescent="0.2">
      <c r="A57" s="1" t="str">
        <f>TRIM(TABELA2567[[#This Row],[PRODUTO]])&amp;TRIM(TABELA2567[[#This Row],[COR]])</f>
        <v>04.81.02860105</v>
      </c>
      <c r="B57" s="18" t="s">
        <v>147</v>
      </c>
      <c r="C57" s="19" t="s">
        <v>148</v>
      </c>
      <c r="D57" s="19" t="s">
        <v>32</v>
      </c>
      <c r="E57" s="19" t="s">
        <v>33</v>
      </c>
      <c r="F57" s="20">
        <v>295.5</v>
      </c>
      <c r="G57" s="19" t="s">
        <v>66</v>
      </c>
      <c r="H57" s="19"/>
      <c r="I57" s="19"/>
      <c r="J57" s="19"/>
      <c r="K57" s="19"/>
      <c r="L57" s="19"/>
      <c r="M57" s="19"/>
      <c r="N57" s="19"/>
      <c r="O57" s="19">
        <f>SUM(TABELA2567[[#This Row],[T1]:[T7]])</f>
        <v>0</v>
      </c>
      <c r="P57" s="21">
        <f>TABELA2567[[#This Row],[QTDE]]*TABELA2567[[#This Row],[PREÇO]]</f>
        <v>0</v>
      </c>
    </row>
    <row r="58" spans="1:16" x14ac:dyDescent="0.2">
      <c r="A58" s="1" t="str">
        <f>TRIM(TABELA2567[[#This Row],[PRODUTO]])&amp;TRIM(TABELA2567[[#This Row],[COR]])</f>
        <v>07.02.623227682</v>
      </c>
      <c r="B58" s="18" t="s">
        <v>149</v>
      </c>
      <c r="C58" s="19" t="s">
        <v>150</v>
      </c>
      <c r="D58" s="19" t="s">
        <v>85</v>
      </c>
      <c r="E58" s="19" t="s">
        <v>86</v>
      </c>
      <c r="F58" s="20">
        <v>110.35</v>
      </c>
      <c r="G58" s="19" t="s">
        <v>31</v>
      </c>
      <c r="H58" s="19"/>
      <c r="I58" s="19"/>
      <c r="J58" s="19"/>
      <c r="K58" s="19"/>
      <c r="L58" s="19"/>
      <c r="M58" s="19"/>
      <c r="N58" s="19"/>
      <c r="O58" s="19">
        <f>SUM(TABELA2567[[#This Row],[T1]:[T7]])</f>
        <v>0</v>
      </c>
      <c r="P58" s="21">
        <f>TABELA2567[[#This Row],[QTDE]]*TABELA2567[[#This Row],[PREÇO]]</f>
        <v>0</v>
      </c>
    </row>
    <row r="59" spans="1:16" x14ac:dyDescent="0.2">
      <c r="A59" s="1" t="str">
        <f>TRIM(TABELA2567[[#This Row],[PRODUTO]])&amp;TRIM(TABELA2567[[#This Row],[COR]])</f>
        <v>07.02.623327630</v>
      </c>
      <c r="B59" s="18" t="s">
        <v>151</v>
      </c>
      <c r="C59" s="19" t="s">
        <v>152</v>
      </c>
      <c r="D59" s="19" t="s">
        <v>153</v>
      </c>
      <c r="E59" s="19" t="s">
        <v>154</v>
      </c>
      <c r="F59" s="20">
        <v>121.46</v>
      </c>
      <c r="G59" s="19" t="s">
        <v>31</v>
      </c>
      <c r="H59" s="19"/>
      <c r="I59" s="19"/>
      <c r="J59" s="19"/>
      <c r="K59" s="19"/>
      <c r="L59" s="19"/>
      <c r="M59" s="19"/>
      <c r="N59" s="19"/>
      <c r="O59" s="19">
        <f>SUM(TABELA2567[[#This Row],[T1]:[T7]])</f>
        <v>0</v>
      </c>
      <c r="P59" s="21">
        <f>TABELA2567[[#This Row],[QTDE]]*TABELA2567[[#This Row],[PREÇO]]</f>
        <v>0</v>
      </c>
    </row>
    <row r="60" spans="1:16" x14ac:dyDescent="0.2">
      <c r="A60" s="1" t="str">
        <f>TRIM(TABELA2567[[#This Row],[PRODUTO]])&amp;TRIM(TABELA2567[[#This Row],[COR]])</f>
        <v>07.02.623427628</v>
      </c>
      <c r="B60" s="18" t="s">
        <v>155</v>
      </c>
      <c r="C60" s="19" t="s">
        <v>156</v>
      </c>
      <c r="D60" s="19" t="s">
        <v>157</v>
      </c>
      <c r="E60" s="19" t="s">
        <v>158</v>
      </c>
      <c r="F60" s="20">
        <v>110.35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SUM(TABELA2567[[#This Row],[T1]:[T7]])</f>
        <v>0</v>
      </c>
      <c r="P60" s="21">
        <f>TABELA2567[[#This Row],[QTDE]]*TABELA2567[[#This Row],[PREÇO]]</f>
        <v>0</v>
      </c>
    </row>
    <row r="61" spans="1:16" x14ac:dyDescent="0.2">
      <c r="A61" s="1" t="str">
        <f>TRIM(TABELA2567[[#This Row],[PRODUTO]])&amp;TRIM(TABELA2567[[#This Row],[COR]])</f>
        <v>07.02.623527632</v>
      </c>
      <c r="B61" s="18" t="s">
        <v>159</v>
      </c>
      <c r="C61" s="19" t="s">
        <v>160</v>
      </c>
      <c r="D61" s="19" t="s">
        <v>161</v>
      </c>
      <c r="E61" s="19" t="s">
        <v>162</v>
      </c>
      <c r="F61" s="20">
        <v>110.35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SUM(TABELA2567[[#This Row],[T1]:[T7]])</f>
        <v>0</v>
      </c>
      <c r="P61" s="21">
        <f>TABELA2567[[#This Row],[QTDE]]*TABELA2567[[#This Row],[PREÇO]]</f>
        <v>0</v>
      </c>
    </row>
    <row r="62" spans="1:16" x14ac:dyDescent="0.2">
      <c r="A62" s="1" t="str">
        <f>TRIM(TABELA2567[[#This Row],[PRODUTO]])&amp;TRIM(TABELA2567[[#This Row],[COR]])</f>
        <v>07.02.623627685</v>
      </c>
      <c r="B62" s="18" t="s">
        <v>163</v>
      </c>
      <c r="C62" s="19" t="s">
        <v>164</v>
      </c>
      <c r="D62" s="19" t="s">
        <v>165</v>
      </c>
      <c r="E62" s="19" t="s">
        <v>166</v>
      </c>
      <c r="F62" s="20">
        <v>121.46</v>
      </c>
      <c r="G62" s="19" t="s">
        <v>31</v>
      </c>
      <c r="H62" s="19"/>
      <c r="I62" s="19"/>
      <c r="J62" s="19"/>
      <c r="K62" s="19"/>
      <c r="L62" s="19"/>
      <c r="M62" s="19"/>
      <c r="N62" s="19"/>
      <c r="O62" s="19">
        <f>SUM(TABELA2567[[#This Row],[T1]:[T7]])</f>
        <v>0</v>
      </c>
      <c r="P62" s="21">
        <f>TABELA2567[[#This Row],[QTDE]]*TABELA2567[[#This Row],[PREÇO]]</f>
        <v>0</v>
      </c>
    </row>
    <row r="63" spans="1:16" x14ac:dyDescent="0.2">
      <c r="A63" s="1" t="str">
        <f>TRIM(TABELA2567[[#This Row],[PRODUTO]])&amp;TRIM(TABELA2567[[#This Row],[COR]])</f>
        <v>07.02.623727631</v>
      </c>
      <c r="B63" s="18" t="s">
        <v>167</v>
      </c>
      <c r="C63" s="19" t="s">
        <v>1607</v>
      </c>
      <c r="D63" s="19" t="s">
        <v>168</v>
      </c>
      <c r="E63" s="19" t="s">
        <v>169</v>
      </c>
      <c r="F63" s="20">
        <v>139.97</v>
      </c>
      <c r="G63" s="19" t="s">
        <v>31</v>
      </c>
      <c r="H63" s="19"/>
      <c r="I63" s="19"/>
      <c r="J63" s="19"/>
      <c r="K63" s="19"/>
      <c r="L63" s="19"/>
      <c r="M63" s="19"/>
      <c r="N63" s="19"/>
      <c r="O63" s="19">
        <f>SUM(TABELA2567[[#This Row],[T1]:[T7]])</f>
        <v>0</v>
      </c>
      <c r="P63" s="21">
        <f>TABELA2567[[#This Row],[QTDE]]*TABELA2567[[#This Row],[PREÇO]]</f>
        <v>0</v>
      </c>
    </row>
    <row r="64" spans="1:16" x14ac:dyDescent="0.2">
      <c r="A64" s="1" t="str">
        <f>TRIM(TABELA2567[[#This Row],[PRODUTO]])&amp;TRIM(TABELA2567[[#This Row],[COR]])</f>
        <v>07.02.623927637</v>
      </c>
      <c r="B64" s="18" t="s">
        <v>170</v>
      </c>
      <c r="C64" s="19" t="s">
        <v>171</v>
      </c>
      <c r="D64" s="19" t="s">
        <v>172</v>
      </c>
      <c r="E64" s="19" t="s">
        <v>173</v>
      </c>
      <c r="F64" s="20">
        <v>158.49</v>
      </c>
      <c r="G64" s="19" t="s">
        <v>50</v>
      </c>
      <c r="H64" s="19"/>
      <c r="I64" s="19"/>
      <c r="J64" s="19"/>
      <c r="K64" s="19"/>
      <c r="L64" s="19"/>
      <c r="M64" s="19"/>
      <c r="N64" s="19"/>
      <c r="O64" s="19">
        <f>SUM(TABELA2567[[#This Row],[T1]:[T7]])</f>
        <v>0</v>
      </c>
      <c r="P64" s="21">
        <f>TABELA2567[[#This Row],[QTDE]]*TABELA2567[[#This Row],[PREÇO]]</f>
        <v>0</v>
      </c>
    </row>
    <row r="65" spans="1:16" x14ac:dyDescent="0.2">
      <c r="A65" s="1" t="str">
        <f>TRIM(TABELA2567[[#This Row],[PRODUTO]])&amp;TRIM(TABELA2567[[#This Row],[COR]])</f>
        <v>07.02.624027628</v>
      </c>
      <c r="B65" s="18" t="s">
        <v>174</v>
      </c>
      <c r="C65" s="19" t="s">
        <v>175</v>
      </c>
      <c r="D65" s="19" t="s">
        <v>157</v>
      </c>
      <c r="E65" s="19" t="s">
        <v>158</v>
      </c>
      <c r="F65" s="20">
        <v>158.49</v>
      </c>
      <c r="G65" s="19" t="s">
        <v>31</v>
      </c>
      <c r="H65" s="19"/>
      <c r="I65" s="19"/>
      <c r="J65" s="19"/>
      <c r="K65" s="19"/>
      <c r="L65" s="19"/>
      <c r="M65" s="19"/>
      <c r="N65" s="19"/>
      <c r="O65" s="19">
        <f>SUM(TABELA2567[[#This Row],[T1]:[T7]])</f>
        <v>0</v>
      </c>
      <c r="P65" s="21">
        <f>TABELA2567[[#This Row],[QTDE]]*TABELA2567[[#This Row],[PREÇO]]</f>
        <v>0</v>
      </c>
    </row>
    <row r="66" spans="1:16" x14ac:dyDescent="0.2">
      <c r="A66" s="1" t="str">
        <f>TRIM(TABELA2567[[#This Row],[PRODUTO]])&amp;TRIM(TABELA2567[[#This Row],[COR]])</f>
        <v>07.02.632327689</v>
      </c>
      <c r="B66" s="18" t="s">
        <v>176</v>
      </c>
      <c r="C66" s="19" t="s">
        <v>177</v>
      </c>
      <c r="D66" s="19" t="s">
        <v>89</v>
      </c>
      <c r="E66" s="19" t="s">
        <v>90</v>
      </c>
      <c r="F66" s="20">
        <v>110.35</v>
      </c>
      <c r="G66" s="19" t="s">
        <v>31</v>
      </c>
      <c r="H66" s="19"/>
      <c r="I66" s="19"/>
      <c r="J66" s="19"/>
      <c r="K66" s="19"/>
      <c r="L66" s="19"/>
      <c r="M66" s="19"/>
      <c r="N66" s="19"/>
      <c r="O66" s="19">
        <f>SUM(TABELA2567[[#This Row],[T1]:[T7]])</f>
        <v>0</v>
      </c>
      <c r="P66" s="21">
        <f>TABELA2567[[#This Row],[QTDE]]*TABELA2567[[#This Row],[PREÇO]]</f>
        <v>0</v>
      </c>
    </row>
    <row r="67" spans="1:16" x14ac:dyDescent="0.2">
      <c r="A67" s="1" t="str">
        <f>TRIM(TABELA2567[[#This Row],[PRODUTO]])&amp;TRIM(TABELA2567[[#This Row],[COR]])</f>
        <v>07.04.188727685</v>
      </c>
      <c r="B67" s="18" t="s">
        <v>178</v>
      </c>
      <c r="C67" s="19" t="s">
        <v>179</v>
      </c>
      <c r="D67" s="19" t="s">
        <v>165</v>
      </c>
      <c r="E67" s="19" t="s">
        <v>166</v>
      </c>
      <c r="F67" s="20">
        <v>139.97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SUM(TABELA2567[[#This Row],[T1]:[T7]])</f>
        <v>0</v>
      </c>
      <c r="P67" s="21">
        <f>TABELA2567[[#This Row],[QTDE]]*TABELA2567[[#This Row],[PREÇO]]</f>
        <v>0</v>
      </c>
    </row>
    <row r="68" spans="1:16" x14ac:dyDescent="0.2">
      <c r="A68" s="1" t="str">
        <f>TRIM(TABELA2567[[#This Row],[PRODUTO]])&amp;TRIM(TABELA2567[[#This Row],[COR]])</f>
        <v>07.04.188927629</v>
      </c>
      <c r="B68" s="18" t="s">
        <v>180</v>
      </c>
      <c r="C68" s="19" t="s">
        <v>181</v>
      </c>
      <c r="D68" s="19" t="s">
        <v>182</v>
      </c>
      <c r="E68" s="19" t="s">
        <v>183</v>
      </c>
      <c r="F68" s="20">
        <v>184.41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SUM(TABELA2567[[#This Row],[T1]:[T7]])</f>
        <v>0</v>
      </c>
      <c r="P68" s="21">
        <f>TABELA2567[[#This Row],[QTDE]]*TABELA2567[[#This Row],[PREÇO]]</f>
        <v>0</v>
      </c>
    </row>
    <row r="69" spans="1:16" x14ac:dyDescent="0.2">
      <c r="A69" s="1" t="str">
        <f>TRIM(TABELA2567[[#This Row],[PRODUTO]])&amp;TRIM(TABELA2567[[#This Row],[COR]])</f>
        <v>07.04.189027630</v>
      </c>
      <c r="B69" s="18" t="s">
        <v>184</v>
      </c>
      <c r="C69" s="19" t="s">
        <v>185</v>
      </c>
      <c r="D69" s="19" t="s">
        <v>153</v>
      </c>
      <c r="E69" s="19" t="s">
        <v>154</v>
      </c>
      <c r="F69" s="20">
        <v>147.38</v>
      </c>
      <c r="G69" s="19" t="s">
        <v>31</v>
      </c>
      <c r="H69" s="19"/>
      <c r="I69" s="19"/>
      <c r="J69" s="19"/>
      <c r="K69" s="19"/>
      <c r="L69" s="19"/>
      <c r="M69" s="19"/>
      <c r="N69" s="19"/>
      <c r="O69" s="19">
        <f>SUM(TABELA2567[[#This Row],[T1]:[T7]])</f>
        <v>0</v>
      </c>
      <c r="P69" s="21">
        <f>TABELA2567[[#This Row],[QTDE]]*TABELA2567[[#This Row],[PREÇO]]</f>
        <v>0</v>
      </c>
    </row>
    <row r="70" spans="1:16" x14ac:dyDescent="0.2">
      <c r="A70" s="1" t="str">
        <f>TRIM(TABELA2567[[#This Row],[PRODUTO]])&amp;TRIM(TABELA2567[[#This Row],[COR]])</f>
        <v>07.04.189127682</v>
      </c>
      <c r="B70" s="18" t="s">
        <v>186</v>
      </c>
      <c r="C70" s="19" t="s">
        <v>187</v>
      </c>
      <c r="D70" s="19" t="s">
        <v>85</v>
      </c>
      <c r="E70" s="19" t="s">
        <v>86</v>
      </c>
      <c r="F70" s="20">
        <v>158.49</v>
      </c>
      <c r="G70" s="19" t="s">
        <v>31</v>
      </c>
      <c r="H70" s="19"/>
      <c r="I70" s="19"/>
      <c r="J70" s="19"/>
      <c r="K70" s="19"/>
      <c r="L70" s="19"/>
      <c r="M70" s="19"/>
      <c r="N70" s="19"/>
      <c r="O70" s="19">
        <f>SUM(TABELA2567[[#This Row],[T1]:[T7]])</f>
        <v>0</v>
      </c>
      <c r="P70" s="21">
        <f>TABELA2567[[#This Row],[QTDE]]*TABELA2567[[#This Row],[PREÇO]]</f>
        <v>0</v>
      </c>
    </row>
    <row r="71" spans="1:16" x14ac:dyDescent="0.2">
      <c r="A71" s="1" t="str">
        <f>TRIM(TABELA2567[[#This Row],[PRODUTO]])&amp;TRIM(TABELA2567[[#This Row],[COR]])</f>
        <v>07.04.189227629</v>
      </c>
      <c r="B71" s="18" t="s">
        <v>188</v>
      </c>
      <c r="C71" s="19" t="s">
        <v>189</v>
      </c>
      <c r="D71" s="19" t="s">
        <v>182</v>
      </c>
      <c r="E71" s="19" t="s">
        <v>183</v>
      </c>
      <c r="F71" s="20">
        <v>110.35</v>
      </c>
      <c r="G71" s="19" t="s">
        <v>31</v>
      </c>
      <c r="H71" s="19"/>
      <c r="I71" s="19"/>
      <c r="J71" s="19"/>
      <c r="K71" s="19"/>
      <c r="L71" s="19"/>
      <c r="M71" s="19"/>
      <c r="N71" s="19"/>
      <c r="O71" s="19">
        <f>SUM(TABELA2567[[#This Row],[T1]:[T7]])</f>
        <v>0</v>
      </c>
      <c r="P71" s="21">
        <f>TABELA2567[[#This Row],[QTDE]]*TABELA2567[[#This Row],[PREÇO]]</f>
        <v>0</v>
      </c>
    </row>
    <row r="72" spans="1:16" x14ac:dyDescent="0.2">
      <c r="A72" s="1" t="str">
        <f>TRIM(TABELA2567[[#This Row],[PRODUTO]])&amp;TRIM(TABELA2567[[#This Row],[COR]])</f>
        <v>07.04.189427628</v>
      </c>
      <c r="B72" s="18" t="s">
        <v>190</v>
      </c>
      <c r="C72" s="19" t="s">
        <v>191</v>
      </c>
      <c r="D72" s="19" t="s">
        <v>157</v>
      </c>
      <c r="E72" s="19" t="s">
        <v>158</v>
      </c>
      <c r="F72" s="20">
        <v>147.38</v>
      </c>
      <c r="G72" s="19" t="s">
        <v>31</v>
      </c>
      <c r="H72" s="19"/>
      <c r="I72" s="19"/>
      <c r="J72" s="19"/>
      <c r="K72" s="19"/>
      <c r="L72" s="19"/>
      <c r="M72" s="19"/>
      <c r="N72" s="19"/>
      <c r="O72" s="19">
        <f>SUM(TABELA2567[[#This Row],[T1]:[T7]])</f>
        <v>0</v>
      </c>
      <c r="P72" s="21">
        <f>TABELA2567[[#This Row],[QTDE]]*TABELA2567[[#This Row],[PREÇO]]</f>
        <v>0</v>
      </c>
    </row>
    <row r="73" spans="1:16" x14ac:dyDescent="0.2">
      <c r="A73" s="1" t="str">
        <f>TRIM(TABELA2567[[#This Row],[PRODUTO]])&amp;TRIM(TABELA2567[[#This Row],[COR]])</f>
        <v>07.04.199027689</v>
      </c>
      <c r="B73" s="18" t="s">
        <v>192</v>
      </c>
      <c r="C73" s="19" t="s">
        <v>193</v>
      </c>
      <c r="D73" s="19" t="s">
        <v>89</v>
      </c>
      <c r="E73" s="19" t="s">
        <v>90</v>
      </c>
      <c r="F73" s="20">
        <v>132.57</v>
      </c>
      <c r="G73" s="19" t="s">
        <v>31</v>
      </c>
      <c r="H73" s="19"/>
      <c r="I73" s="19"/>
      <c r="J73" s="19"/>
      <c r="K73" s="19"/>
      <c r="L73" s="19"/>
      <c r="M73" s="19"/>
      <c r="N73" s="19"/>
      <c r="O73" s="19">
        <f>SUM(TABELA2567[[#This Row],[T1]:[T7]])</f>
        <v>0</v>
      </c>
      <c r="P73" s="21">
        <f>TABELA2567[[#This Row],[QTDE]]*TABELA2567[[#This Row],[PREÇO]]</f>
        <v>0</v>
      </c>
    </row>
    <row r="74" spans="1:16" x14ac:dyDescent="0.2">
      <c r="A74" s="1" t="str">
        <f>TRIM(TABELA2567[[#This Row],[PRODUTO]])&amp;TRIM(TABELA2567[[#This Row],[COR]])</f>
        <v>07.09.116227632</v>
      </c>
      <c r="B74" s="18" t="s">
        <v>194</v>
      </c>
      <c r="C74" s="19" t="s">
        <v>195</v>
      </c>
      <c r="D74" s="19" t="s">
        <v>161</v>
      </c>
      <c r="E74" s="19" t="s">
        <v>162</v>
      </c>
      <c r="F74" s="20">
        <v>158.49</v>
      </c>
      <c r="G74" s="19" t="s">
        <v>31</v>
      </c>
      <c r="H74" s="19"/>
      <c r="I74" s="19"/>
      <c r="J74" s="19"/>
      <c r="K74" s="19"/>
      <c r="L74" s="19"/>
      <c r="M74" s="19"/>
      <c r="N74" s="19"/>
      <c r="O74" s="19">
        <f>SUM(TABELA2567[[#This Row],[T1]:[T7]])</f>
        <v>0</v>
      </c>
      <c r="P74" s="21">
        <f>TABELA2567[[#This Row],[QTDE]]*TABELA2567[[#This Row],[PREÇO]]</f>
        <v>0</v>
      </c>
    </row>
    <row r="75" spans="1:16" x14ac:dyDescent="0.2">
      <c r="A75" s="1" t="str">
        <f>TRIM(TABELA2567[[#This Row],[PRODUTO]])&amp;TRIM(TABELA2567[[#This Row],[COR]])</f>
        <v>07.09.116427682</v>
      </c>
      <c r="B75" s="18" t="s">
        <v>196</v>
      </c>
      <c r="C75" s="19" t="s">
        <v>197</v>
      </c>
      <c r="D75" s="19" t="s">
        <v>85</v>
      </c>
      <c r="E75" s="19" t="s">
        <v>86</v>
      </c>
      <c r="F75" s="20">
        <v>128.86000000000001</v>
      </c>
      <c r="G75" s="19" t="s">
        <v>31</v>
      </c>
      <c r="H75" s="19"/>
      <c r="I75" s="19"/>
      <c r="J75" s="19"/>
      <c r="K75" s="19"/>
      <c r="L75" s="19"/>
      <c r="M75" s="19"/>
      <c r="N75" s="19"/>
      <c r="O75" s="19">
        <f>SUM(TABELA2567[[#This Row],[T1]:[T7]])</f>
        <v>0</v>
      </c>
      <c r="P75" s="21">
        <f>TABELA2567[[#This Row],[QTDE]]*TABELA2567[[#This Row],[PREÇO]]</f>
        <v>0</v>
      </c>
    </row>
    <row r="76" spans="1:16" x14ac:dyDescent="0.2">
      <c r="A76" s="1" t="str">
        <f>TRIM(TABELA2567[[#This Row],[PRODUTO]])&amp;TRIM(TABELA2567[[#This Row],[COR]])</f>
        <v>07.09.116527685</v>
      </c>
      <c r="B76" s="18" t="s">
        <v>198</v>
      </c>
      <c r="C76" s="19" t="s">
        <v>199</v>
      </c>
      <c r="D76" s="19" t="s">
        <v>165</v>
      </c>
      <c r="E76" s="19" t="s">
        <v>166</v>
      </c>
      <c r="F76" s="20">
        <v>169.6</v>
      </c>
      <c r="G76" s="19" t="s">
        <v>31</v>
      </c>
      <c r="H76" s="19"/>
      <c r="I76" s="19"/>
      <c r="J76" s="19"/>
      <c r="K76" s="19"/>
      <c r="L76" s="19"/>
      <c r="M76" s="19"/>
      <c r="N76" s="19"/>
      <c r="O76" s="19">
        <f>SUM(TABELA2567[[#This Row],[T1]:[T7]])</f>
        <v>0</v>
      </c>
      <c r="P76" s="21">
        <f>TABELA2567[[#This Row],[QTDE]]*TABELA2567[[#This Row],[PREÇO]]</f>
        <v>0</v>
      </c>
    </row>
    <row r="77" spans="1:16" x14ac:dyDescent="0.2">
      <c r="A77" s="1" t="str">
        <f>TRIM(TABELA2567[[#This Row],[PRODUTO]])&amp;TRIM(TABELA2567[[#This Row],[COR]])</f>
        <v>07.09.116627629</v>
      </c>
      <c r="B77" s="18" t="s">
        <v>200</v>
      </c>
      <c r="C77" s="19" t="s">
        <v>201</v>
      </c>
      <c r="D77" s="19" t="s">
        <v>182</v>
      </c>
      <c r="E77" s="19" t="s">
        <v>183</v>
      </c>
      <c r="F77" s="20">
        <v>139.97</v>
      </c>
      <c r="G77" s="19" t="s">
        <v>31</v>
      </c>
      <c r="H77" s="19"/>
      <c r="I77" s="19"/>
      <c r="J77" s="19"/>
      <c r="K77" s="19"/>
      <c r="L77" s="19"/>
      <c r="M77" s="19"/>
      <c r="N77" s="19"/>
      <c r="O77" s="19">
        <f>SUM(TABELA2567[[#This Row],[T1]:[T7]])</f>
        <v>0</v>
      </c>
      <c r="P77" s="21">
        <f>TABELA2567[[#This Row],[QTDE]]*TABELA2567[[#This Row],[PREÇO]]</f>
        <v>0</v>
      </c>
    </row>
    <row r="78" spans="1:16" x14ac:dyDescent="0.2">
      <c r="A78" s="1" t="str">
        <f>TRIM(TABELA2567[[#This Row],[PRODUTO]])&amp;TRIM(TABELA2567[[#This Row],[COR]])</f>
        <v>07.09.116727630</v>
      </c>
      <c r="B78" s="18" t="s">
        <v>202</v>
      </c>
      <c r="C78" s="19" t="s">
        <v>203</v>
      </c>
      <c r="D78" s="19" t="s">
        <v>153</v>
      </c>
      <c r="E78" s="19" t="s">
        <v>154</v>
      </c>
      <c r="F78" s="20">
        <v>158.49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SUM(TABELA2567[[#This Row],[T1]:[T7]])</f>
        <v>0</v>
      </c>
      <c r="P78" s="21">
        <f>TABELA2567[[#This Row],[QTDE]]*TABELA2567[[#This Row],[PREÇO]]</f>
        <v>0</v>
      </c>
    </row>
    <row r="79" spans="1:16" x14ac:dyDescent="0.2">
      <c r="A79" s="1" t="str">
        <f>TRIM(TABELA2567[[#This Row],[PRODUTO]])&amp;TRIM(TABELA2567[[#This Row],[COR]])</f>
        <v>07.09.123827689</v>
      </c>
      <c r="B79" s="18" t="s">
        <v>204</v>
      </c>
      <c r="C79" s="19" t="s">
        <v>205</v>
      </c>
      <c r="D79" s="19" t="s">
        <v>89</v>
      </c>
      <c r="E79" s="19" t="s">
        <v>90</v>
      </c>
      <c r="F79" s="20">
        <v>184.41</v>
      </c>
      <c r="G79" s="19" t="s">
        <v>31</v>
      </c>
      <c r="H79" s="19"/>
      <c r="I79" s="19"/>
      <c r="J79" s="19"/>
      <c r="K79" s="19"/>
      <c r="L79" s="19"/>
      <c r="M79" s="19"/>
      <c r="N79" s="19"/>
      <c r="O79" s="19">
        <f>SUM(TABELA2567[[#This Row],[T1]:[T7]])</f>
        <v>0</v>
      </c>
      <c r="P79" s="21">
        <f>TABELA2567[[#This Row],[QTDE]]*TABELA2567[[#This Row],[PREÇO]]</f>
        <v>0</v>
      </c>
    </row>
    <row r="80" spans="1:16" x14ac:dyDescent="0.2">
      <c r="A80" s="1" t="str">
        <f>TRIM(TABELA2567[[#This Row],[PRODUTO]])&amp;TRIM(TABELA2567[[#This Row],[COR]])</f>
        <v>07.70.01051565</v>
      </c>
      <c r="B80" s="18" t="s">
        <v>206</v>
      </c>
      <c r="C80" s="19" t="s">
        <v>207</v>
      </c>
      <c r="D80" s="19" t="s">
        <v>208</v>
      </c>
      <c r="E80" s="19" t="s">
        <v>209</v>
      </c>
      <c r="F80" s="20">
        <v>91.83</v>
      </c>
      <c r="G80" s="19" t="s">
        <v>44</v>
      </c>
      <c r="H80" s="19"/>
      <c r="I80" s="19"/>
      <c r="J80" s="19"/>
      <c r="K80" s="19"/>
      <c r="L80" s="19"/>
      <c r="M80" s="19"/>
      <c r="N80" s="19"/>
      <c r="O80" s="19">
        <f>SUM(TABELA2567[[#This Row],[T1]:[T7]])</f>
        <v>0</v>
      </c>
      <c r="P80" s="21">
        <f>TABELA2567[[#This Row],[QTDE]]*TABELA2567[[#This Row],[PREÇO]]</f>
        <v>0</v>
      </c>
    </row>
    <row r="81" spans="1:16" x14ac:dyDescent="0.2">
      <c r="A81" s="1" t="str">
        <f>TRIM(TABELA2567[[#This Row],[PRODUTO]])&amp;TRIM(TABELA2567[[#This Row],[COR]])</f>
        <v>07.70.01075230</v>
      </c>
      <c r="B81" s="18" t="s">
        <v>210</v>
      </c>
      <c r="C81" s="19" t="s">
        <v>211</v>
      </c>
      <c r="D81" s="19" t="s">
        <v>212</v>
      </c>
      <c r="E81" s="19" t="s">
        <v>35</v>
      </c>
      <c r="F81" s="20">
        <v>121.46</v>
      </c>
      <c r="G81" s="19" t="s">
        <v>44</v>
      </c>
      <c r="H81" s="19"/>
      <c r="I81" s="19"/>
      <c r="J81" s="19"/>
      <c r="K81" s="19"/>
      <c r="L81" s="19"/>
      <c r="M81" s="19"/>
      <c r="N81" s="19"/>
      <c r="O81" s="19">
        <f>SUM(TABELA2567[[#This Row],[T1]:[T7]])</f>
        <v>0</v>
      </c>
      <c r="P81" s="21">
        <f>TABELA2567[[#This Row],[QTDE]]*TABELA2567[[#This Row],[PREÇO]]</f>
        <v>0</v>
      </c>
    </row>
    <row r="82" spans="1:16" x14ac:dyDescent="0.2">
      <c r="A82" s="1" t="str">
        <f>TRIM(TABELA2567[[#This Row],[PRODUTO]])&amp;TRIM(TABELA2567[[#This Row],[COR]])</f>
        <v>07.70.01080830</v>
      </c>
      <c r="B82" s="18" t="s">
        <v>213</v>
      </c>
      <c r="C82" s="19" t="s">
        <v>214</v>
      </c>
      <c r="D82" s="19" t="s">
        <v>79</v>
      </c>
      <c r="E82" s="19" t="s">
        <v>80</v>
      </c>
      <c r="F82" s="20">
        <v>99.24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SUM(TABELA2567[[#This Row],[T1]:[T7]])</f>
        <v>0</v>
      </c>
      <c r="P82" s="21">
        <f>TABELA2567[[#This Row],[QTDE]]*TABELA2567[[#This Row],[PREÇO]]</f>
        <v>0</v>
      </c>
    </row>
    <row r="83" spans="1:16" x14ac:dyDescent="0.2">
      <c r="A83" s="1" t="str">
        <f>TRIM(TABELA2567[[#This Row],[PRODUTO]])&amp;TRIM(TABELA2567[[#This Row],[COR]])</f>
        <v>07.70.01090003</v>
      </c>
      <c r="B83" s="18" t="s">
        <v>215</v>
      </c>
      <c r="C83" s="19" t="s">
        <v>216</v>
      </c>
      <c r="D83" s="19" t="s">
        <v>34</v>
      </c>
      <c r="E83" s="19" t="s">
        <v>35</v>
      </c>
      <c r="F83" s="20">
        <v>139.97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SUM(TABELA2567[[#This Row],[T1]:[T7]])</f>
        <v>0</v>
      </c>
      <c r="P83" s="21">
        <f>TABELA2567[[#This Row],[QTDE]]*TABELA2567[[#This Row],[PREÇO]]</f>
        <v>0</v>
      </c>
    </row>
    <row r="84" spans="1:16" x14ac:dyDescent="0.2">
      <c r="A84" s="1" t="str">
        <f>TRIM(TABELA2567[[#This Row],[PRODUTO]])&amp;TRIM(TABELA2567[[#This Row],[COR]])</f>
        <v>07.70.01101410</v>
      </c>
      <c r="B84" s="18" t="s">
        <v>217</v>
      </c>
      <c r="C84" s="19" t="s">
        <v>218</v>
      </c>
      <c r="D84" s="19" t="s">
        <v>219</v>
      </c>
      <c r="E84" s="19" t="s">
        <v>220</v>
      </c>
      <c r="F84" s="20">
        <v>221.44</v>
      </c>
      <c r="G84" s="19" t="s">
        <v>221</v>
      </c>
      <c r="H84" s="19"/>
      <c r="I84" s="19"/>
      <c r="J84" s="19"/>
      <c r="K84" s="19"/>
      <c r="L84" s="19"/>
      <c r="M84" s="19"/>
      <c r="N84" s="19"/>
      <c r="O84" s="19">
        <f>SUM(TABELA2567[[#This Row],[T1]:[T7]])</f>
        <v>0</v>
      </c>
      <c r="P84" s="21">
        <f>TABELA2567[[#This Row],[QTDE]]*TABELA2567[[#This Row],[PREÇO]]</f>
        <v>0</v>
      </c>
    </row>
    <row r="85" spans="1:16" x14ac:dyDescent="0.2">
      <c r="A85" s="1" t="str">
        <f>TRIM(TABELA2567[[#This Row],[PRODUTO]])&amp;TRIM(TABELA2567[[#This Row],[COR]])</f>
        <v>07.70.01101617</v>
      </c>
      <c r="B85" s="18" t="s">
        <v>217</v>
      </c>
      <c r="C85" s="19" t="s">
        <v>218</v>
      </c>
      <c r="D85" s="19" t="s">
        <v>140</v>
      </c>
      <c r="E85" s="19" t="s">
        <v>141</v>
      </c>
      <c r="F85" s="20">
        <v>221.44</v>
      </c>
      <c r="G85" s="19" t="s">
        <v>221</v>
      </c>
      <c r="H85" s="19"/>
      <c r="I85" s="19"/>
      <c r="J85" s="19"/>
      <c r="K85" s="19"/>
      <c r="L85" s="19"/>
      <c r="M85" s="19"/>
      <c r="N85" s="19"/>
      <c r="O85" s="19">
        <f>SUM(TABELA2567[[#This Row],[T1]:[T7]])</f>
        <v>0</v>
      </c>
      <c r="P85" s="21">
        <f>TABELA2567[[#This Row],[QTDE]]*TABELA2567[[#This Row],[PREÇO]]</f>
        <v>0</v>
      </c>
    </row>
    <row r="86" spans="1:16" x14ac:dyDescent="0.2">
      <c r="A86" s="1" t="str">
        <f>TRIM(TABELA2567[[#This Row],[PRODUTO]])&amp;TRIM(TABELA2567[[#This Row],[COR]])</f>
        <v>07.70.01125230</v>
      </c>
      <c r="B86" s="18" t="s">
        <v>222</v>
      </c>
      <c r="C86" s="19" t="s">
        <v>223</v>
      </c>
      <c r="D86" s="19" t="s">
        <v>212</v>
      </c>
      <c r="E86" s="19" t="s">
        <v>224</v>
      </c>
      <c r="F86" s="20">
        <v>239.95</v>
      </c>
      <c r="G86" s="19" t="s">
        <v>31</v>
      </c>
      <c r="H86" s="19"/>
      <c r="I86" s="19"/>
      <c r="J86" s="19"/>
      <c r="K86" s="19"/>
      <c r="L86" s="19"/>
      <c r="M86" s="19"/>
      <c r="N86" s="19"/>
      <c r="O86" s="19">
        <f>SUM(TABELA2567[[#This Row],[T1]:[T7]])</f>
        <v>0</v>
      </c>
      <c r="P86" s="21">
        <f>TABELA2567[[#This Row],[QTDE]]*TABELA2567[[#This Row],[PREÇO]]</f>
        <v>0</v>
      </c>
    </row>
    <row r="87" spans="1:16" x14ac:dyDescent="0.2">
      <c r="A87" s="1" t="str">
        <f>TRIM(TABELA2567[[#This Row],[PRODUTO]])&amp;TRIM(TABELA2567[[#This Row],[COR]])</f>
        <v>07.70.01130002</v>
      </c>
      <c r="B87" s="18" t="s">
        <v>225</v>
      </c>
      <c r="C87" s="19" t="s">
        <v>226</v>
      </c>
      <c r="D87" s="19" t="s">
        <v>40</v>
      </c>
      <c r="E87" s="19" t="s">
        <v>41</v>
      </c>
      <c r="F87" s="20">
        <v>332.53</v>
      </c>
      <c r="G87" s="19" t="s">
        <v>31</v>
      </c>
      <c r="H87" s="19"/>
      <c r="I87" s="19"/>
      <c r="J87" s="19"/>
      <c r="K87" s="19"/>
      <c r="L87" s="19"/>
      <c r="M87" s="19"/>
      <c r="N87" s="19"/>
      <c r="O87" s="19">
        <f>SUM(TABELA2567[[#This Row],[T1]:[T7]])</f>
        <v>0</v>
      </c>
      <c r="P87" s="21">
        <f>TABELA2567[[#This Row],[QTDE]]*TABELA2567[[#This Row],[PREÇO]]</f>
        <v>0</v>
      </c>
    </row>
    <row r="88" spans="1:16" x14ac:dyDescent="0.2">
      <c r="A88" s="1" t="str">
        <f>TRIM(TABELA2567[[#This Row],[PRODUTO]])&amp;TRIM(TABELA2567[[#This Row],[COR]])</f>
        <v>07.71.01140830</v>
      </c>
      <c r="B88" s="18" t="s">
        <v>227</v>
      </c>
      <c r="C88" s="19" t="s">
        <v>228</v>
      </c>
      <c r="D88" s="19" t="s">
        <v>79</v>
      </c>
      <c r="E88" s="19" t="s">
        <v>80</v>
      </c>
      <c r="F88" s="20">
        <v>147.38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SUM(TABELA2567[[#This Row],[T1]:[T7]])</f>
        <v>0</v>
      </c>
      <c r="P88" s="21">
        <f>TABELA2567[[#This Row],[QTDE]]*TABELA2567[[#This Row],[PREÇO]]</f>
        <v>0</v>
      </c>
    </row>
    <row r="89" spans="1:16" x14ac:dyDescent="0.2">
      <c r="A89" s="1" t="str">
        <f>TRIM(TABELA2567[[#This Row],[PRODUTO]])&amp;TRIM(TABELA2567[[#This Row],[COR]])</f>
        <v>07.71.01170105</v>
      </c>
      <c r="B89" s="18" t="s">
        <v>229</v>
      </c>
      <c r="C89" s="19" t="s">
        <v>230</v>
      </c>
      <c r="D89" s="19" t="s">
        <v>32</v>
      </c>
      <c r="E89" s="19" t="s">
        <v>33</v>
      </c>
      <c r="F89" s="20">
        <v>258.47000000000003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SUM(TABELA2567[[#This Row],[T1]:[T7]])</f>
        <v>0</v>
      </c>
      <c r="P89" s="21">
        <f>TABELA2567[[#This Row],[QTDE]]*TABELA2567[[#This Row],[PREÇO]]</f>
        <v>0</v>
      </c>
    </row>
    <row r="90" spans="1:16" x14ac:dyDescent="0.2">
      <c r="A90" s="1" t="str">
        <f>TRIM(TABELA2567[[#This Row],[PRODUTO]])&amp;TRIM(TABELA2567[[#This Row],[COR]])</f>
        <v>07.71.01180002</v>
      </c>
      <c r="B90" s="18" t="s">
        <v>231</v>
      </c>
      <c r="C90" s="19" t="s">
        <v>232</v>
      </c>
      <c r="D90" s="19" t="s">
        <v>40</v>
      </c>
      <c r="E90" s="19" t="s">
        <v>41</v>
      </c>
      <c r="F90" s="20">
        <v>332.53</v>
      </c>
      <c r="G90" s="19" t="s">
        <v>31</v>
      </c>
      <c r="H90" s="19"/>
      <c r="I90" s="19"/>
      <c r="J90" s="19"/>
      <c r="K90" s="19"/>
      <c r="L90" s="19"/>
      <c r="M90" s="19"/>
      <c r="N90" s="19"/>
      <c r="O90" s="19">
        <f>SUM(TABELA2567[[#This Row],[T1]:[T7]])</f>
        <v>0</v>
      </c>
      <c r="P90" s="21">
        <f>TABELA2567[[#This Row],[QTDE]]*TABELA2567[[#This Row],[PREÇO]]</f>
        <v>0</v>
      </c>
    </row>
    <row r="91" spans="1:16" x14ac:dyDescent="0.2">
      <c r="A91" s="1" t="str">
        <f>TRIM(TABELA2567[[#This Row],[PRODUTO]])&amp;TRIM(TABELA2567[[#This Row],[COR]])</f>
        <v>07.71.01210015</v>
      </c>
      <c r="B91" s="18" t="s">
        <v>233</v>
      </c>
      <c r="C91" s="19" t="s">
        <v>234</v>
      </c>
      <c r="D91" s="19" t="s">
        <v>49</v>
      </c>
      <c r="E91" s="19" t="s">
        <v>71</v>
      </c>
      <c r="F91" s="20">
        <v>195.52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SUM(TABELA2567[[#This Row],[T1]:[T7]])</f>
        <v>0</v>
      </c>
      <c r="P91" s="21">
        <f>TABELA2567[[#This Row],[QTDE]]*TABELA2567[[#This Row],[PREÇO]]</f>
        <v>0</v>
      </c>
    </row>
    <row r="92" spans="1:16" x14ac:dyDescent="0.2">
      <c r="A92" s="1" t="str">
        <f>TRIM(TABELA2567[[#This Row],[PRODUTO]])&amp;TRIM(TABELA2567[[#This Row],[COR]])</f>
        <v>07.72.00930830</v>
      </c>
      <c r="B92" s="18" t="s">
        <v>235</v>
      </c>
      <c r="C92" s="19" t="s">
        <v>236</v>
      </c>
      <c r="D92" s="19" t="s">
        <v>79</v>
      </c>
      <c r="E92" s="19" t="s">
        <v>80</v>
      </c>
      <c r="F92" s="20">
        <v>147.38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SUM(TABELA2567[[#This Row],[T1]:[T7]])</f>
        <v>0</v>
      </c>
      <c r="P92" s="21">
        <f>TABELA2567[[#This Row],[QTDE]]*TABELA2567[[#This Row],[PREÇO]]</f>
        <v>0</v>
      </c>
    </row>
    <row r="93" spans="1:16" x14ac:dyDescent="0.2">
      <c r="A93" s="1" t="str">
        <f>TRIM(TABELA2567[[#This Row],[PRODUTO]])&amp;TRIM(TABELA2567[[#This Row],[COR]])</f>
        <v>07.72.00950003</v>
      </c>
      <c r="B93" s="18" t="s">
        <v>237</v>
      </c>
      <c r="C93" s="19" t="s">
        <v>238</v>
      </c>
      <c r="D93" s="19" t="s">
        <v>34</v>
      </c>
      <c r="E93" s="19" t="s">
        <v>35</v>
      </c>
      <c r="F93" s="20">
        <v>214.03</v>
      </c>
      <c r="G93" s="19" t="s">
        <v>239</v>
      </c>
      <c r="H93" s="19"/>
      <c r="I93" s="19"/>
      <c r="J93" s="19"/>
      <c r="K93" s="19"/>
      <c r="L93" s="19"/>
      <c r="M93" s="19"/>
      <c r="N93" s="19"/>
      <c r="O93" s="19">
        <f>SUM(TABELA2567[[#This Row],[T1]:[T7]])</f>
        <v>0</v>
      </c>
      <c r="P93" s="21">
        <f>TABELA2567[[#This Row],[QTDE]]*TABELA2567[[#This Row],[PREÇO]]</f>
        <v>0</v>
      </c>
    </row>
    <row r="94" spans="1:16" x14ac:dyDescent="0.2">
      <c r="A94" s="1" t="str">
        <f>TRIM(TABELA2567[[#This Row],[PRODUTO]])&amp;TRIM(TABELA2567[[#This Row],[COR]])</f>
        <v>07.72.00961410</v>
      </c>
      <c r="B94" s="18" t="s">
        <v>240</v>
      </c>
      <c r="C94" s="19" t="s">
        <v>241</v>
      </c>
      <c r="D94" s="19" t="s">
        <v>219</v>
      </c>
      <c r="E94" s="19" t="s">
        <v>220</v>
      </c>
      <c r="F94" s="20">
        <v>202.92</v>
      </c>
      <c r="G94" s="19" t="s">
        <v>31</v>
      </c>
      <c r="H94" s="19"/>
      <c r="I94" s="19"/>
      <c r="J94" s="19"/>
      <c r="K94" s="19"/>
      <c r="L94" s="19"/>
      <c r="M94" s="19"/>
      <c r="N94" s="19"/>
      <c r="O94" s="19">
        <f>SUM(TABELA2567[[#This Row],[T1]:[T7]])</f>
        <v>0</v>
      </c>
      <c r="P94" s="21">
        <f>TABELA2567[[#This Row],[QTDE]]*TABELA2567[[#This Row],[PREÇO]]</f>
        <v>0</v>
      </c>
    </row>
    <row r="95" spans="1:16" x14ac:dyDescent="0.2">
      <c r="A95" s="1" t="str">
        <f>TRIM(TABELA2567[[#This Row],[PRODUTO]])&amp;TRIM(TABELA2567[[#This Row],[COR]])</f>
        <v>07.72.00962441</v>
      </c>
      <c r="B95" s="18" t="s">
        <v>240</v>
      </c>
      <c r="C95" s="19" t="s">
        <v>241</v>
      </c>
      <c r="D95" s="19" t="s">
        <v>62</v>
      </c>
      <c r="E95" s="19" t="s">
        <v>137</v>
      </c>
      <c r="F95" s="20">
        <v>202.92</v>
      </c>
      <c r="G95" s="19" t="s">
        <v>31</v>
      </c>
      <c r="H95" s="19"/>
      <c r="I95" s="19"/>
      <c r="J95" s="19"/>
      <c r="K95" s="19"/>
      <c r="L95" s="19"/>
      <c r="M95" s="19"/>
      <c r="N95" s="19"/>
      <c r="O95" s="19">
        <f>SUM(TABELA2567[[#This Row],[T1]:[T7]])</f>
        <v>0</v>
      </c>
      <c r="P95" s="21">
        <f>TABELA2567[[#This Row],[QTDE]]*TABELA2567[[#This Row],[PREÇO]]</f>
        <v>0</v>
      </c>
    </row>
    <row r="96" spans="1:16" x14ac:dyDescent="0.2">
      <c r="A96" s="1" t="str">
        <f>TRIM(TABELA2567[[#This Row],[PRODUTO]])&amp;TRIM(TABELA2567[[#This Row],[COR]])</f>
        <v>07.72.00995230</v>
      </c>
      <c r="B96" s="18" t="s">
        <v>242</v>
      </c>
      <c r="C96" s="19" t="s">
        <v>243</v>
      </c>
      <c r="D96" s="19" t="s">
        <v>212</v>
      </c>
      <c r="E96" s="19" t="s">
        <v>224</v>
      </c>
      <c r="F96" s="20">
        <v>258.47000000000003</v>
      </c>
      <c r="G96" s="19" t="s">
        <v>31</v>
      </c>
      <c r="H96" s="19"/>
      <c r="I96" s="19"/>
      <c r="J96" s="19"/>
      <c r="K96" s="19"/>
      <c r="L96" s="19"/>
      <c r="M96" s="19"/>
      <c r="N96" s="19"/>
      <c r="O96" s="19">
        <f>SUM(TABELA2567[[#This Row],[T1]:[T7]])</f>
        <v>0</v>
      </c>
      <c r="P96" s="21">
        <f>TABELA2567[[#This Row],[QTDE]]*TABELA2567[[#This Row],[PREÇO]]</f>
        <v>0</v>
      </c>
    </row>
    <row r="97" spans="1:16" x14ac:dyDescent="0.2">
      <c r="A97" s="1" t="str">
        <f>TRIM(TABELA2567[[#This Row],[PRODUTO]])&amp;TRIM(TABELA2567[[#This Row],[COR]])</f>
        <v>07.74.01091858</v>
      </c>
      <c r="B97" s="18" t="s">
        <v>244</v>
      </c>
      <c r="C97" s="19" t="s">
        <v>245</v>
      </c>
      <c r="D97" s="19" t="s">
        <v>60</v>
      </c>
      <c r="E97" s="19" t="s">
        <v>246</v>
      </c>
      <c r="F97" s="20">
        <v>184.41</v>
      </c>
      <c r="G97" s="19" t="s">
        <v>44</v>
      </c>
      <c r="H97" s="19"/>
      <c r="I97" s="19"/>
      <c r="J97" s="19"/>
      <c r="K97" s="19"/>
      <c r="L97" s="19"/>
      <c r="M97" s="19"/>
      <c r="N97" s="19"/>
      <c r="O97" s="19">
        <f>SUM(TABELA2567[[#This Row],[T1]:[T7]])</f>
        <v>0</v>
      </c>
      <c r="P97" s="21">
        <f>TABELA2567[[#This Row],[QTDE]]*TABELA2567[[#This Row],[PREÇO]]</f>
        <v>0</v>
      </c>
    </row>
    <row r="98" spans="1:16" x14ac:dyDescent="0.2">
      <c r="A98" s="1" t="str">
        <f>TRIM(TABELA2567[[#This Row],[PRODUTO]])&amp;TRIM(TABELA2567[[#This Row],[COR]])</f>
        <v>07.74.01100029</v>
      </c>
      <c r="B98" s="18" t="s">
        <v>247</v>
      </c>
      <c r="C98" s="19" t="s">
        <v>248</v>
      </c>
      <c r="D98" s="19" t="s">
        <v>249</v>
      </c>
      <c r="E98" s="19" t="s">
        <v>45</v>
      </c>
      <c r="F98" s="20">
        <v>269.58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SUM(TABELA2567[[#This Row],[T1]:[T7]])</f>
        <v>0</v>
      </c>
      <c r="P98" s="21">
        <f>TABELA2567[[#This Row],[QTDE]]*TABELA2567[[#This Row],[PREÇO]]</f>
        <v>0</v>
      </c>
    </row>
    <row r="99" spans="1:16" x14ac:dyDescent="0.2">
      <c r="A99" s="1" t="str">
        <f>TRIM(TABELA2567[[#This Row],[PRODUTO]])&amp;TRIM(TABELA2567[[#This Row],[COR]])</f>
        <v>07.74.01110830</v>
      </c>
      <c r="B99" s="18" t="s">
        <v>250</v>
      </c>
      <c r="C99" s="19" t="s">
        <v>251</v>
      </c>
      <c r="D99" s="19" t="s">
        <v>79</v>
      </c>
      <c r="E99" s="19" t="s">
        <v>80</v>
      </c>
      <c r="F99" s="20">
        <v>221.44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SUM(TABELA2567[[#This Row],[T1]:[T7]])</f>
        <v>0</v>
      </c>
      <c r="P99" s="21">
        <f>TABELA2567[[#This Row],[QTDE]]*TABELA2567[[#This Row],[PREÇO]]</f>
        <v>0</v>
      </c>
    </row>
    <row r="100" spans="1:16" x14ac:dyDescent="0.2">
      <c r="A100" s="1" t="str">
        <f>TRIM(TABELA2567[[#This Row],[PRODUTO]])&amp;TRIM(TABELA2567[[#This Row],[COR]])</f>
        <v>07.74.01115230</v>
      </c>
      <c r="B100" s="18" t="s">
        <v>250</v>
      </c>
      <c r="C100" s="19" t="s">
        <v>251</v>
      </c>
      <c r="D100" s="19" t="s">
        <v>212</v>
      </c>
      <c r="E100" s="19" t="s">
        <v>224</v>
      </c>
      <c r="F100" s="20">
        <v>221.44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SUM(TABELA2567[[#This Row],[T1]:[T7]])</f>
        <v>0</v>
      </c>
      <c r="P100" s="21">
        <f>TABELA2567[[#This Row],[QTDE]]*TABELA2567[[#This Row],[PREÇO]]</f>
        <v>0</v>
      </c>
    </row>
    <row r="101" spans="1:16" x14ac:dyDescent="0.2">
      <c r="A101" s="1" t="str">
        <f>TRIM(TABELA2567[[#This Row],[PRODUTO]])&amp;TRIM(TABELA2567[[#This Row],[COR]])</f>
        <v>07.74.01120011</v>
      </c>
      <c r="B101" s="18" t="s">
        <v>252</v>
      </c>
      <c r="C101" s="19" t="s">
        <v>253</v>
      </c>
      <c r="D101" s="19" t="s">
        <v>48</v>
      </c>
      <c r="E101" s="19" t="s">
        <v>254</v>
      </c>
      <c r="F101" s="20">
        <v>295.5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SUM(TABELA2567[[#This Row],[T1]:[T7]])</f>
        <v>0</v>
      </c>
      <c r="P101" s="21">
        <f>TABELA2567[[#This Row],[QTDE]]*TABELA2567[[#This Row],[PREÇO]]</f>
        <v>0</v>
      </c>
    </row>
    <row r="102" spans="1:16" x14ac:dyDescent="0.2">
      <c r="A102" s="1" t="str">
        <f>TRIM(TABELA2567[[#This Row],[PRODUTO]])&amp;TRIM(TABELA2567[[#This Row],[COR]])</f>
        <v>07.74.01121617</v>
      </c>
      <c r="B102" s="18" t="s">
        <v>252</v>
      </c>
      <c r="C102" s="19" t="s">
        <v>253</v>
      </c>
      <c r="D102" s="19" t="s">
        <v>140</v>
      </c>
      <c r="E102" s="19" t="s">
        <v>141</v>
      </c>
      <c r="F102" s="20">
        <v>295.5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SUM(TABELA2567[[#This Row],[T1]:[T7]])</f>
        <v>0</v>
      </c>
      <c r="P102" s="21">
        <f>TABELA2567[[#This Row],[QTDE]]*TABELA2567[[#This Row],[PREÇO]]</f>
        <v>0</v>
      </c>
    </row>
    <row r="103" spans="1:16" x14ac:dyDescent="0.2">
      <c r="A103" s="1" t="str">
        <f>TRIM(TABELA2567[[#This Row],[PRODUTO]])&amp;TRIM(TABELA2567[[#This Row],[COR]])</f>
        <v>07.78.03090002</v>
      </c>
      <c r="B103" s="18" t="s">
        <v>255</v>
      </c>
      <c r="C103" s="19" t="s">
        <v>256</v>
      </c>
      <c r="D103" s="19" t="s">
        <v>40</v>
      </c>
      <c r="E103" s="19" t="s">
        <v>41</v>
      </c>
      <c r="F103" s="20">
        <v>147.38</v>
      </c>
      <c r="G103" s="19" t="s">
        <v>44</v>
      </c>
      <c r="H103" s="19"/>
      <c r="I103" s="19"/>
      <c r="J103" s="19"/>
      <c r="K103" s="19"/>
      <c r="L103" s="19"/>
      <c r="M103" s="19"/>
      <c r="N103" s="19"/>
      <c r="O103" s="19">
        <f>SUM(TABELA2567[[#This Row],[T1]:[T7]])</f>
        <v>0</v>
      </c>
      <c r="P103" s="21">
        <f>TABELA2567[[#This Row],[QTDE]]*TABELA2567[[#This Row],[PREÇO]]</f>
        <v>0</v>
      </c>
    </row>
    <row r="104" spans="1:16" x14ac:dyDescent="0.2">
      <c r="A104" s="1" t="str">
        <f>TRIM(TABELA2567[[#This Row],[PRODUTO]])&amp;TRIM(TABELA2567[[#This Row],[COR]])</f>
        <v>07.78.03101410</v>
      </c>
      <c r="B104" s="18" t="s">
        <v>257</v>
      </c>
      <c r="C104" s="19" t="s">
        <v>258</v>
      </c>
      <c r="D104" s="19" t="s">
        <v>219</v>
      </c>
      <c r="E104" s="19" t="s">
        <v>220</v>
      </c>
      <c r="F104" s="20">
        <v>121.46</v>
      </c>
      <c r="G104" s="19" t="s">
        <v>259</v>
      </c>
      <c r="H104" s="19"/>
      <c r="I104" s="19"/>
      <c r="J104" s="19"/>
      <c r="K104" s="19"/>
      <c r="L104" s="19"/>
      <c r="M104" s="19"/>
      <c r="N104" s="19"/>
      <c r="O104" s="19">
        <f>SUM(TABELA2567[[#This Row],[T1]:[T7]])</f>
        <v>0</v>
      </c>
      <c r="P104" s="21">
        <f>TABELA2567[[#This Row],[QTDE]]*TABELA2567[[#This Row],[PREÇO]]</f>
        <v>0</v>
      </c>
    </row>
    <row r="105" spans="1:16" x14ac:dyDescent="0.2">
      <c r="A105" s="1" t="str">
        <f>TRIM(TABELA2567[[#This Row],[PRODUTO]])&amp;TRIM(TABELA2567[[#This Row],[COR]])</f>
        <v>07.78.03101537</v>
      </c>
      <c r="B105" s="18" t="s">
        <v>257</v>
      </c>
      <c r="C105" s="19" t="s">
        <v>258</v>
      </c>
      <c r="D105" s="19" t="s">
        <v>260</v>
      </c>
      <c r="E105" s="19" t="s">
        <v>261</v>
      </c>
      <c r="F105" s="20">
        <v>121.46</v>
      </c>
      <c r="G105" s="19" t="s">
        <v>259</v>
      </c>
      <c r="H105" s="19"/>
      <c r="I105" s="19"/>
      <c r="J105" s="19"/>
      <c r="K105" s="19"/>
      <c r="L105" s="19"/>
      <c r="M105" s="19"/>
      <c r="N105" s="19"/>
      <c r="O105" s="19">
        <f>SUM(TABELA2567[[#This Row],[T1]:[T7]])</f>
        <v>0</v>
      </c>
      <c r="P105" s="21">
        <f>TABELA2567[[#This Row],[QTDE]]*TABELA2567[[#This Row],[PREÇO]]</f>
        <v>0</v>
      </c>
    </row>
    <row r="106" spans="1:16" x14ac:dyDescent="0.2">
      <c r="A106" s="1" t="str">
        <f>TRIM(TABELA2567[[#This Row],[PRODUTO]])&amp;TRIM(TABELA2567[[#This Row],[COR]])</f>
        <v>07.78.03110062</v>
      </c>
      <c r="B106" s="18" t="s">
        <v>262</v>
      </c>
      <c r="C106" s="19" t="s">
        <v>263</v>
      </c>
      <c r="D106" s="19" t="s">
        <v>47</v>
      </c>
      <c r="E106" s="19" t="s">
        <v>264</v>
      </c>
      <c r="F106" s="20">
        <v>139.97</v>
      </c>
      <c r="G106" s="19" t="s">
        <v>44</v>
      </c>
      <c r="H106" s="19"/>
      <c r="I106" s="19"/>
      <c r="J106" s="19"/>
      <c r="K106" s="19"/>
      <c r="L106" s="19"/>
      <c r="M106" s="19"/>
      <c r="N106" s="19"/>
      <c r="O106" s="19">
        <f>SUM(TABELA2567[[#This Row],[T1]:[T7]])</f>
        <v>0</v>
      </c>
      <c r="P106" s="21">
        <f>TABELA2567[[#This Row],[QTDE]]*TABELA2567[[#This Row],[PREÇO]]</f>
        <v>0</v>
      </c>
    </row>
    <row r="107" spans="1:16" x14ac:dyDescent="0.2">
      <c r="A107" s="1" t="str">
        <f>TRIM(TABELA2567[[#This Row],[PRODUTO]])&amp;TRIM(TABELA2567[[#This Row],[COR]])</f>
        <v>07.78.03110830</v>
      </c>
      <c r="B107" s="18" t="s">
        <v>262</v>
      </c>
      <c r="C107" s="19" t="s">
        <v>263</v>
      </c>
      <c r="D107" s="19" t="s">
        <v>79</v>
      </c>
      <c r="E107" s="19" t="s">
        <v>80</v>
      </c>
      <c r="F107" s="20">
        <v>139.97</v>
      </c>
      <c r="G107" s="19" t="s">
        <v>44</v>
      </c>
      <c r="H107" s="19"/>
      <c r="I107" s="19"/>
      <c r="J107" s="19"/>
      <c r="K107" s="19"/>
      <c r="L107" s="19"/>
      <c r="M107" s="19"/>
      <c r="N107" s="19"/>
      <c r="O107" s="19">
        <f>SUM(TABELA2567[[#This Row],[T1]:[T7]])</f>
        <v>0</v>
      </c>
      <c r="P107" s="21">
        <f>TABELA2567[[#This Row],[QTDE]]*TABELA2567[[#This Row],[PREÇO]]</f>
        <v>0</v>
      </c>
    </row>
    <row r="108" spans="1:16" x14ac:dyDescent="0.2">
      <c r="A108" s="1" t="str">
        <f>TRIM(TABELA2567[[#This Row],[PRODUTO]])&amp;TRIM(TABELA2567[[#This Row],[COR]])</f>
        <v>07.78.03125217</v>
      </c>
      <c r="B108" s="18" t="s">
        <v>265</v>
      </c>
      <c r="C108" s="19" t="s">
        <v>266</v>
      </c>
      <c r="D108" s="19" t="s">
        <v>101</v>
      </c>
      <c r="E108" s="19" t="s">
        <v>104</v>
      </c>
      <c r="F108" s="20">
        <v>139.97</v>
      </c>
      <c r="G108" s="19" t="s">
        <v>44</v>
      </c>
      <c r="H108" s="19"/>
      <c r="I108" s="19"/>
      <c r="J108" s="19"/>
      <c r="K108" s="19"/>
      <c r="L108" s="19"/>
      <c r="M108" s="19"/>
      <c r="N108" s="19"/>
      <c r="O108" s="19">
        <f>SUM(TABELA2567[[#This Row],[T1]:[T7]])</f>
        <v>0</v>
      </c>
      <c r="P108" s="21">
        <f>TABELA2567[[#This Row],[QTDE]]*TABELA2567[[#This Row],[PREÇO]]</f>
        <v>0</v>
      </c>
    </row>
    <row r="109" spans="1:16" x14ac:dyDescent="0.2">
      <c r="A109" s="1" t="str">
        <f>TRIM(TABELA2567[[#This Row],[PRODUTO]])&amp;TRIM(TABELA2567[[#This Row],[COR]])</f>
        <v>07.78.03130003</v>
      </c>
      <c r="B109" s="18" t="s">
        <v>267</v>
      </c>
      <c r="C109" s="19" t="s">
        <v>268</v>
      </c>
      <c r="D109" s="19" t="s">
        <v>34</v>
      </c>
      <c r="E109" s="19" t="s">
        <v>35</v>
      </c>
      <c r="F109" s="20">
        <v>258.47000000000003</v>
      </c>
      <c r="G109" s="19" t="s">
        <v>221</v>
      </c>
      <c r="H109" s="19"/>
      <c r="I109" s="19"/>
      <c r="J109" s="19"/>
      <c r="K109" s="19"/>
      <c r="L109" s="19"/>
      <c r="M109" s="19"/>
      <c r="N109" s="19"/>
      <c r="O109" s="19">
        <f>SUM(TABELA2567[[#This Row],[T1]:[T7]])</f>
        <v>0</v>
      </c>
      <c r="P109" s="21">
        <f>TABELA2567[[#This Row],[QTDE]]*TABELA2567[[#This Row],[PREÇO]]</f>
        <v>0</v>
      </c>
    </row>
    <row r="110" spans="1:16" x14ac:dyDescent="0.2">
      <c r="A110" s="1" t="str">
        <f>TRIM(TABELA2567[[#This Row],[PRODUTO]])&amp;TRIM(TABELA2567[[#This Row],[COR]])</f>
        <v>07.79.02240003</v>
      </c>
      <c r="B110" s="18" t="s">
        <v>269</v>
      </c>
      <c r="C110" s="19" t="s">
        <v>270</v>
      </c>
      <c r="D110" s="19" t="s">
        <v>34</v>
      </c>
      <c r="E110" s="19" t="s">
        <v>35</v>
      </c>
      <c r="F110" s="20">
        <v>158.49</v>
      </c>
      <c r="G110" s="19" t="s">
        <v>271</v>
      </c>
      <c r="H110" s="19"/>
      <c r="I110" s="19"/>
      <c r="J110" s="19"/>
      <c r="K110" s="19"/>
      <c r="L110" s="19"/>
      <c r="M110" s="19"/>
      <c r="N110" s="19"/>
      <c r="O110" s="19">
        <f>SUM(TABELA2567[[#This Row],[T1]:[T7]])</f>
        <v>0</v>
      </c>
      <c r="P110" s="21">
        <f>TABELA2567[[#This Row],[QTDE]]*TABELA2567[[#This Row],[PREÇO]]</f>
        <v>0</v>
      </c>
    </row>
    <row r="111" spans="1:16" x14ac:dyDescent="0.2">
      <c r="A111" s="1" t="str">
        <f>TRIM(TABELA2567[[#This Row],[PRODUTO]])&amp;TRIM(TABELA2567[[#This Row],[COR]])</f>
        <v>08.01.017227629</v>
      </c>
      <c r="B111" s="18" t="s">
        <v>272</v>
      </c>
      <c r="C111" s="19" t="s">
        <v>273</v>
      </c>
      <c r="D111" s="19" t="s">
        <v>182</v>
      </c>
      <c r="E111" s="19" t="s">
        <v>183</v>
      </c>
      <c r="F111" s="20">
        <v>128.86000000000001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SUM(TABELA2567[[#This Row],[T1]:[T7]])</f>
        <v>0</v>
      </c>
      <c r="P111" s="21">
        <f>TABELA2567[[#This Row],[QTDE]]*TABELA2567[[#This Row],[PREÇO]]</f>
        <v>0</v>
      </c>
    </row>
    <row r="112" spans="1:16" x14ac:dyDescent="0.2">
      <c r="A112" s="1" t="str">
        <f>TRIM(TABELA2567[[#This Row],[PRODUTO]])&amp;TRIM(TABELA2567[[#This Row],[COR]])</f>
        <v>08.01.01750830</v>
      </c>
      <c r="B112" s="18" t="s">
        <v>274</v>
      </c>
      <c r="C112" s="19" t="s">
        <v>275</v>
      </c>
      <c r="D112" s="19" t="s">
        <v>79</v>
      </c>
      <c r="E112" s="19" t="s">
        <v>80</v>
      </c>
      <c r="F112" s="20">
        <v>332.53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SUM(TABELA2567[[#This Row],[T1]:[T7]])</f>
        <v>0</v>
      </c>
      <c r="P112" s="21">
        <f>TABELA2567[[#This Row],[QTDE]]*TABELA2567[[#This Row],[PREÇO]]</f>
        <v>0</v>
      </c>
    </row>
    <row r="113" spans="1:16" x14ac:dyDescent="0.2">
      <c r="A113" s="1" t="str">
        <f>TRIM(TABELA2567[[#This Row],[PRODUTO]])&amp;TRIM(TABELA2567[[#This Row],[COR]])</f>
        <v>08.01.01755230</v>
      </c>
      <c r="B113" s="18" t="s">
        <v>274</v>
      </c>
      <c r="C113" s="19" t="s">
        <v>275</v>
      </c>
      <c r="D113" s="19" t="s">
        <v>212</v>
      </c>
      <c r="E113" s="19" t="s">
        <v>224</v>
      </c>
      <c r="F113" s="20">
        <v>332.53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SUM(TABELA2567[[#This Row],[T1]:[T7]])</f>
        <v>0</v>
      </c>
      <c r="P113" s="21">
        <f>TABELA2567[[#This Row],[QTDE]]*TABELA2567[[#This Row],[PREÇO]]</f>
        <v>0</v>
      </c>
    </row>
    <row r="114" spans="1:16" x14ac:dyDescent="0.2">
      <c r="A114" s="1" t="str">
        <f>TRIM(TABELA2567[[#This Row],[PRODUTO]])&amp;TRIM(TABELA2567[[#This Row],[COR]])</f>
        <v>08.01.01770003</v>
      </c>
      <c r="B114" s="18" t="s">
        <v>276</v>
      </c>
      <c r="C114" s="19" t="s">
        <v>277</v>
      </c>
      <c r="D114" s="19" t="s">
        <v>34</v>
      </c>
      <c r="E114" s="19" t="s">
        <v>35</v>
      </c>
      <c r="F114" s="20">
        <v>258.47000000000003</v>
      </c>
      <c r="G114" s="19" t="s">
        <v>44</v>
      </c>
      <c r="H114" s="19"/>
      <c r="I114" s="19"/>
      <c r="J114" s="19"/>
      <c r="K114" s="19"/>
      <c r="L114" s="19"/>
      <c r="M114" s="19"/>
      <c r="N114" s="19"/>
      <c r="O114" s="19">
        <f>SUM(TABELA2567[[#This Row],[T1]:[T7]])</f>
        <v>0</v>
      </c>
      <c r="P114" s="21">
        <f>TABELA2567[[#This Row],[QTDE]]*TABELA2567[[#This Row],[PREÇO]]</f>
        <v>0</v>
      </c>
    </row>
    <row r="115" spans="1:16" x14ac:dyDescent="0.2">
      <c r="A115" s="1" t="str">
        <f>TRIM(TABELA2567[[#This Row],[PRODUTO]])&amp;TRIM(TABELA2567[[#This Row],[COR]])</f>
        <v>08.01.01780101</v>
      </c>
      <c r="B115" s="18" t="s">
        <v>278</v>
      </c>
      <c r="C115" s="19" t="s">
        <v>279</v>
      </c>
      <c r="D115" s="19" t="s">
        <v>36</v>
      </c>
      <c r="E115" s="19" t="s">
        <v>37</v>
      </c>
      <c r="F115" s="20">
        <v>221.44</v>
      </c>
      <c r="G115" s="19" t="s">
        <v>44</v>
      </c>
      <c r="H115" s="19"/>
      <c r="I115" s="19"/>
      <c r="J115" s="19"/>
      <c r="K115" s="19"/>
      <c r="L115" s="19"/>
      <c r="M115" s="19"/>
      <c r="N115" s="19"/>
      <c r="O115" s="19">
        <f>SUM(TABELA2567[[#This Row],[T1]:[T7]])</f>
        <v>0</v>
      </c>
      <c r="P115" s="21">
        <f>TABELA2567[[#This Row],[QTDE]]*TABELA2567[[#This Row],[PREÇO]]</f>
        <v>0</v>
      </c>
    </row>
    <row r="116" spans="1:16" x14ac:dyDescent="0.2">
      <c r="A116" s="1" t="str">
        <f>TRIM(TABELA2567[[#This Row],[PRODUTO]])&amp;TRIM(TABELA2567[[#This Row],[COR]])</f>
        <v>08.01.01791617</v>
      </c>
      <c r="B116" s="18" t="s">
        <v>280</v>
      </c>
      <c r="C116" s="19" t="s">
        <v>281</v>
      </c>
      <c r="D116" s="19" t="s">
        <v>140</v>
      </c>
      <c r="E116" s="19" t="s">
        <v>141</v>
      </c>
      <c r="F116" s="20">
        <v>221.44</v>
      </c>
      <c r="G116" s="19" t="s">
        <v>44</v>
      </c>
      <c r="H116" s="19"/>
      <c r="I116" s="19"/>
      <c r="J116" s="19"/>
      <c r="K116" s="19"/>
      <c r="L116" s="19"/>
      <c r="M116" s="19"/>
      <c r="N116" s="19"/>
      <c r="O116" s="19">
        <f>SUM(TABELA2567[[#This Row],[T1]:[T7]])</f>
        <v>0</v>
      </c>
      <c r="P116" s="21">
        <f>TABELA2567[[#This Row],[QTDE]]*TABELA2567[[#This Row],[PREÇO]]</f>
        <v>0</v>
      </c>
    </row>
    <row r="117" spans="1:16" x14ac:dyDescent="0.2">
      <c r="A117" s="1" t="str">
        <f>TRIM(TABELA2567[[#This Row],[PRODUTO]])&amp;TRIM(TABELA2567[[#This Row],[COR]])</f>
        <v>08.01.01810101</v>
      </c>
      <c r="B117" s="18" t="s">
        <v>282</v>
      </c>
      <c r="C117" s="19" t="s">
        <v>283</v>
      </c>
      <c r="D117" s="19" t="s">
        <v>36</v>
      </c>
      <c r="E117" s="19" t="s">
        <v>37</v>
      </c>
      <c r="F117" s="20">
        <v>221.44</v>
      </c>
      <c r="G117" s="19" t="s">
        <v>44</v>
      </c>
      <c r="H117" s="19"/>
      <c r="I117" s="19"/>
      <c r="J117" s="19"/>
      <c r="K117" s="19"/>
      <c r="L117" s="19"/>
      <c r="M117" s="19"/>
      <c r="N117" s="19"/>
      <c r="O117" s="19">
        <f>SUM(TABELA2567[[#This Row],[T1]:[T7]])</f>
        <v>0</v>
      </c>
      <c r="P117" s="21">
        <f>TABELA2567[[#This Row],[QTDE]]*TABELA2567[[#This Row],[PREÇO]]</f>
        <v>0</v>
      </c>
    </row>
    <row r="118" spans="1:16" x14ac:dyDescent="0.2">
      <c r="A118" s="1" t="str">
        <f>TRIM(TABELA2567[[#This Row],[PRODUTO]])&amp;TRIM(TABELA2567[[#This Row],[COR]])</f>
        <v>08.01.01820105</v>
      </c>
      <c r="B118" s="18" t="s">
        <v>284</v>
      </c>
      <c r="C118" s="19" t="s">
        <v>285</v>
      </c>
      <c r="D118" s="19" t="s">
        <v>32</v>
      </c>
      <c r="E118" s="19" t="s">
        <v>33</v>
      </c>
      <c r="F118" s="20">
        <v>443.62</v>
      </c>
      <c r="G118" s="19" t="s">
        <v>44</v>
      </c>
      <c r="H118" s="19"/>
      <c r="I118" s="19"/>
      <c r="J118" s="19"/>
      <c r="K118" s="19"/>
      <c r="L118" s="19"/>
      <c r="M118" s="19"/>
      <c r="N118" s="19"/>
      <c r="O118" s="19">
        <f>SUM(TABELA2567[[#This Row],[T1]:[T7]])</f>
        <v>0</v>
      </c>
      <c r="P118" s="21">
        <f>TABELA2567[[#This Row],[QTDE]]*TABELA2567[[#This Row],[PREÇO]]</f>
        <v>0</v>
      </c>
    </row>
    <row r="119" spans="1:16" x14ac:dyDescent="0.2">
      <c r="A119" s="1" t="str">
        <f>TRIM(TABELA2567[[#This Row],[PRODUTO]])&amp;TRIM(TABELA2567[[#This Row],[COR]])</f>
        <v>08.04.024027628</v>
      </c>
      <c r="B119" s="18" t="s">
        <v>286</v>
      </c>
      <c r="C119" s="19" t="s">
        <v>287</v>
      </c>
      <c r="D119" s="19" t="s">
        <v>157</v>
      </c>
      <c r="E119" s="19" t="s">
        <v>158</v>
      </c>
      <c r="F119" s="20">
        <v>165.89</v>
      </c>
      <c r="G119" s="19" t="s">
        <v>31</v>
      </c>
      <c r="H119" s="19"/>
      <c r="I119" s="19"/>
      <c r="J119" s="19"/>
      <c r="K119" s="19"/>
      <c r="L119" s="19"/>
      <c r="M119" s="19"/>
      <c r="N119" s="19"/>
      <c r="O119" s="19">
        <f>SUM(TABELA2567[[#This Row],[T1]:[T7]])</f>
        <v>0</v>
      </c>
      <c r="P119" s="21">
        <f>TABELA2567[[#This Row],[QTDE]]*TABELA2567[[#This Row],[PREÇO]]</f>
        <v>0</v>
      </c>
    </row>
    <row r="120" spans="1:16" x14ac:dyDescent="0.2">
      <c r="A120" s="1" t="str">
        <f>TRIM(TABELA2567[[#This Row],[PRODUTO]])&amp;TRIM(TABELA2567[[#This Row],[COR]])</f>
        <v>08.04.024227631</v>
      </c>
      <c r="B120" s="18" t="s">
        <v>288</v>
      </c>
      <c r="C120" s="19" t="s">
        <v>1608</v>
      </c>
      <c r="D120" s="19" t="s">
        <v>168</v>
      </c>
      <c r="E120" s="19" t="s">
        <v>169</v>
      </c>
      <c r="F120" s="20">
        <v>221.44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SUM(TABELA2567[[#This Row],[T1]:[T7]])</f>
        <v>0</v>
      </c>
      <c r="P120" s="21">
        <f>TABELA2567[[#This Row],[QTDE]]*TABELA2567[[#This Row],[PREÇO]]</f>
        <v>0</v>
      </c>
    </row>
    <row r="121" spans="1:16" x14ac:dyDescent="0.2">
      <c r="A121" s="1" t="str">
        <f>TRIM(TABELA2567[[#This Row],[PRODUTO]])&amp;TRIM(TABELA2567[[#This Row],[COR]])</f>
        <v>08.04.024427632</v>
      </c>
      <c r="B121" s="18" t="s">
        <v>289</v>
      </c>
      <c r="C121" s="19" t="s">
        <v>290</v>
      </c>
      <c r="D121" s="19" t="s">
        <v>161</v>
      </c>
      <c r="E121" s="19" t="s">
        <v>162</v>
      </c>
      <c r="F121" s="20">
        <v>158.49</v>
      </c>
      <c r="G121" s="19" t="s">
        <v>31</v>
      </c>
      <c r="H121" s="19"/>
      <c r="I121" s="19"/>
      <c r="J121" s="19"/>
      <c r="K121" s="19"/>
      <c r="L121" s="19"/>
      <c r="M121" s="19"/>
      <c r="N121" s="19"/>
      <c r="O121" s="19">
        <f>SUM(TABELA2567[[#This Row],[T1]:[T7]])</f>
        <v>0</v>
      </c>
      <c r="P121" s="21">
        <f>TABELA2567[[#This Row],[QTDE]]*TABELA2567[[#This Row],[PREÇO]]</f>
        <v>0</v>
      </c>
    </row>
    <row r="122" spans="1:16" x14ac:dyDescent="0.2">
      <c r="A122" s="1" t="str">
        <f>TRIM(TABELA2567[[#This Row],[PRODUTO]])&amp;TRIM(TABELA2567[[#This Row],[COR]])</f>
        <v>08.04.02450830</v>
      </c>
      <c r="B122" s="18" t="s">
        <v>291</v>
      </c>
      <c r="C122" s="19" t="s">
        <v>1609</v>
      </c>
      <c r="D122" s="19" t="s">
        <v>79</v>
      </c>
      <c r="E122" s="19" t="s">
        <v>1610</v>
      </c>
      <c r="F122" s="20">
        <v>184.41</v>
      </c>
      <c r="G122" s="19" t="s">
        <v>259</v>
      </c>
      <c r="H122" s="19"/>
      <c r="I122" s="19"/>
      <c r="J122" s="19"/>
      <c r="K122" s="19"/>
      <c r="L122" s="19"/>
      <c r="M122" s="19"/>
      <c r="N122" s="19"/>
      <c r="O122" s="19">
        <f>SUM(TABELA2567[[#This Row],[T1]:[T7]])</f>
        <v>0</v>
      </c>
      <c r="P122" s="21">
        <f>TABELA2567[[#This Row],[QTDE]]*TABELA2567[[#This Row],[PREÇO]]</f>
        <v>0</v>
      </c>
    </row>
    <row r="123" spans="1:16" x14ac:dyDescent="0.2">
      <c r="A123" s="1" t="str">
        <f>TRIM(TABELA2567[[#This Row],[PRODUTO]])&amp;TRIM(TABELA2567[[#This Row],[COR]])</f>
        <v>08.04.02460003</v>
      </c>
      <c r="B123" s="18" t="s">
        <v>292</v>
      </c>
      <c r="C123" s="19" t="s">
        <v>293</v>
      </c>
      <c r="D123" s="19" t="s">
        <v>34</v>
      </c>
      <c r="E123" s="19" t="s">
        <v>35</v>
      </c>
      <c r="F123" s="20">
        <v>295.5</v>
      </c>
      <c r="G123" s="19" t="s">
        <v>44</v>
      </c>
      <c r="H123" s="19"/>
      <c r="I123" s="19"/>
      <c r="J123" s="19"/>
      <c r="K123" s="19"/>
      <c r="L123" s="19"/>
      <c r="M123" s="19"/>
      <c r="N123" s="19"/>
      <c r="O123" s="19">
        <f>SUM(TABELA2567[[#This Row],[T1]:[T7]])</f>
        <v>0</v>
      </c>
      <c r="P123" s="21">
        <f>TABELA2567[[#This Row],[QTDE]]*TABELA2567[[#This Row],[PREÇO]]</f>
        <v>0</v>
      </c>
    </row>
    <row r="124" spans="1:16" x14ac:dyDescent="0.2">
      <c r="A124" s="1" t="str">
        <f>TRIM(TABELA2567[[#This Row],[PRODUTO]])&amp;TRIM(TABELA2567[[#This Row],[COR]])</f>
        <v>08.04.02460830</v>
      </c>
      <c r="B124" s="18" t="s">
        <v>292</v>
      </c>
      <c r="C124" s="19" t="s">
        <v>293</v>
      </c>
      <c r="D124" s="19" t="s">
        <v>79</v>
      </c>
      <c r="E124" s="19" t="s">
        <v>80</v>
      </c>
      <c r="F124" s="20">
        <v>295.5</v>
      </c>
      <c r="G124" s="19" t="s">
        <v>44</v>
      </c>
      <c r="H124" s="19"/>
      <c r="I124" s="19"/>
      <c r="J124" s="19"/>
      <c r="K124" s="19"/>
      <c r="L124" s="19"/>
      <c r="M124" s="19"/>
      <c r="N124" s="19"/>
      <c r="O124" s="19">
        <f>SUM(TABELA2567[[#This Row],[T1]:[T7]])</f>
        <v>0</v>
      </c>
      <c r="P124" s="21">
        <f>TABELA2567[[#This Row],[QTDE]]*TABELA2567[[#This Row],[PREÇO]]</f>
        <v>0</v>
      </c>
    </row>
    <row r="125" spans="1:16" x14ac:dyDescent="0.2">
      <c r="A125" s="1" t="str">
        <f>TRIM(TABELA2567[[#This Row],[PRODUTO]])&amp;TRIM(TABELA2567[[#This Row],[COR]])</f>
        <v>08.04.02471858</v>
      </c>
      <c r="B125" s="18" t="s">
        <v>294</v>
      </c>
      <c r="C125" s="19" t="s">
        <v>295</v>
      </c>
      <c r="D125" s="19" t="s">
        <v>60</v>
      </c>
      <c r="E125" s="19" t="s">
        <v>61</v>
      </c>
      <c r="F125" s="20">
        <v>295.5</v>
      </c>
      <c r="G125" s="19" t="s">
        <v>76</v>
      </c>
      <c r="H125" s="19"/>
      <c r="I125" s="19"/>
      <c r="J125" s="19"/>
      <c r="K125" s="19"/>
      <c r="L125" s="19"/>
      <c r="M125" s="19"/>
      <c r="N125" s="19"/>
      <c r="O125" s="19">
        <f>SUM(TABELA2567[[#This Row],[T1]:[T7]])</f>
        <v>0</v>
      </c>
      <c r="P125" s="21">
        <f>TABELA2567[[#This Row],[QTDE]]*TABELA2567[[#This Row],[PREÇO]]</f>
        <v>0</v>
      </c>
    </row>
    <row r="126" spans="1:16" x14ac:dyDescent="0.2">
      <c r="A126" s="1" t="str">
        <f>TRIM(TABELA2567[[#This Row],[PRODUTO]])&amp;TRIM(TABELA2567[[#This Row],[COR]])</f>
        <v>08.04.02490105</v>
      </c>
      <c r="B126" s="18" t="s">
        <v>296</v>
      </c>
      <c r="C126" s="19" t="s">
        <v>297</v>
      </c>
      <c r="D126" s="19" t="s">
        <v>32</v>
      </c>
      <c r="E126" s="19" t="s">
        <v>33</v>
      </c>
      <c r="F126" s="20">
        <v>258.47000000000003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SUM(TABELA2567[[#This Row],[T1]:[T7]])</f>
        <v>0</v>
      </c>
      <c r="P126" s="21">
        <f>TABELA2567[[#This Row],[QTDE]]*TABELA2567[[#This Row],[PREÇO]]</f>
        <v>0</v>
      </c>
    </row>
    <row r="127" spans="1:16" x14ac:dyDescent="0.2">
      <c r="A127" s="1" t="str">
        <f>TRIM(TABELA2567[[#This Row],[PRODUTO]])&amp;TRIM(TABELA2567[[#This Row],[COR]])</f>
        <v>08.04.02510101</v>
      </c>
      <c r="B127" s="18" t="s">
        <v>298</v>
      </c>
      <c r="C127" s="19" t="s">
        <v>299</v>
      </c>
      <c r="D127" s="19" t="s">
        <v>36</v>
      </c>
      <c r="E127" s="19" t="s">
        <v>37</v>
      </c>
      <c r="F127" s="20">
        <v>295.5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SUM(TABELA2567[[#This Row],[T1]:[T7]])</f>
        <v>0</v>
      </c>
      <c r="P127" s="21">
        <f>TABELA2567[[#This Row],[QTDE]]*TABELA2567[[#This Row],[PREÇO]]</f>
        <v>0</v>
      </c>
    </row>
    <row r="128" spans="1:16" x14ac:dyDescent="0.2">
      <c r="A128" s="1" t="str">
        <f>TRIM(TABELA2567[[#This Row],[PRODUTO]])&amp;TRIM(TABELA2567[[#This Row],[COR]])</f>
        <v>08.04.02520003</v>
      </c>
      <c r="B128" s="18" t="s">
        <v>300</v>
      </c>
      <c r="C128" s="19" t="s">
        <v>301</v>
      </c>
      <c r="D128" s="19" t="s">
        <v>34</v>
      </c>
      <c r="E128" s="19" t="s">
        <v>35</v>
      </c>
      <c r="F128" s="20">
        <v>258.47000000000003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SUM(TABELA2567[[#This Row],[T1]:[T7]])</f>
        <v>0</v>
      </c>
      <c r="P128" s="21">
        <f>TABELA2567[[#This Row],[QTDE]]*TABELA2567[[#This Row],[PREÇO]]</f>
        <v>0</v>
      </c>
    </row>
    <row r="129" spans="1:16" x14ac:dyDescent="0.2">
      <c r="A129" s="1" t="str">
        <f>TRIM(TABELA2567[[#This Row],[PRODUTO]])&amp;TRIM(TABELA2567[[#This Row],[COR]])</f>
        <v>09.01.23381410</v>
      </c>
      <c r="B129" s="18" t="s">
        <v>302</v>
      </c>
      <c r="C129" s="19" t="s">
        <v>303</v>
      </c>
      <c r="D129" s="19" t="s">
        <v>219</v>
      </c>
      <c r="E129" s="19" t="s">
        <v>220</v>
      </c>
      <c r="F129" s="20">
        <v>239.95</v>
      </c>
      <c r="G129" s="19" t="s">
        <v>304</v>
      </c>
      <c r="H129" s="19"/>
      <c r="I129" s="19"/>
      <c r="J129" s="19"/>
      <c r="K129" s="19"/>
      <c r="L129" s="19"/>
      <c r="M129" s="19"/>
      <c r="N129" s="19"/>
      <c r="O129" s="19">
        <f>SUM(TABELA2567[[#This Row],[T1]:[T7]])</f>
        <v>0</v>
      </c>
      <c r="P129" s="21">
        <f>TABELA2567[[#This Row],[QTDE]]*TABELA2567[[#This Row],[PREÇO]]</f>
        <v>0</v>
      </c>
    </row>
    <row r="130" spans="1:16" x14ac:dyDescent="0.2">
      <c r="A130" s="1" t="str">
        <f>TRIM(TABELA2567[[#This Row],[PRODUTO]])&amp;TRIM(TABELA2567[[#This Row],[COR]])</f>
        <v>09.06.06801410</v>
      </c>
      <c r="B130" s="18" t="s">
        <v>305</v>
      </c>
      <c r="C130" s="19" t="s">
        <v>306</v>
      </c>
      <c r="D130" s="19" t="s">
        <v>219</v>
      </c>
      <c r="E130" s="19" t="s">
        <v>307</v>
      </c>
      <c r="F130" s="20">
        <v>202.92</v>
      </c>
      <c r="G130" s="19" t="s">
        <v>304</v>
      </c>
      <c r="H130" s="19"/>
      <c r="I130" s="19"/>
      <c r="J130" s="19"/>
      <c r="K130" s="19"/>
      <c r="L130" s="19"/>
      <c r="M130" s="19"/>
      <c r="N130" s="19"/>
      <c r="O130" s="19">
        <f>SUM(TABELA2567[[#This Row],[T1]:[T7]])</f>
        <v>0</v>
      </c>
      <c r="P130" s="21">
        <f>TABELA2567[[#This Row],[QTDE]]*TABELA2567[[#This Row],[PREÇO]]</f>
        <v>0</v>
      </c>
    </row>
    <row r="131" spans="1:16" x14ac:dyDescent="0.2">
      <c r="A131" s="1" t="str">
        <f>TRIM(TABELA2567[[#This Row],[PRODUTO]])&amp;TRIM(TABELA2567[[#This Row],[COR]])</f>
        <v>09.06.06810105</v>
      </c>
      <c r="B131" s="18" t="s">
        <v>308</v>
      </c>
      <c r="C131" s="19" t="s">
        <v>309</v>
      </c>
      <c r="D131" s="19" t="s">
        <v>32</v>
      </c>
      <c r="E131" s="19" t="s">
        <v>33</v>
      </c>
      <c r="F131" s="20">
        <v>221.44</v>
      </c>
      <c r="G131" s="19" t="s">
        <v>304</v>
      </c>
      <c r="H131" s="19"/>
      <c r="I131" s="19"/>
      <c r="J131" s="19"/>
      <c r="K131" s="19"/>
      <c r="L131" s="19"/>
      <c r="M131" s="19"/>
      <c r="N131" s="19"/>
      <c r="O131" s="19">
        <f>SUM(TABELA2567[[#This Row],[T1]:[T7]])</f>
        <v>0</v>
      </c>
      <c r="P131" s="21">
        <f>TABELA2567[[#This Row],[QTDE]]*TABELA2567[[#This Row],[PREÇO]]</f>
        <v>0</v>
      </c>
    </row>
    <row r="132" spans="1:16" x14ac:dyDescent="0.2">
      <c r="A132" s="1" t="str">
        <f>TRIM(TABELA2567[[#This Row],[PRODUTO]])&amp;TRIM(TABELA2567[[#This Row],[COR]])</f>
        <v>09.06.06821540</v>
      </c>
      <c r="B132" s="18" t="s">
        <v>310</v>
      </c>
      <c r="C132" s="19" t="s">
        <v>311</v>
      </c>
      <c r="D132" s="19" t="s">
        <v>43</v>
      </c>
      <c r="E132" s="19" t="s">
        <v>312</v>
      </c>
      <c r="F132" s="20">
        <v>184.41</v>
      </c>
      <c r="G132" s="19" t="s">
        <v>304</v>
      </c>
      <c r="H132" s="19"/>
      <c r="I132" s="19"/>
      <c r="J132" s="19"/>
      <c r="K132" s="19"/>
      <c r="L132" s="19"/>
      <c r="M132" s="19"/>
      <c r="N132" s="19"/>
      <c r="O132" s="19">
        <f>SUM(TABELA2567[[#This Row],[T1]:[T7]])</f>
        <v>0</v>
      </c>
      <c r="P132" s="21">
        <f>TABELA2567[[#This Row],[QTDE]]*TABELA2567[[#This Row],[PREÇO]]</f>
        <v>0</v>
      </c>
    </row>
    <row r="133" spans="1:16" x14ac:dyDescent="0.2">
      <c r="A133" s="1" t="str">
        <f>TRIM(TABELA2567[[#This Row],[PRODUTO]])&amp;TRIM(TABELA2567[[#This Row],[COR]])</f>
        <v>10.02.08351565</v>
      </c>
      <c r="B133" s="18" t="s">
        <v>313</v>
      </c>
      <c r="C133" s="19" t="s">
        <v>314</v>
      </c>
      <c r="D133" s="19" t="s">
        <v>208</v>
      </c>
      <c r="E133" s="19" t="s">
        <v>113</v>
      </c>
      <c r="F133" s="20">
        <v>165.89</v>
      </c>
      <c r="G133" s="19" t="s">
        <v>17</v>
      </c>
      <c r="H133" s="19"/>
      <c r="I133" s="19"/>
      <c r="J133" s="19"/>
      <c r="K133" s="19"/>
      <c r="L133" s="19"/>
      <c r="M133" s="19"/>
      <c r="N133" s="19"/>
      <c r="O133" s="19">
        <f>SUM(TABELA2567[[#This Row],[T1]:[T7]])</f>
        <v>0</v>
      </c>
      <c r="P133" s="21">
        <f>TABELA2567[[#This Row],[QTDE]]*TABELA2567[[#This Row],[PREÇO]]</f>
        <v>0</v>
      </c>
    </row>
    <row r="134" spans="1:16" x14ac:dyDescent="0.2">
      <c r="A134" s="1" t="str">
        <f>TRIM(TABELA2567[[#This Row],[PRODUTO]])&amp;TRIM(TABELA2567[[#This Row],[COR]])</f>
        <v>10.02.08351575</v>
      </c>
      <c r="B134" s="18" t="s">
        <v>313</v>
      </c>
      <c r="C134" s="19" t="s">
        <v>314</v>
      </c>
      <c r="D134" s="19" t="s">
        <v>315</v>
      </c>
      <c r="E134" s="19" t="s">
        <v>57</v>
      </c>
      <c r="F134" s="20">
        <v>165.89</v>
      </c>
      <c r="G134" s="19" t="s">
        <v>17</v>
      </c>
      <c r="H134" s="19"/>
      <c r="I134" s="19"/>
      <c r="J134" s="19"/>
      <c r="K134" s="19"/>
      <c r="L134" s="19"/>
      <c r="M134" s="19"/>
      <c r="N134" s="19"/>
      <c r="O134" s="19">
        <f>SUM(TABELA2567[[#This Row],[T1]:[T7]])</f>
        <v>0</v>
      </c>
      <c r="P134" s="21">
        <f>TABELA2567[[#This Row],[QTDE]]*TABELA2567[[#This Row],[PREÇO]]</f>
        <v>0</v>
      </c>
    </row>
    <row r="135" spans="1:16" x14ac:dyDescent="0.2">
      <c r="A135" s="1" t="str">
        <f>TRIM(TABELA2567[[#This Row],[PRODUTO]])&amp;TRIM(TABELA2567[[#This Row],[COR]])</f>
        <v>11.16.00420003</v>
      </c>
      <c r="B135" s="18" t="s">
        <v>316</v>
      </c>
      <c r="C135" s="19" t="s">
        <v>1611</v>
      </c>
      <c r="D135" s="19" t="s">
        <v>34</v>
      </c>
      <c r="E135" s="19" t="s">
        <v>35</v>
      </c>
      <c r="F135" s="20">
        <v>132.57</v>
      </c>
      <c r="G135" s="19" t="s">
        <v>17</v>
      </c>
      <c r="H135" s="19"/>
      <c r="I135" s="19"/>
      <c r="J135" s="19"/>
      <c r="K135" s="19"/>
      <c r="L135" s="19"/>
      <c r="M135" s="19"/>
      <c r="N135" s="19"/>
      <c r="O135" s="19">
        <f>SUM(TABELA2567[[#This Row],[T1]:[T7]])</f>
        <v>0</v>
      </c>
      <c r="P135" s="21">
        <f>TABELA2567[[#This Row],[QTDE]]*TABELA2567[[#This Row],[PREÇO]]</f>
        <v>0</v>
      </c>
    </row>
    <row r="136" spans="1:16" x14ac:dyDescent="0.2">
      <c r="A136" s="1" t="str">
        <f>TRIM(TABELA2567[[#This Row],[PRODUTO]])&amp;TRIM(TABELA2567[[#This Row],[COR]])</f>
        <v>11.16.00430003</v>
      </c>
      <c r="B136" s="18" t="s">
        <v>317</v>
      </c>
      <c r="C136" s="19" t="s">
        <v>318</v>
      </c>
      <c r="D136" s="19" t="s">
        <v>34</v>
      </c>
      <c r="E136" s="19" t="s">
        <v>113</v>
      </c>
      <c r="F136" s="20">
        <v>169.6</v>
      </c>
      <c r="G136" s="19" t="s">
        <v>17</v>
      </c>
      <c r="H136" s="19"/>
      <c r="I136" s="19"/>
      <c r="J136" s="19"/>
      <c r="K136" s="19"/>
      <c r="L136" s="19"/>
      <c r="M136" s="19"/>
      <c r="N136" s="19"/>
      <c r="O136" s="19">
        <f>SUM(TABELA2567[[#This Row],[T1]:[T7]])</f>
        <v>0</v>
      </c>
      <c r="P136" s="21">
        <f>TABELA2567[[#This Row],[QTDE]]*TABELA2567[[#This Row],[PREÇO]]</f>
        <v>0</v>
      </c>
    </row>
    <row r="137" spans="1:16" x14ac:dyDescent="0.2">
      <c r="A137" s="1" t="str">
        <f>TRIM(TABELA2567[[#This Row],[PRODUTO]])&amp;TRIM(TABELA2567[[#This Row],[COR]])</f>
        <v>11.16.00432441</v>
      </c>
      <c r="B137" s="18" t="s">
        <v>317</v>
      </c>
      <c r="C137" s="19" t="s">
        <v>318</v>
      </c>
      <c r="D137" s="19" t="s">
        <v>62</v>
      </c>
      <c r="E137" s="19" t="s">
        <v>63</v>
      </c>
      <c r="F137" s="20">
        <v>169.6</v>
      </c>
      <c r="G137" s="19" t="s">
        <v>17</v>
      </c>
      <c r="H137" s="19"/>
      <c r="I137" s="19"/>
      <c r="J137" s="19"/>
      <c r="K137" s="19"/>
      <c r="L137" s="19"/>
      <c r="M137" s="19"/>
      <c r="N137" s="19"/>
      <c r="O137" s="19">
        <f>SUM(TABELA2567[[#This Row],[T1]:[T7]])</f>
        <v>0</v>
      </c>
      <c r="P137" s="21">
        <f>TABELA2567[[#This Row],[QTDE]]*TABELA2567[[#This Row],[PREÇO]]</f>
        <v>0</v>
      </c>
    </row>
    <row r="138" spans="1:16" x14ac:dyDescent="0.2">
      <c r="A138" s="1" t="str">
        <f>TRIM(TABELA2567[[#This Row],[PRODUTO]])&amp;TRIM(TABELA2567[[#This Row],[COR]])</f>
        <v>22.01.007927637</v>
      </c>
      <c r="B138" s="18" t="s">
        <v>319</v>
      </c>
      <c r="C138" s="19" t="s">
        <v>320</v>
      </c>
      <c r="D138" s="19" t="s">
        <v>172</v>
      </c>
      <c r="E138" s="19" t="s">
        <v>173</v>
      </c>
      <c r="F138" s="20">
        <v>95.54</v>
      </c>
      <c r="G138" s="19" t="s">
        <v>50</v>
      </c>
      <c r="H138" s="19"/>
      <c r="I138" s="19"/>
      <c r="J138" s="19"/>
      <c r="K138" s="19"/>
      <c r="L138" s="19"/>
      <c r="M138" s="19"/>
      <c r="N138" s="19"/>
      <c r="O138" s="19">
        <f>SUM(TABELA2567[[#This Row],[T1]:[T7]])</f>
        <v>0</v>
      </c>
      <c r="P138" s="21">
        <f>TABELA2567[[#This Row],[QTDE]]*TABELA2567[[#This Row],[PREÇO]]</f>
        <v>0</v>
      </c>
    </row>
    <row r="139" spans="1:16" x14ac:dyDescent="0.2">
      <c r="A139" s="1" t="str">
        <f>TRIM(TABELA2567[[#This Row],[PRODUTO]])&amp;TRIM(TABELA2567[[#This Row],[COR]])</f>
        <v>25.02.328527632</v>
      </c>
      <c r="B139" s="18" t="s">
        <v>321</v>
      </c>
      <c r="C139" s="19" t="s">
        <v>322</v>
      </c>
      <c r="D139" s="19" t="s">
        <v>161</v>
      </c>
      <c r="E139" s="19" t="s">
        <v>162</v>
      </c>
      <c r="F139" s="20">
        <v>128.86000000000001</v>
      </c>
      <c r="G139" s="19" t="s">
        <v>31</v>
      </c>
      <c r="H139" s="19"/>
      <c r="I139" s="19"/>
      <c r="J139" s="19"/>
      <c r="K139" s="19"/>
      <c r="L139" s="19"/>
      <c r="M139" s="19"/>
      <c r="N139" s="19"/>
      <c r="O139" s="19">
        <f>SUM(TABELA2567[[#This Row],[T1]:[T7]])</f>
        <v>0</v>
      </c>
      <c r="P139" s="21">
        <f>TABELA2567[[#This Row],[QTDE]]*TABELA2567[[#This Row],[PREÇO]]</f>
        <v>0</v>
      </c>
    </row>
    <row r="140" spans="1:16" x14ac:dyDescent="0.2">
      <c r="A140" s="1" t="str">
        <f>TRIM(TABELA2567[[#This Row],[PRODUTO]])&amp;TRIM(TABELA2567[[#This Row],[COR]])</f>
        <v>25.02.334427689</v>
      </c>
      <c r="B140" s="18" t="s">
        <v>323</v>
      </c>
      <c r="C140" s="19" t="s">
        <v>324</v>
      </c>
      <c r="D140" s="19" t="s">
        <v>89</v>
      </c>
      <c r="E140" s="19" t="s">
        <v>90</v>
      </c>
      <c r="F140" s="20">
        <v>139.97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SUM(TABELA2567[[#This Row],[T1]:[T7]])</f>
        <v>0</v>
      </c>
      <c r="P140" s="21">
        <f>TABELA2567[[#This Row],[QTDE]]*TABELA2567[[#This Row],[PREÇO]]</f>
        <v>0</v>
      </c>
    </row>
    <row r="141" spans="1:16" x14ac:dyDescent="0.2">
      <c r="A141" s="1" t="str">
        <f>TRIM(TABELA2567[[#This Row],[PRODUTO]])&amp;TRIM(TABELA2567[[#This Row],[COR]])</f>
        <v>25.03.03805230</v>
      </c>
      <c r="B141" s="18" t="s">
        <v>325</v>
      </c>
      <c r="C141" s="19" t="s">
        <v>326</v>
      </c>
      <c r="D141" s="19" t="s">
        <v>212</v>
      </c>
      <c r="E141" s="19" t="s">
        <v>327</v>
      </c>
      <c r="F141" s="20">
        <v>202.92</v>
      </c>
      <c r="G141" s="19" t="s">
        <v>31</v>
      </c>
      <c r="H141" s="19"/>
      <c r="I141" s="19"/>
      <c r="J141" s="19"/>
      <c r="K141" s="19"/>
      <c r="L141" s="19"/>
      <c r="M141" s="19"/>
      <c r="N141" s="19"/>
      <c r="O141" s="19">
        <f>SUM(TABELA2567[[#This Row],[T1]:[T7]])</f>
        <v>0</v>
      </c>
      <c r="P141" s="21">
        <f>TABELA2567[[#This Row],[QTDE]]*TABELA2567[[#This Row],[PREÇO]]</f>
        <v>0</v>
      </c>
    </row>
    <row r="142" spans="1:16" x14ac:dyDescent="0.2">
      <c r="A142" s="1" t="str">
        <f>TRIM(TABELA2567[[#This Row],[PRODUTO]])&amp;TRIM(TABELA2567[[#This Row],[COR]])</f>
        <v>25.03.03810101</v>
      </c>
      <c r="B142" s="18" t="s">
        <v>328</v>
      </c>
      <c r="C142" s="19" t="s">
        <v>329</v>
      </c>
      <c r="D142" s="19" t="s">
        <v>36</v>
      </c>
      <c r="E142" s="19" t="s">
        <v>128</v>
      </c>
      <c r="F142" s="20">
        <v>258.47000000000003</v>
      </c>
      <c r="G142" s="19" t="s">
        <v>76</v>
      </c>
      <c r="H142" s="19"/>
      <c r="I142" s="19"/>
      <c r="J142" s="19"/>
      <c r="K142" s="19"/>
      <c r="L142" s="19"/>
      <c r="M142" s="19"/>
      <c r="N142" s="19"/>
      <c r="O142" s="19">
        <f>SUM(TABELA2567[[#This Row],[T1]:[T7]])</f>
        <v>0</v>
      </c>
      <c r="P142" s="21">
        <f>TABELA2567[[#This Row],[QTDE]]*TABELA2567[[#This Row],[PREÇO]]</f>
        <v>0</v>
      </c>
    </row>
    <row r="143" spans="1:16" x14ac:dyDescent="0.2">
      <c r="A143" s="1" t="str">
        <f>TRIM(TABELA2567[[#This Row],[PRODUTO]])&amp;TRIM(TABELA2567[[#This Row],[COR]])</f>
        <v>25.03.03820003</v>
      </c>
      <c r="B143" s="18" t="s">
        <v>330</v>
      </c>
      <c r="C143" s="19" t="s">
        <v>331</v>
      </c>
      <c r="D143" s="19" t="s">
        <v>34</v>
      </c>
      <c r="E143" s="19" t="s">
        <v>35</v>
      </c>
      <c r="F143" s="20">
        <v>132.57</v>
      </c>
      <c r="G143" s="19" t="s">
        <v>66</v>
      </c>
      <c r="H143" s="19"/>
      <c r="I143" s="19"/>
      <c r="J143" s="19"/>
      <c r="K143" s="19"/>
      <c r="L143" s="19"/>
      <c r="M143" s="19"/>
      <c r="N143" s="19"/>
      <c r="O143" s="19">
        <f>SUM(TABELA2567[[#This Row],[T1]:[T7]])</f>
        <v>0</v>
      </c>
      <c r="P143" s="21">
        <f>TABELA2567[[#This Row],[QTDE]]*TABELA2567[[#This Row],[PREÇO]]</f>
        <v>0</v>
      </c>
    </row>
    <row r="144" spans="1:16" x14ac:dyDescent="0.2">
      <c r="A144" s="1" t="str">
        <f>TRIM(TABELA2567[[#This Row],[PRODUTO]])&amp;TRIM(TABELA2567[[#This Row],[COR]])</f>
        <v>25.03.03825217</v>
      </c>
      <c r="B144" s="18" t="s">
        <v>330</v>
      </c>
      <c r="C144" s="19" t="s">
        <v>331</v>
      </c>
      <c r="D144" s="19" t="s">
        <v>101</v>
      </c>
      <c r="E144" s="19" t="s">
        <v>104</v>
      </c>
      <c r="F144" s="20">
        <v>132.57</v>
      </c>
      <c r="G144" s="19" t="s">
        <v>66</v>
      </c>
      <c r="H144" s="19"/>
      <c r="I144" s="19"/>
      <c r="J144" s="19"/>
      <c r="K144" s="19"/>
      <c r="L144" s="19"/>
      <c r="M144" s="19"/>
      <c r="N144" s="19"/>
      <c r="O144" s="19">
        <f>SUM(TABELA2567[[#This Row],[T1]:[T7]])</f>
        <v>0</v>
      </c>
      <c r="P144" s="21">
        <f>TABELA2567[[#This Row],[QTDE]]*TABELA2567[[#This Row],[PREÇO]]</f>
        <v>0</v>
      </c>
    </row>
    <row r="145" spans="1:16" x14ac:dyDescent="0.2">
      <c r="A145" s="1" t="str">
        <f>TRIM(TABELA2567[[#This Row],[PRODUTO]])&amp;TRIM(TABELA2567[[#This Row],[COR]])</f>
        <v>25.03.03830101</v>
      </c>
      <c r="B145" s="18" t="s">
        <v>332</v>
      </c>
      <c r="C145" s="19" t="s">
        <v>333</v>
      </c>
      <c r="D145" s="19" t="s">
        <v>36</v>
      </c>
      <c r="E145" s="19" t="s">
        <v>37</v>
      </c>
      <c r="F145" s="20">
        <v>184.41</v>
      </c>
      <c r="G145" s="19" t="s">
        <v>66</v>
      </c>
      <c r="H145" s="19"/>
      <c r="I145" s="19"/>
      <c r="J145" s="19"/>
      <c r="K145" s="19"/>
      <c r="L145" s="19"/>
      <c r="M145" s="19"/>
      <c r="N145" s="19"/>
      <c r="O145" s="19">
        <f>SUM(TABELA2567[[#This Row],[T1]:[T7]])</f>
        <v>0</v>
      </c>
      <c r="P145" s="21">
        <f>TABELA2567[[#This Row],[QTDE]]*TABELA2567[[#This Row],[PREÇO]]</f>
        <v>0</v>
      </c>
    </row>
    <row r="146" spans="1:16" x14ac:dyDescent="0.2">
      <c r="A146" s="1" t="str">
        <f>TRIM(TABELA2567[[#This Row],[PRODUTO]])&amp;TRIM(TABELA2567[[#This Row],[COR]])</f>
        <v>25.03.03850105</v>
      </c>
      <c r="B146" s="18" t="s">
        <v>334</v>
      </c>
      <c r="C146" s="19" t="s">
        <v>335</v>
      </c>
      <c r="D146" s="19" t="s">
        <v>32</v>
      </c>
      <c r="E146" s="19" t="s">
        <v>33</v>
      </c>
      <c r="F146" s="20">
        <v>165.89</v>
      </c>
      <c r="G146" s="19" t="s">
        <v>66</v>
      </c>
      <c r="H146" s="19"/>
      <c r="I146" s="19"/>
      <c r="J146" s="19"/>
      <c r="K146" s="19"/>
      <c r="L146" s="19"/>
      <c r="M146" s="19"/>
      <c r="N146" s="19"/>
      <c r="O146" s="19">
        <f>SUM(TABELA2567[[#This Row],[T1]:[T7]])</f>
        <v>0</v>
      </c>
      <c r="P146" s="21">
        <f>TABELA2567[[#This Row],[QTDE]]*TABELA2567[[#This Row],[PREÇO]]</f>
        <v>0</v>
      </c>
    </row>
    <row r="147" spans="1:16" x14ac:dyDescent="0.2">
      <c r="A147" s="1" t="str">
        <f>TRIM(TABELA2567[[#This Row],[PRODUTO]])&amp;TRIM(TABELA2567[[#This Row],[COR]])</f>
        <v>25.03.03860003</v>
      </c>
      <c r="B147" s="18" t="s">
        <v>336</v>
      </c>
      <c r="C147" s="19" t="s">
        <v>337</v>
      </c>
      <c r="D147" s="19" t="s">
        <v>34</v>
      </c>
      <c r="E147" s="19" t="s">
        <v>35</v>
      </c>
      <c r="F147" s="20">
        <v>165.89</v>
      </c>
      <c r="G147" s="19" t="s">
        <v>66</v>
      </c>
      <c r="H147" s="19"/>
      <c r="I147" s="19"/>
      <c r="J147" s="19"/>
      <c r="K147" s="19"/>
      <c r="L147" s="19"/>
      <c r="M147" s="19"/>
      <c r="N147" s="19"/>
      <c r="O147" s="19">
        <f>SUM(TABELA2567[[#This Row],[T1]:[T7]])</f>
        <v>0</v>
      </c>
      <c r="P147" s="21">
        <f>TABELA2567[[#This Row],[QTDE]]*TABELA2567[[#This Row],[PREÇO]]</f>
        <v>0</v>
      </c>
    </row>
    <row r="148" spans="1:16" x14ac:dyDescent="0.2">
      <c r="A148" s="1" t="str">
        <f>TRIM(TABELA2567[[#This Row],[PRODUTO]])&amp;TRIM(TABELA2567[[#This Row],[COR]])</f>
        <v>25.03.03911410</v>
      </c>
      <c r="B148" s="18" t="s">
        <v>338</v>
      </c>
      <c r="C148" s="19" t="s">
        <v>339</v>
      </c>
      <c r="D148" s="19" t="s">
        <v>219</v>
      </c>
      <c r="E148" s="19" t="s">
        <v>220</v>
      </c>
      <c r="F148" s="20">
        <v>165.89</v>
      </c>
      <c r="G148" s="19" t="s">
        <v>66</v>
      </c>
      <c r="H148" s="19"/>
      <c r="I148" s="19"/>
      <c r="J148" s="19"/>
      <c r="K148" s="19"/>
      <c r="L148" s="19"/>
      <c r="M148" s="19"/>
      <c r="N148" s="19"/>
      <c r="O148" s="19">
        <f>SUM(TABELA2567[[#This Row],[T1]:[T7]])</f>
        <v>0</v>
      </c>
      <c r="P148" s="21">
        <f>TABELA2567[[#This Row],[QTDE]]*TABELA2567[[#This Row],[PREÇO]]</f>
        <v>0</v>
      </c>
    </row>
    <row r="149" spans="1:16" x14ac:dyDescent="0.2">
      <c r="A149" s="1" t="str">
        <f>TRIM(TABELA2567[[#This Row],[PRODUTO]])&amp;TRIM(TABELA2567[[#This Row],[COR]])</f>
        <v>25.05.340727630</v>
      </c>
      <c r="B149" s="18" t="s">
        <v>340</v>
      </c>
      <c r="C149" s="19" t="s">
        <v>341</v>
      </c>
      <c r="D149" s="19" t="s">
        <v>153</v>
      </c>
      <c r="E149" s="19" t="s">
        <v>154</v>
      </c>
      <c r="F149" s="20">
        <v>110.35</v>
      </c>
      <c r="G149" s="19" t="s">
        <v>39</v>
      </c>
      <c r="H149" s="19"/>
      <c r="I149" s="19"/>
      <c r="J149" s="19"/>
      <c r="K149" s="19"/>
      <c r="L149" s="19"/>
      <c r="M149" s="19"/>
      <c r="N149" s="19"/>
      <c r="O149" s="19">
        <f>SUM(TABELA2567[[#This Row],[T1]:[T7]])</f>
        <v>0</v>
      </c>
      <c r="P149" s="21">
        <f>TABELA2567[[#This Row],[QTDE]]*TABELA2567[[#This Row],[PREÇO]]</f>
        <v>0</v>
      </c>
    </row>
    <row r="150" spans="1:16" x14ac:dyDescent="0.2">
      <c r="A150" s="1" t="str">
        <f>TRIM(TABELA2567[[#This Row],[PRODUTO]])&amp;TRIM(TABELA2567[[#This Row],[COR]])</f>
        <v>25.05.340827685</v>
      </c>
      <c r="B150" s="18" t="s">
        <v>342</v>
      </c>
      <c r="C150" s="19" t="s">
        <v>343</v>
      </c>
      <c r="D150" s="19" t="s">
        <v>165</v>
      </c>
      <c r="E150" s="19" t="s">
        <v>166</v>
      </c>
      <c r="F150" s="20">
        <v>95.54</v>
      </c>
      <c r="G150" s="19" t="s">
        <v>31</v>
      </c>
      <c r="H150" s="19"/>
      <c r="I150" s="19"/>
      <c r="J150" s="19"/>
      <c r="K150" s="19"/>
      <c r="L150" s="19"/>
      <c r="M150" s="19"/>
      <c r="N150" s="19"/>
      <c r="O150" s="19">
        <f>SUM(TABELA2567[[#This Row],[T1]:[T7]])</f>
        <v>0</v>
      </c>
      <c r="P150" s="21">
        <f>TABELA2567[[#This Row],[QTDE]]*TABELA2567[[#This Row],[PREÇO]]</f>
        <v>0</v>
      </c>
    </row>
    <row r="151" spans="1:16" x14ac:dyDescent="0.2">
      <c r="A151" s="1" t="str">
        <f>TRIM(TABELA2567[[#This Row],[PRODUTO]])&amp;TRIM(TABELA2567[[#This Row],[COR]])</f>
        <v>25.05.341027629</v>
      </c>
      <c r="B151" s="18" t="s">
        <v>344</v>
      </c>
      <c r="C151" s="19" t="s">
        <v>345</v>
      </c>
      <c r="D151" s="19" t="s">
        <v>182</v>
      </c>
      <c r="E151" s="19" t="s">
        <v>183</v>
      </c>
      <c r="F151" s="20">
        <v>102.94</v>
      </c>
      <c r="G151" s="19" t="s">
        <v>31</v>
      </c>
      <c r="H151" s="19"/>
      <c r="I151" s="19"/>
      <c r="J151" s="19"/>
      <c r="K151" s="19"/>
      <c r="L151" s="19"/>
      <c r="M151" s="19"/>
      <c r="N151" s="19"/>
      <c r="O151" s="19">
        <f>SUM(TABELA2567[[#This Row],[T1]:[T7]])</f>
        <v>0</v>
      </c>
      <c r="P151" s="21">
        <f>TABELA2567[[#This Row],[QTDE]]*TABELA2567[[#This Row],[PREÇO]]</f>
        <v>0</v>
      </c>
    </row>
    <row r="152" spans="1:16" x14ac:dyDescent="0.2">
      <c r="A152" s="1" t="str">
        <f>TRIM(TABELA2567[[#This Row],[PRODUTO]])&amp;TRIM(TABELA2567[[#This Row],[COR]])</f>
        <v>25.05.34180400</v>
      </c>
      <c r="B152" s="18" t="s">
        <v>346</v>
      </c>
      <c r="C152" s="19" t="s">
        <v>347</v>
      </c>
      <c r="D152" s="19" t="s">
        <v>46</v>
      </c>
      <c r="E152" s="19" t="s">
        <v>307</v>
      </c>
      <c r="F152" s="20">
        <v>110.35</v>
      </c>
      <c r="G152" s="19" t="s">
        <v>44</v>
      </c>
      <c r="H152" s="19"/>
      <c r="I152" s="19"/>
      <c r="J152" s="19"/>
      <c r="K152" s="19"/>
      <c r="L152" s="19"/>
      <c r="M152" s="19"/>
      <c r="N152" s="19"/>
      <c r="O152" s="19">
        <f>SUM(TABELA2567[[#This Row],[T1]:[T7]])</f>
        <v>0</v>
      </c>
      <c r="P152" s="21">
        <f>TABELA2567[[#This Row],[QTDE]]*TABELA2567[[#This Row],[PREÇO]]</f>
        <v>0</v>
      </c>
    </row>
    <row r="153" spans="1:16" x14ac:dyDescent="0.2">
      <c r="A153" s="1" t="str">
        <f>TRIM(TABELA2567[[#This Row],[PRODUTO]])&amp;TRIM(TABELA2567[[#This Row],[COR]])</f>
        <v>25.05.34191410</v>
      </c>
      <c r="B153" s="18" t="s">
        <v>348</v>
      </c>
      <c r="C153" s="19" t="s">
        <v>349</v>
      </c>
      <c r="D153" s="19" t="s">
        <v>219</v>
      </c>
      <c r="E153" s="19" t="s">
        <v>220</v>
      </c>
      <c r="F153" s="20">
        <v>147.38</v>
      </c>
      <c r="G153" s="19" t="s">
        <v>259</v>
      </c>
      <c r="H153" s="19"/>
      <c r="I153" s="19"/>
      <c r="J153" s="19"/>
      <c r="K153" s="19"/>
      <c r="L153" s="19"/>
      <c r="M153" s="19"/>
      <c r="N153" s="19"/>
      <c r="O153" s="19">
        <f>SUM(TABELA2567[[#This Row],[T1]:[T7]])</f>
        <v>0</v>
      </c>
      <c r="P153" s="21">
        <f>TABELA2567[[#This Row],[QTDE]]*TABELA2567[[#This Row],[PREÇO]]</f>
        <v>0</v>
      </c>
    </row>
    <row r="154" spans="1:16" x14ac:dyDescent="0.2">
      <c r="A154" s="1" t="str">
        <f>TRIM(TABELA2567[[#This Row],[PRODUTO]])&amp;TRIM(TABELA2567[[#This Row],[COR]])</f>
        <v>25.05.34203918</v>
      </c>
      <c r="B154" s="18" t="s">
        <v>350</v>
      </c>
      <c r="C154" s="19" t="s">
        <v>351</v>
      </c>
      <c r="D154" s="19" t="s">
        <v>112</v>
      </c>
      <c r="E154" s="19" t="s">
        <v>113</v>
      </c>
      <c r="F154" s="20">
        <v>128.86000000000001</v>
      </c>
      <c r="G154" s="19" t="s">
        <v>221</v>
      </c>
      <c r="H154" s="19"/>
      <c r="I154" s="19"/>
      <c r="J154" s="19"/>
      <c r="K154" s="19"/>
      <c r="L154" s="19"/>
      <c r="M154" s="19"/>
      <c r="N154" s="19"/>
      <c r="O154" s="19">
        <f>SUM(TABELA2567[[#This Row],[T1]:[T7]])</f>
        <v>0</v>
      </c>
      <c r="P154" s="21">
        <f>TABELA2567[[#This Row],[QTDE]]*TABELA2567[[#This Row],[PREÇO]]</f>
        <v>0</v>
      </c>
    </row>
    <row r="155" spans="1:16" x14ac:dyDescent="0.2">
      <c r="A155" s="1" t="str">
        <f>TRIM(TABELA2567[[#This Row],[PRODUTO]])&amp;TRIM(TABELA2567[[#This Row],[COR]])</f>
        <v>25.05.34220400</v>
      </c>
      <c r="B155" s="18" t="s">
        <v>352</v>
      </c>
      <c r="C155" s="19" t="s">
        <v>353</v>
      </c>
      <c r="D155" s="19" t="s">
        <v>46</v>
      </c>
      <c r="E155" s="19" t="s">
        <v>57</v>
      </c>
      <c r="F155" s="20">
        <v>232.55</v>
      </c>
      <c r="G155" s="19" t="s">
        <v>31</v>
      </c>
      <c r="H155" s="19"/>
      <c r="I155" s="19"/>
      <c r="J155" s="19"/>
      <c r="K155" s="19"/>
      <c r="L155" s="19"/>
      <c r="M155" s="19"/>
      <c r="N155" s="19"/>
      <c r="O155" s="19">
        <f>SUM(TABELA2567[[#This Row],[T1]:[T7]])</f>
        <v>0</v>
      </c>
      <c r="P155" s="21">
        <f>TABELA2567[[#This Row],[QTDE]]*TABELA2567[[#This Row],[PREÇO]]</f>
        <v>0</v>
      </c>
    </row>
    <row r="156" spans="1:16" x14ac:dyDescent="0.2">
      <c r="A156" s="1" t="str">
        <f>TRIM(TABELA2567[[#This Row],[PRODUTO]])&amp;TRIM(TABELA2567[[#This Row],[COR]])</f>
        <v>25.05.34260003</v>
      </c>
      <c r="B156" s="18" t="s">
        <v>354</v>
      </c>
      <c r="C156" s="19" t="s">
        <v>355</v>
      </c>
      <c r="D156" s="19" t="s">
        <v>34</v>
      </c>
      <c r="E156" s="19" t="s">
        <v>35</v>
      </c>
      <c r="F156" s="20">
        <v>158.49</v>
      </c>
      <c r="G156" s="19" t="s">
        <v>76</v>
      </c>
      <c r="H156" s="19"/>
      <c r="I156" s="19"/>
      <c r="J156" s="19"/>
      <c r="K156" s="19"/>
      <c r="L156" s="19"/>
      <c r="M156" s="19"/>
      <c r="N156" s="19"/>
      <c r="O156" s="19">
        <f>SUM(TABELA2567[[#This Row],[T1]:[T7]])</f>
        <v>0</v>
      </c>
      <c r="P156" s="21">
        <f>TABELA2567[[#This Row],[QTDE]]*TABELA2567[[#This Row],[PREÇO]]</f>
        <v>0</v>
      </c>
    </row>
    <row r="157" spans="1:16" x14ac:dyDescent="0.2">
      <c r="A157" s="1" t="str">
        <f>TRIM(TABELA2567[[#This Row],[PRODUTO]])&amp;TRIM(TABELA2567[[#This Row],[COR]])</f>
        <v>25.05.34262441</v>
      </c>
      <c r="B157" s="18" t="s">
        <v>354</v>
      </c>
      <c r="C157" s="19" t="s">
        <v>355</v>
      </c>
      <c r="D157" s="19" t="s">
        <v>62</v>
      </c>
      <c r="E157" s="19" t="s">
        <v>137</v>
      </c>
      <c r="F157" s="20">
        <v>158.49</v>
      </c>
      <c r="G157" s="19" t="s">
        <v>76</v>
      </c>
      <c r="H157" s="19"/>
      <c r="I157" s="19"/>
      <c r="J157" s="19"/>
      <c r="K157" s="19"/>
      <c r="L157" s="19"/>
      <c r="M157" s="19"/>
      <c r="N157" s="19"/>
      <c r="O157" s="19">
        <f>SUM(TABELA2567[[#This Row],[T1]:[T7]])</f>
        <v>0</v>
      </c>
      <c r="P157" s="21">
        <f>TABELA2567[[#This Row],[QTDE]]*TABELA2567[[#This Row],[PREÇO]]</f>
        <v>0</v>
      </c>
    </row>
    <row r="158" spans="1:16" x14ac:dyDescent="0.2">
      <c r="A158" s="1" t="str">
        <f>TRIM(TABELA2567[[#This Row],[PRODUTO]])&amp;TRIM(TABELA2567[[#This Row],[COR]])</f>
        <v>25.05.34270062</v>
      </c>
      <c r="B158" s="18" t="s">
        <v>356</v>
      </c>
      <c r="C158" s="19" t="s">
        <v>357</v>
      </c>
      <c r="D158" s="19" t="s">
        <v>47</v>
      </c>
      <c r="E158" s="19" t="s">
        <v>358</v>
      </c>
      <c r="F158" s="20">
        <v>110.35</v>
      </c>
      <c r="G158" s="19" t="s">
        <v>66</v>
      </c>
      <c r="H158" s="19"/>
      <c r="I158" s="19"/>
      <c r="J158" s="19"/>
      <c r="K158" s="19"/>
      <c r="L158" s="19"/>
      <c r="M158" s="19"/>
      <c r="N158" s="19"/>
      <c r="O158" s="19">
        <f>SUM(TABELA2567[[#This Row],[T1]:[T7]])</f>
        <v>0</v>
      </c>
      <c r="P158" s="21">
        <f>TABELA2567[[#This Row],[QTDE]]*TABELA2567[[#This Row],[PREÇO]]</f>
        <v>0</v>
      </c>
    </row>
    <row r="159" spans="1:16" x14ac:dyDescent="0.2">
      <c r="A159" s="1" t="str">
        <f>TRIM(TABELA2567[[#This Row],[PRODUTO]])&amp;TRIM(TABELA2567[[#This Row],[COR]])</f>
        <v>25.05.34270830</v>
      </c>
      <c r="B159" s="18" t="s">
        <v>356</v>
      </c>
      <c r="C159" s="19" t="s">
        <v>357</v>
      </c>
      <c r="D159" s="19" t="s">
        <v>79</v>
      </c>
      <c r="E159" s="19" t="s">
        <v>80</v>
      </c>
      <c r="F159" s="20">
        <v>110.35</v>
      </c>
      <c r="G159" s="19" t="s">
        <v>66</v>
      </c>
      <c r="H159" s="19"/>
      <c r="I159" s="19"/>
      <c r="J159" s="19"/>
      <c r="K159" s="19"/>
      <c r="L159" s="19"/>
      <c r="M159" s="19"/>
      <c r="N159" s="19"/>
      <c r="O159" s="19">
        <f>SUM(TABELA2567[[#This Row],[T1]:[T7]])</f>
        <v>0</v>
      </c>
      <c r="P159" s="21">
        <f>TABELA2567[[#This Row],[QTDE]]*TABELA2567[[#This Row],[PREÇO]]</f>
        <v>0</v>
      </c>
    </row>
    <row r="160" spans="1:16" x14ac:dyDescent="0.2">
      <c r="A160" s="1" t="str">
        <f>TRIM(TABELA2567[[#This Row],[PRODUTO]])&amp;TRIM(TABELA2567[[#This Row],[COR]])</f>
        <v>25.05.34291565</v>
      </c>
      <c r="B160" s="18" t="s">
        <v>359</v>
      </c>
      <c r="C160" s="19" t="s">
        <v>360</v>
      </c>
      <c r="D160" s="19" t="s">
        <v>208</v>
      </c>
      <c r="E160" s="19" t="s">
        <v>209</v>
      </c>
      <c r="F160" s="20">
        <v>147.38</v>
      </c>
      <c r="G160" s="19" t="s">
        <v>66</v>
      </c>
      <c r="H160" s="19"/>
      <c r="I160" s="19"/>
      <c r="J160" s="19"/>
      <c r="K160" s="19"/>
      <c r="L160" s="19"/>
      <c r="M160" s="19"/>
      <c r="N160" s="19"/>
      <c r="O160" s="19">
        <f>SUM(TABELA2567[[#This Row],[T1]:[T7]])</f>
        <v>0</v>
      </c>
      <c r="P160" s="21">
        <f>TABELA2567[[#This Row],[QTDE]]*TABELA2567[[#This Row],[PREÇO]]</f>
        <v>0</v>
      </c>
    </row>
    <row r="161" spans="1:16" x14ac:dyDescent="0.2">
      <c r="A161" s="1" t="str">
        <f>TRIM(TABELA2567[[#This Row],[PRODUTO]])&amp;TRIM(TABELA2567[[#This Row],[COR]])</f>
        <v>25.05.34300105</v>
      </c>
      <c r="B161" s="18" t="s">
        <v>361</v>
      </c>
      <c r="C161" s="19" t="s">
        <v>362</v>
      </c>
      <c r="D161" s="19" t="s">
        <v>32</v>
      </c>
      <c r="E161" s="19" t="s">
        <v>33</v>
      </c>
      <c r="F161" s="20">
        <v>221.44</v>
      </c>
      <c r="G161" s="19" t="s">
        <v>66</v>
      </c>
      <c r="H161" s="19"/>
      <c r="I161" s="19"/>
      <c r="J161" s="19"/>
      <c r="K161" s="19"/>
      <c r="L161" s="19"/>
      <c r="M161" s="19"/>
      <c r="N161" s="19"/>
      <c r="O161" s="19">
        <f>SUM(TABELA2567[[#This Row],[T1]:[T7]])</f>
        <v>0</v>
      </c>
      <c r="P161" s="21">
        <f>TABELA2567[[#This Row],[QTDE]]*TABELA2567[[#This Row],[PREÇO]]</f>
        <v>0</v>
      </c>
    </row>
    <row r="162" spans="1:16" x14ac:dyDescent="0.2">
      <c r="A162" s="1" t="str">
        <f>TRIM(TABELA2567[[#This Row],[PRODUTO]])&amp;TRIM(TABELA2567[[#This Row],[COR]])</f>
        <v>25.05.34310101</v>
      </c>
      <c r="B162" s="18" t="s">
        <v>363</v>
      </c>
      <c r="C162" s="19" t="s">
        <v>364</v>
      </c>
      <c r="D162" s="19" t="s">
        <v>36</v>
      </c>
      <c r="E162" s="19" t="s">
        <v>37</v>
      </c>
      <c r="F162" s="20">
        <v>139.97</v>
      </c>
      <c r="G162" s="19" t="s">
        <v>66</v>
      </c>
      <c r="H162" s="19"/>
      <c r="I162" s="19"/>
      <c r="J162" s="19"/>
      <c r="K162" s="19"/>
      <c r="L162" s="19"/>
      <c r="M162" s="19"/>
      <c r="N162" s="19"/>
      <c r="O162" s="19">
        <f>SUM(TABELA2567[[#This Row],[T1]:[T7]])</f>
        <v>0</v>
      </c>
      <c r="P162" s="21">
        <f>TABELA2567[[#This Row],[QTDE]]*TABELA2567[[#This Row],[PREÇO]]</f>
        <v>0</v>
      </c>
    </row>
    <row r="163" spans="1:16" x14ac:dyDescent="0.2">
      <c r="A163" s="1" t="str">
        <f>TRIM(TABELA2567[[#This Row],[PRODUTO]])&amp;TRIM(TABELA2567[[#This Row],[COR]])</f>
        <v>25.05.34320101</v>
      </c>
      <c r="B163" s="18" t="s">
        <v>365</v>
      </c>
      <c r="C163" s="19" t="s">
        <v>366</v>
      </c>
      <c r="D163" s="19" t="s">
        <v>36</v>
      </c>
      <c r="E163" s="19" t="s">
        <v>37</v>
      </c>
      <c r="F163" s="20">
        <v>125.16</v>
      </c>
      <c r="G163" s="19" t="s">
        <v>66</v>
      </c>
      <c r="H163" s="19"/>
      <c r="I163" s="19"/>
      <c r="J163" s="19"/>
      <c r="K163" s="19"/>
      <c r="L163" s="19"/>
      <c r="M163" s="19"/>
      <c r="N163" s="19"/>
      <c r="O163" s="19">
        <f>SUM(TABELA2567[[#This Row],[T1]:[T7]])</f>
        <v>0</v>
      </c>
      <c r="P163" s="21">
        <f>TABELA2567[[#This Row],[QTDE]]*TABELA2567[[#This Row],[PREÇO]]</f>
        <v>0</v>
      </c>
    </row>
    <row r="164" spans="1:16" x14ac:dyDescent="0.2">
      <c r="A164" s="1" t="str">
        <f>TRIM(TABELA2567[[#This Row],[PRODUTO]])&amp;TRIM(TABELA2567[[#This Row],[COR]])</f>
        <v>25.05.34330101</v>
      </c>
      <c r="B164" s="18" t="s">
        <v>367</v>
      </c>
      <c r="C164" s="19" t="s">
        <v>368</v>
      </c>
      <c r="D164" s="19" t="s">
        <v>36</v>
      </c>
      <c r="E164" s="19" t="s">
        <v>37</v>
      </c>
      <c r="F164" s="20">
        <v>202.92</v>
      </c>
      <c r="G164" s="19" t="s">
        <v>66</v>
      </c>
      <c r="H164" s="19"/>
      <c r="I164" s="19"/>
      <c r="J164" s="19"/>
      <c r="K164" s="19"/>
      <c r="L164" s="19"/>
      <c r="M164" s="19"/>
      <c r="N164" s="19"/>
      <c r="O164" s="19">
        <f>SUM(TABELA2567[[#This Row],[T1]:[T7]])</f>
        <v>0</v>
      </c>
      <c r="P164" s="21">
        <f>TABELA2567[[#This Row],[QTDE]]*TABELA2567[[#This Row],[PREÇO]]</f>
        <v>0</v>
      </c>
    </row>
    <row r="165" spans="1:16" x14ac:dyDescent="0.2">
      <c r="A165" s="1" t="str">
        <f>TRIM(TABELA2567[[#This Row],[PRODUTO]])&amp;TRIM(TABELA2567[[#This Row],[COR]])</f>
        <v>25.05.34340101</v>
      </c>
      <c r="B165" s="18" t="s">
        <v>369</v>
      </c>
      <c r="C165" s="19" t="s">
        <v>370</v>
      </c>
      <c r="D165" s="19" t="s">
        <v>36</v>
      </c>
      <c r="E165" s="19" t="s">
        <v>37</v>
      </c>
      <c r="F165" s="20">
        <v>139.97</v>
      </c>
      <c r="G165" s="19" t="s">
        <v>66</v>
      </c>
      <c r="H165" s="19"/>
      <c r="I165" s="19"/>
      <c r="J165" s="19"/>
      <c r="K165" s="19"/>
      <c r="L165" s="19"/>
      <c r="M165" s="19"/>
      <c r="N165" s="19"/>
      <c r="O165" s="19">
        <f>SUM(TABELA2567[[#This Row],[T1]:[T7]])</f>
        <v>0</v>
      </c>
      <c r="P165" s="21">
        <f>TABELA2567[[#This Row],[QTDE]]*TABELA2567[[#This Row],[PREÇO]]</f>
        <v>0</v>
      </c>
    </row>
    <row r="166" spans="1:16" x14ac:dyDescent="0.2">
      <c r="A166" s="1" t="str">
        <f>TRIM(TABELA2567[[#This Row],[PRODUTO]])&amp;TRIM(TABELA2567[[#This Row],[COR]])</f>
        <v>25.05.34360011</v>
      </c>
      <c r="B166" s="18" t="s">
        <v>371</v>
      </c>
      <c r="C166" s="19" t="s">
        <v>372</v>
      </c>
      <c r="D166" s="19" t="s">
        <v>48</v>
      </c>
      <c r="E166" s="19" t="s">
        <v>373</v>
      </c>
      <c r="F166" s="20">
        <v>132.57</v>
      </c>
      <c r="G166" s="19" t="s">
        <v>76</v>
      </c>
      <c r="H166" s="19"/>
      <c r="I166" s="19"/>
      <c r="J166" s="19"/>
      <c r="K166" s="19"/>
      <c r="L166" s="19"/>
      <c r="M166" s="19"/>
      <c r="N166" s="19"/>
      <c r="O166" s="19">
        <f>SUM(TABELA2567[[#This Row],[T1]:[T7]])</f>
        <v>0</v>
      </c>
      <c r="P166" s="21">
        <f>TABELA2567[[#This Row],[QTDE]]*TABELA2567[[#This Row],[PREÇO]]</f>
        <v>0</v>
      </c>
    </row>
    <row r="167" spans="1:16" x14ac:dyDescent="0.2">
      <c r="A167" s="1" t="str">
        <f>TRIM(TABELA2567[[#This Row],[PRODUTO]])&amp;TRIM(TABELA2567[[#This Row],[COR]])</f>
        <v>25.05.34370003</v>
      </c>
      <c r="B167" s="18" t="s">
        <v>374</v>
      </c>
      <c r="C167" s="19" t="s">
        <v>375</v>
      </c>
      <c r="D167" s="19" t="s">
        <v>34</v>
      </c>
      <c r="E167" s="19" t="s">
        <v>35</v>
      </c>
      <c r="F167" s="20">
        <v>276.98</v>
      </c>
      <c r="G167" s="19" t="s">
        <v>66</v>
      </c>
      <c r="H167" s="19"/>
      <c r="I167" s="19"/>
      <c r="J167" s="19"/>
      <c r="K167" s="19"/>
      <c r="L167" s="19"/>
      <c r="M167" s="19"/>
      <c r="N167" s="19"/>
      <c r="O167" s="19">
        <f>SUM(TABELA2567[[#This Row],[T1]:[T7]])</f>
        <v>0</v>
      </c>
      <c r="P167" s="21">
        <f>TABELA2567[[#This Row],[QTDE]]*TABELA2567[[#This Row],[PREÇO]]</f>
        <v>0</v>
      </c>
    </row>
    <row r="168" spans="1:16" x14ac:dyDescent="0.2">
      <c r="A168" s="1" t="str">
        <f>TRIM(TABELA2567[[#This Row],[PRODUTO]])&amp;TRIM(TABELA2567[[#This Row],[COR]])</f>
        <v>25.05.34380105</v>
      </c>
      <c r="B168" s="18" t="s">
        <v>376</v>
      </c>
      <c r="C168" s="19" t="s">
        <v>377</v>
      </c>
      <c r="D168" s="19" t="s">
        <v>32</v>
      </c>
      <c r="E168" s="19" t="s">
        <v>33</v>
      </c>
      <c r="F168" s="20">
        <v>158.49</v>
      </c>
      <c r="G168" s="19" t="s">
        <v>66</v>
      </c>
      <c r="H168" s="19"/>
      <c r="I168" s="19"/>
      <c r="J168" s="19"/>
      <c r="K168" s="19"/>
      <c r="L168" s="19"/>
      <c r="M168" s="19"/>
      <c r="N168" s="19"/>
      <c r="O168" s="19">
        <f>SUM(TABELA2567[[#This Row],[T1]:[T7]])</f>
        <v>0</v>
      </c>
      <c r="P168" s="21">
        <f>TABELA2567[[#This Row],[QTDE]]*TABELA2567[[#This Row],[PREÇO]]</f>
        <v>0</v>
      </c>
    </row>
    <row r="169" spans="1:16" x14ac:dyDescent="0.2">
      <c r="A169" s="1" t="str">
        <f>TRIM(TABELA2567[[#This Row],[PRODUTO]])&amp;TRIM(TABELA2567[[#This Row],[COR]])</f>
        <v>25.05.34410105</v>
      </c>
      <c r="B169" s="18" t="s">
        <v>378</v>
      </c>
      <c r="C169" s="19" t="s">
        <v>379</v>
      </c>
      <c r="D169" s="19" t="s">
        <v>32</v>
      </c>
      <c r="E169" s="19" t="s">
        <v>33</v>
      </c>
      <c r="F169" s="20">
        <v>295.5</v>
      </c>
      <c r="G169" s="19" t="s">
        <v>66</v>
      </c>
      <c r="H169" s="19"/>
      <c r="I169" s="19"/>
      <c r="J169" s="19"/>
      <c r="K169" s="19"/>
      <c r="L169" s="19"/>
      <c r="M169" s="19"/>
      <c r="N169" s="19"/>
      <c r="O169" s="19">
        <f>SUM(TABELA2567[[#This Row],[T1]:[T7]])</f>
        <v>0</v>
      </c>
      <c r="P169" s="21">
        <f>TABELA2567[[#This Row],[QTDE]]*TABELA2567[[#This Row],[PREÇO]]</f>
        <v>0</v>
      </c>
    </row>
    <row r="170" spans="1:16" x14ac:dyDescent="0.2">
      <c r="A170" s="1" t="str">
        <f>TRIM(TABELA2567[[#This Row],[PRODUTO]])&amp;TRIM(TABELA2567[[#This Row],[COR]])</f>
        <v>25.05.34420101</v>
      </c>
      <c r="B170" s="18" t="s">
        <v>380</v>
      </c>
      <c r="C170" s="19" t="s">
        <v>381</v>
      </c>
      <c r="D170" s="19" t="s">
        <v>36</v>
      </c>
      <c r="E170" s="19" t="s">
        <v>37</v>
      </c>
      <c r="F170" s="20">
        <v>125.16</v>
      </c>
      <c r="G170" s="19" t="s">
        <v>66</v>
      </c>
      <c r="H170" s="19"/>
      <c r="I170" s="19"/>
      <c r="J170" s="19"/>
      <c r="K170" s="19"/>
      <c r="L170" s="19"/>
      <c r="M170" s="19"/>
      <c r="N170" s="19"/>
      <c r="O170" s="19">
        <f>SUM(TABELA2567[[#This Row],[T1]:[T7]])</f>
        <v>0</v>
      </c>
      <c r="P170" s="21">
        <f>TABELA2567[[#This Row],[QTDE]]*TABELA2567[[#This Row],[PREÇO]]</f>
        <v>0</v>
      </c>
    </row>
    <row r="171" spans="1:16" x14ac:dyDescent="0.2">
      <c r="A171" s="1" t="str">
        <f>TRIM(TABELA2567[[#This Row],[PRODUTO]])&amp;TRIM(TABELA2567[[#This Row],[COR]])</f>
        <v>25.05.34430101</v>
      </c>
      <c r="B171" s="18" t="s">
        <v>382</v>
      </c>
      <c r="C171" s="19" t="s">
        <v>383</v>
      </c>
      <c r="D171" s="19" t="s">
        <v>36</v>
      </c>
      <c r="E171" s="19" t="s">
        <v>37</v>
      </c>
      <c r="F171" s="20">
        <v>184.41</v>
      </c>
      <c r="G171" s="19" t="s">
        <v>66</v>
      </c>
      <c r="H171" s="19"/>
      <c r="I171" s="19"/>
      <c r="J171" s="19"/>
      <c r="K171" s="19"/>
      <c r="L171" s="19"/>
      <c r="M171" s="19"/>
      <c r="N171" s="19"/>
      <c r="O171" s="19">
        <f>SUM(TABELA2567[[#This Row],[T1]:[T7]])</f>
        <v>0</v>
      </c>
      <c r="P171" s="21">
        <f>TABELA2567[[#This Row],[QTDE]]*TABELA2567[[#This Row],[PREÇO]]</f>
        <v>0</v>
      </c>
    </row>
    <row r="172" spans="1:16" x14ac:dyDescent="0.2">
      <c r="A172" s="1" t="str">
        <f>TRIM(TABELA2567[[#This Row],[PRODUTO]])&amp;TRIM(TABELA2567[[#This Row],[COR]])</f>
        <v>25.05.344427621</v>
      </c>
      <c r="B172" s="18" t="s">
        <v>384</v>
      </c>
      <c r="C172" s="19" t="s">
        <v>385</v>
      </c>
      <c r="D172" s="19" t="s">
        <v>386</v>
      </c>
      <c r="E172" s="19" t="s">
        <v>387</v>
      </c>
      <c r="F172" s="20">
        <v>147.38</v>
      </c>
      <c r="G172" s="19" t="s">
        <v>66</v>
      </c>
      <c r="H172" s="19"/>
      <c r="I172" s="19"/>
      <c r="J172" s="19"/>
      <c r="K172" s="19"/>
      <c r="L172" s="19"/>
      <c r="M172" s="19"/>
      <c r="N172" s="19"/>
      <c r="O172" s="19">
        <f>SUM(TABELA2567[[#This Row],[T1]:[T7]])</f>
        <v>0</v>
      </c>
      <c r="P172" s="21">
        <f>TABELA2567[[#This Row],[QTDE]]*TABELA2567[[#This Row],[PREÇO]]</f>
        <v>0</v>
      </c>
    </row>
    <row r="173" spans="1:16" x14ac:dyDescent="0.2">
      <c r="A173" s="1" t="str">
        <f>TRIM(TABELA2567[[#This Row],[PRODUTO]])&amp;TRIM(TABELA2567[[#This Row],[COR]])</f>
        <v>25.05.34450062</v>
      </c>
      <c r="B173" s="18" t="s">
        <v>388</v>
      </c>
      <c r="C173" s="19" t="s">
        <v>389</v>
      </c>
      <c r="D173" s="19" t="s">
        <v>47</v>
      </c>
      <c r="E173" s="19" t="s">
        <v>390</v>
      </c>
      <c r="F173" s="20">
        <v>139.97</v>
      </c>
      <c r="G173" s="19" t="s">
        <v>76</v>
      </c>
      <c r="H173" s="19"/>
      <c r="I173" s="19"/>
      <c r="J173" s="19"/>
      <c r="K173" s="19"/>
      <c r="L173" s="19"/>
      <c r="M173" s="19"/>
      <c r="N173" s="19"/>
      <c r="O173" s="19">
        <f>SUM(TABELA2567[[#This Row],[T1]:[T7]])</f>
        <v>0</v>
      </c>
      <c r="P173" s="21">
        <f>TABELA2567[[#This Row],[QTDE]]*TABELA2567[[#This Row],[PREÇO]]</f>
        <v>0</v>
      </c>
    </row>
    <row r="174" spans="1:16" x14ac:dyDescent="0.2">
      <c r="A174" s="1" t="str">
        <f>TRIM(TABELA2567[[#This Row],[PRODUTO]])&amp;TRIM(TABELA2567[[#This Row],[COR]])</f>
        <v>25.05.34455217</v>
      </c>
      <c r="B174" s="18" t="s">
        <v>388</v>
      </c>
      <c r="C174" s="19" t="s">
        <v>389</v>
      </c>
      <c r="D174" s="19" t="s">
        <v>101</v>
      </c>
      <c r="E174" s="19" t="s">
        <v>80</v>
      </c>
      <c r="F174" s="20">
        <v>139.97</v>
      </c>
      <c r="G174" s="19" t="s">
        <v>76</v>
      </c>
      <c r="H174" s="19"/>
      <c r="I174" s="19"/>
      <c r="J174" s="19"/>
      <c r="K174" s="19"/>
      <c r="L174" s="19"/>
      <c r="M174" s="19"/>
      <c r="N174" s="19"/>
      <c r="O174" s="19">
        <f>SUM(TABELA2567[[#This Row],[T1]:[T7]])</f>
        <v>0</v>
      </c>
      <c r="P174" s="21">
        <f>TABELA2567[[#This Row],[QTDE]]*TABELA2567[[#This Row],[PREÇO]]</f>
        <v>0</v>
      </c>
    </row>
    <row r="175" spans="1:16" x14ac:dyDescent="0.2">
      <c r="A175" s="1" t="str">
        <f>TRIM(TABELA2567[[#This Row],[PRODUTO]])&amp;TRIM(TABELA2567[[#This Row],[COR]])</f>
        <v>25.05.34460003</v>
      </c>
      <c r="B175" s="18" t="s">
        <v>391</v>
      </c>
      <c r="C175" s="19" t="s">
        <v>392</v>
      </c>
      <c r="D175" s="19" t="s">
        <v>34</v>
      </c>
      <c r="E175" s="19" t="s">
        <v>35</v>
      </c>
      <c r="F175" s="20">
        <v>147.38</v>
      </c>
      <c r="G175" s="19" t="s">
        <v>66</v>
      </c>
      <c r="H175" s="19"/>
      <c r="I175" s="19"/>
      <c r="J175" s="19"/>
      <c r="K175" s="19"/>
      <c r="L175" s="19"/>
      <c r="M175" s="19"/>
      <c r="N175" s="19"/>
      <c r="O175" s="19">
        <f>SUM(TABELA2567[[#This Row],[T1]:[T7]])</f>
        <v>0</v>
      </c>
      <c r="P175" s="21">
        <f>TABELA2567[[#This Row],[QTDE]]*TABELA2567[[#This Row],[PREÇO]]</f>
        <v>0</v>
      </c>
    </row>
    <row r="176" spans="1:16" x14ac:dyDescent="0.2">
      <c r="A176" s="1" t="str">
        <f>TRIM(TABELA2567[[#This Row],[PRODUTO]])&amp;TRIM(TABELA2567[[#This Row],[COR]])</f>
        <v>25.05.34470011</v>
      </c>
      <c r="B176" s="18" t="s">
        <v>393</v>
      </c>
      <c r="C176" s="19" t="s">
        <v>394</v>
      </c>
      <c r="D176" s="19" t="s">
        <v>48</v>
      </c>
      <c r="E176" s="19" t="s">
        <v>395</v>
      </c>
      <c r="F176" s="20">
        <v>147.38</v>
      </c>
      <c r="G176" s="19" t="s">
        <v>66</v>
      </c>
      <c r="H176" s="19"/>
      <c r="I176" s="19"/>
      <c r="J176" s="19"/>
      <c r="K176" s="19"/>
      <c r="L176" s="19"/>
      <c r="M176" s="19"/>
      <c r="N176" s="19"/>
      <c r="O176" s="19">
        <f>SUM(TABELA2567[[#This Row],[T1]:[T7]])</f>
        <v>0</v>
      </c>
      <c r="P176" s="21">
        <f>TABELA2567[[#This Row],[QTDE]]*TABELA2567[[#This Row],[PREÇO]]</f>
        <v>0</v>
      </c>
    </row>
    <row r="177" spans="1:16" x14ac:dyDescent="0.2">
      <c r="A177" s="1" t="str">
        <f>TRIM(TABELA2567[[#This Row],[PRODUTO]])&amp;TRIM(TABELA2567[[#This Row],[COR]])</f>
        <v>25.05.34471617</v>
      </c>
      <c r="B177" s="18" t="s">
        <v>393</v>
      </c>
      <c r="C177" s="19" t="s">
        <v>394</v>
      </c>
      <c r="D177" s="19" t="s">
        <v>140</v>
      </c>
      <c r="E177" s="19" t="s">
        <v>396</v>
      </c>
      <c r="F177" s="20">
        <v>147.38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SUM(TABELA2567[[#This Row],[T1]:[T7]])</f>
        <v>0</v>
      </c>
      <c r="P177" s="21">
        <f>TABELA2567[[#This Row],[QTDE]]*TABELA2567[[#This Row],[PREÇO]]</f>
        <v>0</v>
      </c>
    </row>
    <row r="178" spans="1:16" x14ac:dyDescent="0.2">
      <c r="A178" s="1" t="str">
        <f>TRIM(TABELA2567[[#This Row],[PRODUTO]])&amp;TRIM(TABELA2567[[#This Row],[COR]])</f>
        <v>25.05.34490101</v>
      </c>
      <c r="B178" s="18" t="s">
        <v>397</v>
      </c>
      <c r="C178" s="19" t="s">
        <v>398</v>
      </c>
      <c r="D178" s="19" t="s">
        <v>36</v>
      </c>
      <c r="E178" s="19" t="s">
        <v>37</v>
      </c>
      <c r="F178" s="20">
        <v>147.38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SUM(TABELA2567[[#This Row],[T1]:[T7]])</f>
        <v>0</v>
      </c>
      <c r="P178" s="21">
        <f>TABELA2567[[#This Row],[QTDE]]*TABELA2567[[#This Row],[PREÇO]]</f>
        <v>0</v>
      </c>
    </row>
    <row r="179" spans="1:16" x14ac:dyDescent="0.2">
      <c r="A179" s="1" t="str">
        <f>TRIM(TABELA2567[[#This Row],[PRODUTO]])&amp;TRIM(TABELA2567[[#This Row],[COR]])</f>
        <v>25.05.34531858</v>
      </c>
      <c r="B179" s="18" t="s">
        <v>399</v>
      </c>
      <c r="C179" s="19" t="s">
        <v>400</v>
      </c>
      <c r="D179" s="19" t="s">
        <v>60</v>
      </c>
      <c r="E179" s="19" t="s">
        <v>61</v>
      </c>
      <c r="F179" s="20">
        <v>147.38</v>
      </c>
      <c r="G179" s="19" t="s">
        <v>31</v>
      </c>
      <c r="H179" s="19"/>
      <c r="I179" s="19"/>
      <c r="J179" s="19"/>
      <c r="K179" s="19"/>
      <c r="L179" s="19"/>
      <c r="M179" s="19"/>
      <c r="N179" s="19"/>
      <c r="O179" s="19">
        <f>SUM(TABELA2567[[#This Row],[T1]:[T7]])</f>
        <v>0</v>
      </c>
      <c r="P179" s="21">
        <f>TABELA2567[[#This Row],[QTDE]]*TABELA2567[[#This Row],[PREÇO]]</f>
        <v>0</v>
      </c>
    </row>
    <row r="180" spans="1:16" x14ac:dyDescent="0.2">
      <c r="A180" s="1" t="str">
        <f>TRIM(TABELA2567[[#This Row],[PRODUTO]])&amp;TRIM(TABELA2567[[#This Row],[COR]])</f>
        <v>25.05.34532441</v>
      </c>
      <c r="B180" s="18" t="s">
        <v>399</v>
      </c>
      <c r="C180" s="19" t="s">
        <v>400</v>
      </c>
      <c r="D180" s="19" t="s">
        <v>62</v>
      </c>
      <c r="E180" s="19" t="s">
        <v>63</v>
      </c>
      <c r="F180" s="20">
        <v>147.38</v>
      </c>
      <c r="G180" s="19" t="s">
        <v>31</v>
      </c>
      <c r="H180" s="19"/>
      <c r="I180" s="19"/>
      <c r="J180" s="19"/>
      <c r="K180" s="19"/>
      <c r="L180" s="19"/>
      <c r="M180" s="19"/>
      <c r="N180" s="19"/>
      <c r="O180" s="19">
        <f>SUM(TABELA2567[[#This Row],[T1]:[T7]])</f>
        <v>0</v>
      </c>
      <c r="P180" s="21">
        <f>TABELA2567[[#This Row],[QTDE]]*TABELA2567[[#This Row],[PREÇO]]</f>
        <v>0</v>
      </c>
    </row>
    <row r="181" spans="1:16" x14ac:dyDescent="0.2">
      <c r="A181" s="1" t="str">
        <f>TRIM(TABELA2567[[#This Row],[PRODUTO]])&amp;TRIM(TABELA2567[[#This Row],[COR]])</f>
        <v>25.05.34541617</v>
      </c>
      <c r="B181" s="18" t="s">
        <v>401</v>
      </c>
      <c r="C181" s="19" t="s">
        <v>402</v>
      </c>
      <c r="D181" s="19" t="s">
        <v>140</v>
      </c>
      <c r="E181" s="19" t="s">
        <v>141</v>
      </c>
      <c r="F181" s="20">
        <v>158.49</v>
      </c>
      <c r="G181" s="19" t="s">
        <v>31</v>
      </c>
      <c r="H181" s="19"/>
      <c r="I181" s="19"/>
      <c r="J181" s="19"/>
      <c r="K181" s="19"/>
      <c r="L181" s="19"/>
      <c r="M181" s="19"/>
      <c r="N181" s="19"/>
      <c r="O181" s="19">
        <f>SUM(TABELA2567[[#This Row],[T1]:[T7]])</f>
        <v>0</v>
      </c>
      <c r="P181" s="21">
        <f>TABELA2567[[#This Row],[QTDE]]*TABELA2567[[#This Row],[PREÇO]]</f>
        <v>0</v>
      </c>
    </row>
    <row r="182" spans="1:16" x14ac:dyDescent="0.2">
      <c r="A182" s="1" t="str">
        <f>TRIM(TABELA2567[[#This Row],[PRODUTO]])&amp;TRIM(TABELA2567[[#This Row],[COR]])</f>
        <v>25.05.34543918</v>
      </c>
      <c r="B182" s="18" t="s">
        <v>401</v>
      </c>
      <c r="C182" s="19" t="s">
        <v>402</v>
      </c>
      <c r="D182" s="19" t="s">
        <v>112</v>
      </c>
      <c r="E182" s="19" t="s">
        <v>403</v>
      </c>
      <c r="F182" s="20">
        <v>158.49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SUM(TABELA2567[[#This Row],[T1]:[T7]])</f>
        <v>0</v>
      </c>
      <c r="P182" s="21">
        <f>TABELA2567[[#This Row],[QTDE]]*TABELA2567[[#This Row],[PREÇO]]</f>
        <v>0</v>
      </c>
    </row>
    <row r="183" spans="1:16" x14ac:dyDescent="0.2">
      <c r="A183" s="1" t="str">
        <f>TRIM(TABELA2567[[#This Row],[PRODUTO]])&amp;TRIM(TABELA2567[[#This Row],[COR]])</f>
        <v>25.05.34711858</v>
      </c>
      <c r="B183" s="18" t="s">
        <v>404</v>
      </c>
      <c r="C183" s="19" t="s">
        <v>405</v>
      </c>
      <c r="D183" s="19" t="s">
        <v>60</v>
      </c>
      <c r="E183" s="19" t="s">
        <v>61</v>
      </c>
      <c r="F183" s="20">
        <v>184.41</v>
      </c>
      <c r="G183" s="19" t="s">
        <v>66</v>
      </c>
      <c r="H183" s="19"/>
      <c r="I183" s="19"/>
      <c r="J183" s="19"/>
      <c r="K183" s="19"/>
      <c r="L183" s="19"/>
      <c r="M183" s="19"/>
      <c r="N183" s="19"/>
      <c r="O183" s="19">
        <f>SUM(TABELA2567[[#This Row],[T1]:[T7]])</f>
        <v>0</v>
      </c>
      <c r="P183" s="21">
        <f>TABELA2567[[#This Row],[QTDE]]*TABELA2567[[#This Row],[PREÇO]]</f>
        <v>0</v>
      </c>
    </row>
    <row r="184" spans="1:16" x14ac:dyDescent="0.2">
      <c r="A184" s="1" t="str">
        <f>TRIM(TABELA2567[[#This Row],[PRODUTO]])&amp;TRIM(TABELA2567[[#This Row],[COR]])</f>
        <v>25.05.34720101</v>
      </c>
      <c r="B184" s="18" t="s">
        <v>406</v>
      </c>
      <c r="C184" s="19" t="s">
        <v>407</v>
      </c>
      <c r="D184" s="19" t="s">
        <v>36</v>
      </c>
      <c r="E184" s="19" t="s">
        <v>37</v>
      </c>
      <c r="F184" s="20">
        <v>110.35</v>
      </c>
      <c r="G184" s="19" t="s">
        <v>66</v>
      </c>
      <c r="H184" s="19"/>
      <c r="I184" s="19"/>
      <c r="J184" s="19"/>
      <c r="K184" s="19"/>
      <c r="L184" s="19"/>
      <c r="M184" s="19"/>
      <c r="N184" s="19"/>
      <c r="O184" s="19">
        <f>SUM(TABELA2567[[#This Row],[T1]:[T7]])</f>
        <v>0</v>
      </c>
      <c r="P184" s="21">
        <f>TABELA2567[[#This Row],[QTDE]]*TABELA2567[[#This Row],[PREÇO]]</f>
        <v>0</v>
      </c>
    </row>
    <row r="185" spans="1:16" x14ac:dyDescent="0.2">
      <c r="A185" s="1" t="str">
        <f>TRIM(TABELA2567[[#This Row],[PRODUTO]])&amp;TRIM(TABELA2567[[#This Row],[COR]])</f>
        <v>25.05.34940101</v>
      </c>
      <c r="B185" s="18" t="s">
        <v>408</v>
      </c>
      <c r="C185" s="19" t="s">
        <v>409</v>
      </c>
      <c r="D185" s="19" t="s">
        <v>36</v>
      </c>
      <c r="E185" s="19" t="s">
        <v>37</v>
      </c>
      <c r="F185" s="20">
        <v>147.38</v>
      </c>
      <c r="G185" s="19" t="s">
        <v>66</v>
      </c>
      <c r="H185" s="19"/>
      <c r="I185" s="19"/>
      <c r="J185" s="19"/>
      <c r="K185" s="19"/>
      <c r="L185" s="19"/>
      <c r="M185" s="19"/>
      <c r="N185" s="19"/>
      <c r="O185" s="19">
        <f>SUM(TABELA2567[[#This Row],[T1]:[T7]])</f>
        <v>0</v>
      </c>
      <c r="P185" s="21">
        <f>TABELA2567[[#This Row],[QTDE]]*TABELA2567[[#This Row],[PREÇO]]</f>
        <v>0</v>
      </c>
    </row>
    <row r="186" spans="1:16" x14ac:dyDescent="0.2">
      <c r="A186" s="1" t="str">
        <f>TRIM(TABELA2567[[#This Row],[PRODUTO]])&amp;TRIM(TABELA2567[[#This Row],[COR]])</f>
        <v>25.05.34962441</v>
      </c>
      <c r="B186" s="18" t="s">
        <v>410</v>
      </c>
      <c r="C186" s="19" t="s">
        <v>411</v>
      </c>
      <c r="D186" s="19" t="s">
        <v>62</v>
      </c>
      <c r="E186" s="19" t="s">
        <v>63</v>
      </c>
      <c r="F186" s="20">
        <v>147.38</v>
      </c>
      <c r="G186" s="19" t="s">
        <v>66</v>
      </c>
      <c r="H186" s="19"/>
      <c r="I186" s="19"/>
      <c r="J186" s="19"/>
      <c r="K186" s="19"/>
      <c r="L186" s="19"/>
      <c r="M186" s="19"/>
      <c r="N186" s="19"/>
      <c r="O186" s="19">
        <f>SUM(TABELA2567[[#This Row],[T1]:[T7]])</f>
        <v>0</v>
      </c>
      <c r="P186" s="21">
        <f>TABELA2567[[#This Row],[QTDE]]*TABELA2567[[#This Row],[PREÇO]]</f>
        <v>0</v>
      </c>
    </row>
    <row r="187" spans="1:16" x14ac:dyDescent="0.2">
      <c r="A187" s="1" t="str">
        <f>TRIM(TABELA2567[[#This Row],[PRODUTO]])&amp;TRIM(TABELA2567[[#This Row],[COR]])</f>
        <v>25.05.34975230</v>
      </c>
      <c r="B187" s="18" t="s">
        <v>412</v>
      </c>
      <c r="C187" s="19" t="s">
        <v>413</v>
      </c>
      <c r="D187" s="19" t="s">
        <v>212</v>
      </c>
      <c r="E187" s="19" t="s">
        <v>35</v>
      </c>
      <c r="F187" s="20">
        <v>110.35</v>
      </c>
      <c r="G187" s="19" t="s">
        <v>259</v>
      </c>
      <c r="H187" s="19"/>
      <c r="I187" s="19"/>
      <c r="J187" s="19"/>
      <c r="K187" s="19"/>
      <c r="L187" s="19"/>
      <c r="M187" s="19"/>
      <c r="N187" s="19"/>
      <c r="O187" s="19">
        <f>SUM(TABELA2567[[#This Row],[T1]:[T7]])</f>
        <v>0</v>
      </c>
      <c r="P187" s="21">
        <f>TABELA2567[[#This Row],[QTDE]]*TABELA2567[[#This Row],[PREÇO]]</f>
        <v>0</v>
      </c>
    </row>
    <row r="188" spans="1:16" x14ac:dyDescent="0.2">
      <c r="A188" s="1" t="str">
        <f>TRIM(TABELA2567[[#This Row],[PRODUTO]])&amp;TRIM(TABELA2567[[#This Row],[COR]])</f>
        <v>25.05.34975297</v>
      </c>
      <c r="B188" s="18" t="s">
        <v>412</v>
      </c>
      <c r="C188" s="19" t="s">
        <v>413</v>
      </c>
      <c r="D188" s="19" t="s">
        <v>414</v>
      </c>
      <c r="E188" s="19" t="s">
        <v>415</v>
      </c>
      <c r="F188" s="20">
        <v>110.35</v>
      </c>
      <c r="G188" s="19" t="s">
        <v>259</v>
      </c>
      <c r="H188" s="19"/>
      <c r="I188" s="19"/>
      <c r="J188" s="19"/>
      <c r="K188" s="19"/>
      <c r="L188" s="19"/>
      <c r="M188" s="19"/>
      <c r="N188" s="19"/>
      <c r="O188" s="19">
        <f>SUM(TABELA2567[[#This Row],[T1]:[T7]])</f>
        <v>0</v>
      </c>
      <c r="P188" s="21">
        <f>TABELA2567[[#This Row],[QTDE]]*TABELA2567[[#This Row],[PREÇO]]</f>
        <v>0</v>
      </c>
    </row>
    <row r="189" spans="1:16" x14ac:dyDescent="0.2">
      <c r="A189" s="1" t="str">
        <f>TRIM(TABELA2567[[#This Row],[PRODUTO]])&amp;TRIM(TABELA2567[[#This Row],[COR]])</f>
        <v>25.05.35070105</v>
      </c>
      <c r="B189" s="18" t="s">
        <v>416</v>
      </c>
      <c r="C189" s="19" t="s">
        <v>417</v>
      </c>
      <c r="D189" s="19" t="s">
        <v>32</v>
      </c>
      <c r="E189" s="19" t="s">
        <v>33</v>
      </c>
      <c r="F189" s="20">
        <v>221.44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SUM(TABELA2567[[#This Row],[T1]:[T7]])</f>
        <v>0</v>
      </c>
      <c r="P189" s="21">
        <f>TABELA2567[[#This Row],[QTDE]]*TABELA2567[[#This Row],[PREÇO]]</f>
        <v>0</v>
      </c>
    </row>
    <row r="190" spans="1:16" x14ac:dyDescent="0.2">
      <c r="A190" s="1" t="str">
        <f>TRIM(TABELA2567[[#This Row],[PRODUTO]])&amp;TRIM(TABELA2567[[#This Row],[COR]])</f>
        <v>25.05.351027631</v>
      </c>
      <c r="B190" s="18" t="s">
        <v>418</v>
      </c>
      <c r="C190" s="19" t="s">
        <v>1612</v>
      </c>
      <c r="D190" s="19" t="s">
        <v>168</v>
      </c>
      <c r="E190" s="19" t="s">
        <v>169</v>
      </c>
      <c r="F190" s="20">
        <v>110.35</v>
      </c>
      <c r="G190" s="19" t="s">
        <v>39</v>
      </c>
      <c r="H190" s="19"/>
      <c r="I190" s="19"/>
      <c r="J190" s="19"/>
      <c r="K190" s="19"/>
      <c r="L190" s="19"/>
      <c r="M190" s="19"/>
      <c r="N190" s="19"/>
      <c r="O190" s="19">
        <f>SUM(TABELA2567[[#This Row],[T1]:[T7]])</f>
        <v>0</v>
      </c>
      <c r="P190" s="21">
        <f>TABELA2567[[#This Row],[QTDE]]*TABELA2567[[#This Row],[PREÇO]]</f>
        <v>0</v>
      </c>
    </row>
    <row r="191" spans="1:16" x14ac:dyDescent="0.2">
      <c r="A191" s="1" t="str">
        <f>TRIM(TABELA2567[[#This Row],[PRODUTO]])&amp;TRIM(TABELA2567[[#This Row],[COR]])</f>
        <v>25.30.01100003</v>
      </c>
      <c r="B191" s="18" t="s">
        <v>419</v>
      </c>
      <c r="C191" s="19" t="s">
        <v>420</v>
      </c>
      <c r="D191" s="19" t="s">
        <v>34</v>
      </c>
      <c r="E191" s="19" t="s">
        <v>35</v>
      </c>
      <c r="F191" s="20">
        <v>147.38</v>
      </c>
      <c r="G191" s="19" t="s">
        <v>44</v>
      </c>
      <c r="H191" s="19"/>
      <c r="I191" s="19"/>
      <c r="J191" s="19"/>
      <c r="K191" s="19"/>
      <c r="L191" s="19"/>
      <c r="M191" s="19"/>
      <c r="N191" s="19"/>
      <c r="O191" s="19">
        <f>SUM(TABELA2567[[#This Row],[T1]:[T7]])</f>
        <v>0</v>
      </c>
      <c r="P191" s="21">
        <f>TABELA2567[[#This Row],[QTDE]]*TABELA2567[[#This Row],[PREÇO]]</f>
        <v>0</v>
      </c>
    </row>
    <row r="192" spans="1:16" x14ac:dyDescent="0.2">
      <c r="A192" s="1" t="str">
        <f>TRIM(TABELA2567[[#This Row],[PRODUTO]])&amp;TRIM(TABELA2567[[#This Row],[COR]])</f>
        <v>25.30.01102441</v>
      </c>
      <c r="B192" s="18" t="s">
        <v>419</v>
      </c>
      <c r="C192" s="19" t="s">
        <v>420</v>
      </c>
      <c r="D192" s="19" t="s">
        <v>62</v>
      </c>
      <c r="E192" s="19" t="s">
        <v>63</v>
      </c>
      <c r="F192" s="20">
        <v>147.38</v>
      </c>
      <c r="G192" s="19" t="s">
        <v>44</v>
      </c>
      <c r="H192" s="19"/>
      <c r="I192" s="19"/>
      <c r="J192" s="19"/>
      <c r="K192" s="19"/>
      <c r="L192" s="19"/>
      <c r="M192" s="19"/>
      <c r="N192" s="19"/>
      <c r="O192" s="19">
        <f>SUM(TABELA2567[[#This Row],[T1]:[T7]])</f>
        <v>0</v>
      </c>
      <c r="P192" s="21">
        <f>TABELA2567[[#This Row],[QTDE]]*TABELA2567[[#This Row],[PREÇO]]</f>
        <v>0</v>
      </c>
    </row>
    <row r="193" spans="1:16" x14ac:dyDescent="0.2">
      <c r="A193" s="1" t="str">
        <f>TRIM(TABELA2567[[#This Row],[PRODUTO]])&amp;TRIM(TABELA2567[[#This Row],[COR]])</f>
        <v>25.31.01201565</v>
      </c>
      <c r="B193" s="18" t="s">
        <v>421</v>
      </c>
      <c r="C193" s="19" t="s">
        <v>422</v>
      </c>
      <c r="D193" s="19" t="s">
        <v>208</v>
      </c>
      <c r="E193" s="19" t="s">
        <v>209</v>
      </c>
      <c r="F193" s="20">
        <v>110.35</v>
      </c>
      <c r="G193" s="19" t="s">
        <v>44</v>
      </c>
      <c r="H193" s="19"/>
      <c r="I193" s="19"/>
      <c r="J193" s="19"/>
      <c r="K193" s="19"/>
      <c r="L193" s="19"/>
      <c r="M193" s="19"/>
      <c r="N193" s="19"/>
      <c r="O193" s="19">
        <f>SUM(TABELA2567[[#This Row],[T1]:[T7]])</f>
        <v>0</v>
      </c>
      <c r="P193" s="21">
        <f>TABELA2567[[#This Row],[QTDE]]*TABELA2567[[#This Row],[PREÇO]]</f>
        <v>0</v>
      </c>
    </row>
    <row r="194" spans="1:16" x14ac:dyDescent="0.2">
      <c r="A194" s="1" t="str">
        <f>TRIM(TABELA2567[[#This Row],[PRODUTO]])&amp;TRIM(TABELA2567[[#This Row],[COR]])</f>
        <v>25.31.01221617</v>
      </c>
      <c r="B194" s="18" t="s">
        <v>423</v>
      </c>
      <c r="C194" s="19" t="s">
        <v>424</v>
      </c>
      <c r="D194" s="19" t="s">
        <v>140</v>
      </c>
      <c r="E194" s="19" t="s">
        <v>141</v>
      </c>
      <c r="F194" s="20">
        <v>184.41</v>
      </c>
      <c r="G194" s="19" t="s">
        <v>31</v>
      </c>
      <c r="H194" s="19"/>
      <c r="I194" s="19"/>
      <c r="J194" s="19"/>
      <c r="K194" s="19"/>
      <c r="L194" s="19"/>
      <c r="M194" s="19"/>
      <c r="N194" s="19"/>
      <c r="O194" s="19">
        <f>SUM(TABELA2567[[#This Row],[T1]:[T7]])</f>
        <v>0</v>
      </c>
      <c r="P194" s="21">
        <f>TABELA2567[[#This Row],[QTDE]]*TABELA2567[[#This Row],[PREÇO]]</f>
        <v>0</v>
      </c>
    </row>
    <row r="195" spans="1:16" x14ac:dyDescent="0.2">
      <c r="A195" s="1" t="str">
        <f>TRIM(TABELA2567[[#This Row],[PRODUTO]])&amp;TRIM(TABELA2567[[#This Row],[COR]])</f>
        <v>25.31.01230011</v>
      </c>
      <c r="B195" s="18" t="s">
        <v>425</v>
      </c>
      <c r="C195" s="19" t="s">
        <v>426</v>
      </c>
      <c r="D195" s="19" t="s">
        <v>48</v>
      </c>
      <c r="E195" s="19" t="s">
        <v>254</v>
      </c>
      <c r="F195" s="20">
        <v>110.35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SUM(TABELA2567[[#This Row],[T1]:[T7]])</f>
        <v>0</v>
      </c>
      <c r="P195" s="21">
        <f>TABELA2567[[#This Row],[QTDE]]*TABELA2567[[#This Row],[PREÇO]]</f>
        <v>0</v>
      </c>
    </row>
    <row r="196" spans="1:16" x14ac:dyDescent="0.2">
      <c r="A196" s="1" t="str">
        <f>TRIM(TABELA2567[[#This Row],[PRODUTO]])&amp;TRIM(TABELA2567[[#This Row],[COR]])</f>
        <v>25.31.01231858</v>
      </c>
      <c r="B196" s="18" t="s">
        <v>425</v>
      </c>
      <c r="C196" s="19" t="s">
        <v>426</v>
      </c>
      <c r="D196" s="19" t="s">
        <v>60</v>
      </c>
      <c r="E196" s="19" t="s">
        <v>61</v>
      </c>
      <c r="F196" s="20">
        <v>110.35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SUM(TABELA2567[[#This Row],[T1]:[T7]])</f>
        <v>0</v>
      </c>
      <c r="P196" s="21">
        <f>TABELA2567[[#This Row],[QTDE]]*TABELA2567[[#This Row],[PREÇO]]</f>
        <v>0</v>
      </c>
    </row>
    <row r="197" spans="1:16" x14ac:dyDescent="0.2">
      <c r="A197" s="1" t="str">
        <f>TRIM(TABELA2567[[#This Row],[PRODUTO]])&amp;TRIM(TABELA2567[[#This Row],[COR]])</f>
        <v>25.31.01240101</v>
      </c>
      <c r="B197" s="18" t="s">
        <v>427</v>
      </c>
      <c r="C197" s="19" t="s">
        <v>428</v>
      </c>
      <c r="D197" s="19" t="s">
        <v>36</v>
      </c>
      <c r="E197" s="19" t="s">
        <v>37</v>
      </c>
      <c r="F197" s="20">
        <v>132.57</v>
      </c>
      <c r="G197" s="19" t="s">
        <v>66</v>
      </c>
      <c r="H197" s="19"/>
      <c r="I197" s="19"/>
      <c r="J197" s="19"/>
      <c r="K197" s="19"/>
      <c r="L197" s="19"/>
      <c r="M197" s="19"/>
      <c r="N197" s="19"/>
      <c r="O197" s="19">
        <f>SUM(TABELA2567[[#This Row],[T1]:[T7]])</f>
        <v>0</v>
      </c>
      <c r="P197" s="21">
        <f>TABELA2567[[#This Row],[QTDE]]*TABELA2567[[#This Row],[PREÇO]]</f>
        <v>0</v>
      </c>
    </row>
    <row r="198" spans="1:16" x14ac:dyDescent="0.2">
      <c r="A198" s="1" t="str">
        <f>TRIM(TABELA2567[[#This Row],[PRODUTO]])&amp;TRIM(TABELA2567[[#This Row],[COR]])</f>
        <v>25.31.01250101</v>
      </c>
      <c r="B198" s="18" t="s">
        <v>429</v>
      </c>
      <c r="C198" s="19" t="s">
        <v>430</v>
      </c>
      <c r="D198" s="19" t="s">
        <v>36</v>
      </c>
      <c r="E198" s="19" t="s">
        <v>37</v>
      </c>
      <c r="F198" s="20">
        <v>177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SUM(TABELA2567[[#This Row],[T1]:[T7]])</f>
        <v>0</v>
      </c>
      <c r="P198" s="21">
        <f>TABELA2567[[#This Row],[QTDE]]*TABELA2567[[#This Row],[PREÇO]]</f>
        <v>0</v>
      </c>
    </row>
    <row r="199" spans="1:16" x14ac:dyDescent="0.2">
      <c r="A199" s="1" t="str">
        <f>TRIM(TABELA2567[[#This Row],[PRODUTO]])&amp;TRIM(TABELA2567[[#This Row],[COR]])</f>
        <v>25.31.01260003</v>
      </c>
      <c r="B199" s="18" t="s">
        <v>431</v>
      </c>
      <c r="C199" s="19" t="s">
        <v>432</v>
      </c>
      <c r="D199" s="19" t="s">
        <v>34</v>
      </c>
      <c r="E199" s="19" t="s">
        <v>35</v>
      </c>
      <c r="F199" s="20">
        <v>177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SUM(TABELA2567[[#This Row],[T1]:[T7]])</f>
        <v>0</v>
      </c>
      <c r="P199" s="21">
        <f>TABELA2567[[#This Row],[QTDE]]*TABELA2567[[#This Row],[PREÇO]]</f>
        <v>0</v>
      </c>
    </row>
    <row r="200" spans="1:16" x14ac:dyDescent="0.2">
      <c r="A200" s="1" t="str">
        <f>TRIM(TABELA2567[[#This Row],[PRODUTO]])&amp;TRIM(TABELA2567[[#This Row],[COR]])</f>
        <v>25.31.01280015</v>
      </c>
      <c r="B200" s="18" t="s">
        <v>433</v>
      </c>
      <c r="C200" s="19" t="s">
        <v>434</v>
      </c>
      <c r="D200" s="19" t="s">
        <v>49</v>
      </c>
      <c r="E200" s="19" t="s">
        <v>435</v>
      </c>
      <c r="F200" s="20">
        <v>147.38</v>
      </c>
      <c r="G200" s="19" t="s">
        <v>31</v>
      </c>
      <c r="H200" s="19"/>
      <c r="I200" s="19"/>
      <c r="J200" s="19"/>
      <c r="K200" s="19"/>
      <c r="L200" s="19"/>
      <c r="M200" s="19"/>
      <c r="N200" s="19"/>
      <c r="O200" s="19">
        <f>SUM(TABELA2567[[#This Row],[T1]:[T7]])</f>
        <v>0</v>
      </c>
      <c r="P200" s="21">
        <f>TABELA2567[[#This Row],[QTDE]]*TABELA2567[[#This Row],[PREÇO]]</f>
        <v>0</v>
      </c>
    </row>
    <row r="201" spans="1:16" x14ac:dyDescent="0.2">
      <c r="A201" s="1" t="str">
        <f>TRIM(TABELA2567[[#This Row],[PRODUTO]])&amp;TRIM(TABELA2567[[#This Row],[COR]])</f>
        <v>25.31.01290105</v>
      </c>
      <c r="B201" s="18" t="s">
        <v>436</v>
      </c>
      <c r="C201" s="19" t="s">
        <v>437</v>
      </c>
      <c r="D201" s="19" t="s">
        <v>32</v>
      </c>
      <c r="E201" s="19" t="s">
        <v>33</v>
      </c>
      <c r="F201" s="20">
        <v>110.35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SUM(TABELA2567[[#This Row],[T1]:[T7]])</f>
        <v>0</v>
      </c>
      <c r="P201" s="21">
        <f>TABELA2567[[#This Row],[QTDE]]*TABELA2567[[#This Row],[PREÇO]]</f>
        <v>0</v>
      </c>
    </row>
    <row r="202" spans="1:16" x14ac:dyDescent="0.2">
      <c r="A202" s="1" t="str">
        <f>TRIM(TABELA2567[[#This Row],[PRODUTO]])&amp;TRIM(TABELA2567[[#This Row],[COR]])</f>
        <v>25.31.01310003</v>
      </c>
      <c r="B202" s="18" t="s">
        <v>438</v>
      </c>
      <c r="C202" s="19" t="s">
        <v>439</v>
      </c>
      <c r="D202" s="19" t="s">
        <v>34</v>
      </c>
      <c r="E202" s="19" t="s">
        <v>35</v>
      </c>
      <c r="F202" s="20">
        <v>221.44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SUM(TABELA2567[[#This Row],[T1]:[T7]])</f>
        <v>0</v>
      </c>
      <c r="P202" s="21">
        <f>TABELA2567[[#This Row],[QTDE]]*TABELA2567[[#This Row],[PREÇO]]</f>
        <v>0</v>
      </c>
    </row>
    <row r="203" spans="1:16" x14ac:dyDescent="0.2">
      <c r="A203" s="1" t="str">
        <f>TRIM(TABELA2567[[#This Row],[PRODUTO]])&amp;TRIM(TABELA2567[[#This Row],[COR]])</f>
        <v>25.31.01310400</v>
      </c>
      <c r="B203" s="18" t="s">
        <v>438</v>
      </c>
      <c r="C203" s="19" t="s">
        <v>439</v>
      </c>
      <c r="D203" s="19" t="s">
        <v>46</v>
      </c>
      <c r="E203" s="19" t="s">
        <v>307</v>
      </c>
      <c r="F203" s="20">
        <v>221.44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SUM(TABELA2567[[#This Row],[T1]:[T7]])</f>
        <v>0</v>
      </c>
      <c r="P203" s="21">
        <f>TABELA2567[[#This Row],[QTDE]]*TABELA2567[[#This Row],[PREÇO]]</f>
        <v>0</v>
      </c>
    </row>
    <row r="204" spans="1:16" x14ac:dyDescent="0.2">
      <c r="A204" s="1" t="str">
        <f>TRIM(TABELA2567[[#This Row],[PRODUTO]])&amp;TRIM(TABELA2567[[#This Row],[COR]])</f>
        <v>52.07.00670105</v>
      </c>
      <c r="B204" s="18" t="s">
        <v>440</v>
      </c>
      <c r="C204" s="19" t="s">
        <v>441</v>
      </c>
      <c r="D204" s="19" t="s">
        <v>32</v>
      </c>
      <c r="E204" s="19" t="s">
        <v>33</v>
      </c>
      <c r="F204" s="20">
        <v>239.95</v>
      </c>
      <c r="G204" s="19" t="s">
        <v>44</v>
      </c>
      <c r="H204" s="19"/>
      <c r="I204" s="19"/>
      <c r="J204" s="19"/>
      <c r="K204" s="19"/>
      <c r="L204" s="19"/>
      <c r="M204" s="19"/>
      <c r="N204" s="19"/>
      <c r="O204" s="19">
        <f>SUM(TABELA2567[[#This Row],[T1]:[T7]])</f>
        <v>0</v>
      </c>
      <c r="P204" s="21">
        <f>TABELA2567[[#This Row],[QTDE]]*TABELA2567[[#This Row],[PREÇO]]</f>
        <v>0</v>
      </c>
    </row>
    <row r="205" spans="1:16" x14ac:dyDescent="0.2">
      <c r="A205" s="1" t="str">
        <f>TRIM(TABELA2567[[#This Row],[PRODUTO]])&amp;TRIM(TABELA2567[[#This Row],[COR]])</f>
        <v>52.10.453827629</v>
      </c>
      <c r="B205" s="18" t="s">
        <v>442</v>
      </c>
      <c r="C205" s="19" t="s">
        <v>443</v>
      </c>
      <c r="D205" s="19" t="s">
        <v>182</v>
      </c>
      <c r="E205" s="19" t="s">
        <v>183</v>
      </c>
      <c r="F205" s="20">
        <v>58.51</v>
      </c>
      <c r="G205" s="19" t="s">
        <v>31</v>
      </c>
      <c r="H205" s="19"/>
      <c r="I205" s="19"/>
      <c r="J205" s="19"/>
      <c r="K205" s="19"/>
      <c r="L205" s="19"/>
      <c r="M205" s="19"/>
      <c r="N205" s="19"/>
      <c r="O205" s="19">
        <f>SUM(TABELA2567[[#This Row],[T1]:[T7]])</f>
        <v>0</v>
      </c>
      <c r="P205" s="21">
        <f>TABELA2567[[#This Row],[QTDE]]*TABELA2567[[#This Row],[PREÇO]]</f>
        <v>0</v>
      </c>
    </row>
    <row r="206" spans="1:16" x14ac:dyDescent="0.2">
      <c r="A206" s="1" t="str">
        <f>TRIM(TABELA2567[[#This Row],[PRODUTO]])&amp;TRIM(TABELA2567[[#This Row],[COR]])</f>
        <v>52.10.45475230</v>
      </c>
      <c r="B206" s="18" t="s">
        <v>444</v>
      </c>
      <c r="C206" s="19" t="s">
        <v>445</v>
      </c>
      <c r="D206" s="19" t="s">
        <v>212</v>
      </c>
      <c r="E206" s="19" t="s">
        <v>35</v>
      </c>
      <c r="F206" s="20">
        <v>73.319999999999993</v>
      </c>
      <c r="G206" s="19" t="s">
        <v>44</v>
      </c>
      <c r="H206" s="19"/>
      <c r="I206" s="19"/>
      <c r="J206" s="19"/>
      <c r="K206" s="19"/>
      <c r="L206" s="19"/>
      <c r="M206" s="19"/>
      <c r="N206" s="19"/>
      <c r="O206" s="19">
        <f>SUM(TABELA2567[[#This Row],[T1]:[T7]])</f>
        <v>0</v>
      </c>
      <c r="P206" s="21">
        <f>TABELA2567[[#This Row],[QTDE]]*TABELA2567[[#This Row],[PREÇO]]</f>
        <v>0</v>
      </c>
    </row>
    <row r="207" spans="1:16" x14ac:dyDescent="0.2">
      <c r="A207" s="1" t="str">
        <f>TRIM(TABELA2567[[#This Row],[PRODUTO]])&amp;TRIM(TABELA2567[[#This Row],[COR]])</f>
        <v>52.10.45475297</v>
      </c>
      <c r="B207" s="18" t="s">
        <v>444</v>
      </c>
      <c r="C207" s="19" t="s">
        <v>445</v>
      </c>
      <c r="D207" s="19" t="s">
        <v>414</v>
      </c>
      <c r="E207" s="19" t="s">
        <v>415</v>
      </c>
      <c r="F207" s="20">
        <v>73.319999999999993</v>
      </c>
      <c r="G207" s="19" t="s">
        <v>44</v>
      </c>
      <c r="H207" s="19"/>
      <c r="I207" s="19"/>
      <c r="J207" s="19"/>
      <c r="K207" s="19"/>
      <c r="L207" s="19"/>
      <c r="M207" s="19"/>
      <c r="N207" s="19"/>
      <c r="O207" s="19">
        <f>SUM(TABELA2567[[#This Row],[T1]:[T7]])</f>
        <v>0</v>
      </c>
      <c r="P207" s="21">
        <f>TABELA2567[[#This Row],[QTDE]]*TABELA2567[[#This Row],[PREÇO]]</f>
        <v>0</v>
      </c>
    </row>
    <row r="208" spans="1:16" x14ac:dyDescent="0.2">
      <c r="A208" s="1" t="str">
        <f>TRIM(TABELA2567[[#This Row],[PRODUTO]])&amp;TRIM(TABELA2567[[#This Row],[COR]])</f>
        <v>52.10.45500400</v>
      </c>
      <c r="B208" s="18" t="s">
        <v>446</v>
      </c>
      <c r="C208" s="19" t="s">
        <v>447</v>
      </c>
      <c r="D208" s="19" t="s">
        <v>46</v>
      </c>
      <c r="E208" s="19" t="s">
        <v>57</v>
      </c>
      <c r="F208" s="20">
        <v>91.83</v>
      </c>
      <c r="G208" s="19" t="s">
        <v>31</v>
      </c>
      <c r="H208" s="19"/>
      <c r="I208" s="19"/>
      <c r="J208" s="19"/>
      <c r="K208" s="19"/>
      <c r="L208" s="19"/>
      <c r="M208" s="19"/>
      <c r="N208" s="19"/>
      <c r="O208" s="19">
        <f>SUM(TABELA2567[[#This Row],[T1]:[T7]])</f>
        <v>0</v>
      </c>
      <c r="P208" s="21">
        <f>TABELA2567[[#This Row],[QTDE]]*TABELA2567[[#This Row],[PREÇO]]</f>
        <v>0</v>
      </c>
    </row>
    <row r="209" spans="1:16" x14ac:dyDescent="0.2">
      <c r="A209" s="1" t="str">
        <f>TRIM(TABELA2567[[#This Row],[PRODUTO]])&amp;TRIM(TABELA2567[[#This Row],[COR]])</f>
        <v>52.10.45530101</v>
      </c>
      <c r="B209" s="18" t="s">
        <v>448</v>
      </c>
      <c r="C209" s="19" t="s">
        <v>449</v>
      </c>
      <c r="D209" s="19" t="s">
        <v>36</v>
      </c>
      <c r="E209" s="19" t="s">
        <v>128</v>
      </c>
      <c r="F209" s="20">
        <v>184.41</v>
      </c>
      <c r="G209" s="19" t="s">
        <v>221</v>
      </c>
      <c r="H209" s="19"/>
      <c r="I209" s="19"/>
      <c r="J209" s="19"/>
      <c r="K209" s="19"/>
      <c r="L209" s="19"/>
      <c r="M209" s="19"/>
      <c r="N209" s="19"/>
      <c r="O209" s="19">
        <f>SUM(TABELA2567[[#This Row],[T1]:[T7]])</f>
        <v>0</v>
      </c>
      <c r="P209" s="21">
        <f>TABELA2567[[#This Row],[QTDE]]*TABELA2567[[#This Row],[PREÇO]]</f>
        <v>0</v>
      </c>
    </row>
    <row r="210" spans="1:16" x14ac:dyDescent="0.2">
      <c r="A210" s="1" t="str">
        <f>TRIM(TABELA2567[[#This Row],[PRODUTO]])&amp;TRIM(TABELA2567[[#This Row],[COR]])</f>
        <v>52.10.45560105</v>
      </c>
      <c r="B210" s="18" t="s">
        <v>450</v>
      </c>
      <c r="C210" s="19" t="s">
        <v>451</v>
      </c>
      <c r="D210" s="19" t="s">
        <v>32</v>
      </c>
      <c r="E210" s="19" t="s">
        <v>33</v>
      </c>
      <c r="F210" s="20">
        <v>184.41</v>
      </c>
      <c r="G210" s="19" t="s">
        <v>221</v>
      </c>
      <c r="H210" s="19"/>
      <c r="I210" s="19"/>
      <c r="J210" s="19"/>
      <c r="K210" s="19"/>
      <c r="L210" s="19"/>
      <c r="M210" s="19"/>
      <c r="N210" s="19"/>
      <c r="O210" s="19">
        <f>SUM(TABELA2567[[#This Row],[T1]:[T7]])</f>
        <v>0</v>
      </c>
      <c r="P210" s="21">
        <f>TABELA2567[[#This Row],[QTDE]]*TABELA2567[[#This Row],[PREÇO]]</f>
        <v>0</v>
      </c>
    </row>
    <row r="211" spans="1:16" x14ac:dyDescent="0.2">
      <c r="A211" s="1" t="str">
        <f>TRIM(TABELA2567[[#This Row],[PRODUTO]])&amp;TRIM(TABELA2567[[#This Row],[COR]])</f>
        <v>52.10.45570003</v>
      </c>
      <c r="B211" s="18" t="s">
        <v>452</v>
      </c>
      <c r="C211" s="19" t="s">
        <v>453</v>
      </c>
      <c r="D211" s="19" t="s">
        <v>34</v>
      </c>
      <c r="E211" s="19" t="s">
        <v>35</v>
      </c>
      <c r="F211" s="20">
        <v>184.41</v>
      </c>
      <c r="G211" s="19" t="s">
        <v>221</v>
      </c>
      <c r="H211" s="19"/>
      <c r="I211" s="19"/>
      <c r="J211" s="19"/>
      <c r="K211" s="19"/>
      <c r="L211" s="19"/>
      <c r="M211" s="19"/>
      <c r="N211" s="19"/>
      <c r="O211" s="19">
        <f>SUM(TABELA2567[[#This Row],[T1]:[T7]])</f>
        <v>0</v>
      </c>
      <c r="P211" s="21">
        <f>TABELA2567[[#This Row],[QTDE]]*TABELA2567[[#This Row],[PREÇO]]</f>
        <v>0</v>
      </c>
    </row>
    <row r="212" spans="1:16" x14ac:dyDescent="0.2">
      <c r="A212" s="1" t="str">
        <f>TRIM(TABELA2567[[#This Row],[PRODUTO]])&amp;TRIM(TABELA2567[[#This Row],[COR]])</f>
        <v>52.10.45572441</v>
      </c>
      <c r="B212" s="18" t="s">
        <v>452</v>
      </c>
      <c r="C212" s="19" t="s">
        <v>453</v>
      </c>
      <c r="D212" s="19" t="s">
        <v>62</v>
      </c>
      <c r="E212" s="19" t="s">
        <v>137</v>
      </c>
      <c r="F212" s="20">
        <v>184.41</v>
      </c>
      <c r="G212" s="19" t="s">
        <v>221</v>
      </c>
      <c r="H212" s="19"/>
      <c r="I212" s="19"/>
      <c r="J212" s="19"/>
      <c r="K212" s="19"/>
      <c r="L212" s="19"/>
      <c r="M212" s="19"/>
      <c r="N212" s="19"/>
      <c r="O212" s="19">
        <f>SUM(TABELA2567[[#This Row],[T1]:[T7]])</f>
        <v>0</v>
      </c>
      <c r="P212" s="21">
        <f>TABELA2567[[#This Row],[QTDE]]*TABELA2567[[#This Row],[PREÇO]]</f>
        <v>0</v>
      </c>
    </row>
    <row r="213" spans="1:16" x14ac:dyDescent="0.2">
      <c r="A213" s="1" t="str">
        <f>TRIM(TABELA2567[[#This Row],[PRODUTO]])&amp;TRIM(TABELA2567[[#This Row],[COR]])</f>
        <v>52.10.45580003</v>
      </c>
      <c r="B213" s="18" t="s">
        <v>454</v>
      </c>
      <c r="C213" s="19" t="s">
        <v>455</v>
      </c>
      <c r="D213" s="19" t="s">
        <v>34</v>
      </c>
      <c r="E213" s="19" t="s">
        <v>35</v>
      </c>
      <c r="F213" s="20">
        <v>125.16</v>
      </c>
      <c r="G213" s="19" t="s">
        <v>221</v>
      </c>
      <c r="H213" s="19"/>
      <c r="I213" s="19"/>
      <c r="J213" s="19"/>
      <c r="K213" s="19"/>
      <c r="L213" s="19"/>
      <c r="M213" s="19"/>
      <c r="N213" s="19"/>
      <c r="O213" s="19">
        <f>SUM(TABELA2567[[#This Row],[T1]:[T7]])</f>
        <v>0</v>
      </c>
      <c r="P213" s="21">
        <f>TABELA2567[[#This Row],[QTDE]]*TABELA2567[[#This Row],[PREÇO]]</f>
        <v>0</v>
      </c>
    </row>
    <row r="214" spans="1:16" x14ac:dyDescent="0.2">
      <c r="A214" s="1" t="str">
        <f>TRIM(TABELA2567[[#This Row],[PRODUTO]])&amp;TRIM(TABELA2567[[#This Row],[COR]])</f>
        <v>52.10.45580830</v>
      </c>
      <c r="B214" s="18" t="s">
        <v>454</v>
      </c>
      <c r="C214" s="19" t="s">
        <v>455</v>
      </c>
      <c r="D214" s="19" t="s">
        <v>79</v>
      </c>
      <c r="E214" s="19" t="s">
        <v>80</v>
      </c>
      <c r="F214" s="20">
        <v>125.16</v>
      </c>
      <c r="G214" s="19" t="s">
        <v>221</v>
      </c>
      <c r="H214" s="19"/>
      <c r="I214" s="19"/>
      <c r="J214" s="19"/>
      <c r="K214" s="19"/>
      <c r="L214" s="19"/>
      <c r="M214" s="19"/>
      <c r="N214" s="19"/>
      <c r="O214" s="19">
        <f>SUM(TABELA2567[[#This Row],[T1]:[T7]])</f>
        <v>0</v>
      </c>
      <c r="P214" s="21">
        <f>TABELA2567[[#This Row],[QTDE]]*TABELA2567[[#This Row],[PREÇO]]</f>
        <v>0</v>
      </c>
    </row>
    <row r="215" spans="1:16" x14ac:dyDescent="0.2">
      <c r="A215" s="1" t="str">
        <f>TRIM(TABELA2567[[#This Row],[PRODUTO]])&amp;TRIM(TABELA2567[[#This Row],[COR]])</f>
        <v>52.10.45590101</v>
      </c>
      <c r="B215" s="18" t="s">
        <v>456</v>
      </c>
      <c r="C215" s="19" t="s">
        <v>457</v>
      </c>
      <c r="D215" s="19" t="s">
        <v>36</v>
      </c>
      <c r="E215" s="19" t="s">
        <v>37</v>
      </c>
      <c r="F215" s="20">
        <v>125.16</v>
      </c>
      <c r="G215" s="19" t="s">
        <v>221</v>
      </c>
      <c r="H215" s="19"/>
      <c r="I215" s="19"/>
      <c r="J215" s="19"/>
      <c r="K215" s="19"/>
      <c r="L215" s="19"/>
      <c r="M215" s="19"/>
      <c r="N215" s="19"/>
      <c r="O215" s="19">
        <f>SUM(TABELA2567[[#This Row],[T1]:[T7]])</f>
        <v>0</v>
      </c>
      <c r="P215" s="21">
        <f>TABELA2567[[#This Row],[QTDE]]*TABELA2567[[#This Row],[PREÇO]]</f>
        <v>0</v>
      </c>
    </row>
    <row r="216" spans="1:16" x14ac:dyDescent="0.2">
      <c r="A216" s="1" t="str">
        <f>TRIM(TABELA2567[[#This Row],[PRODUTO]])&amp;TRIM(TABELA2567[[#This Row],[COR]])</f>
        <v>52.10.45631858</v>
      </c>
      <c r="B216" s="18" t="s">
        <v>458</v>
      </c>
      <c r="C216" s="19" t="s">
        <v>459</v>
      </c>
      <c r="D216" s="19" t="s">
        <v>60</v>
      </c>
      <c r="E216" s="19" t="s">
        <v>61</v>
      </c>
      <c r="F216" s="20">
        <v>110.35</v>
      </c>
      <c r="G216" s="19" t="s">
        <v>31</v>
      </c>
      <c r="H216" s="19"/>
      <c r="I216" s="19"/>
      <c r="J216" s="19"/>
      <c r="K216" s="19"/>
      <c r="L216" s="19"/>
      <c r="M216" s="19"/>
      <c r="N216" s="19"/>
      <c r="O216" s="19">
        <f>SUM(TABELA2567[[#This Row],[T1]:[T7]])</f>
        <v>0</v>
      </c>
      <c r="P216" s="21">
        <f>TABELA2567[[#This Row],[QTDE]]*TABELA2567[[#This Row],[PREÇO]]</f>
        <v>0</v>
      </c>
    </row>
    <row r="217" spans="1:16" x14ac:dyDescent="0.2">
      <c r="A217" s="1" t="str">
        <f>TRIM(TABELA2567[[#This Row],[PRODUTO]])&amp;TRIM(TABELA2567[[#This Row],[COR]])</f>
        <v>52.10.45632441</v>
      </c>
      <c r="B217" s="18" t="s">
        <v>458</v>
      </c>
      <c r="C217" s="19" t="s">
        <v>459</v>
      </c>
      <c r="D217" s="19" t="s">
        <v>62</v>
      </c>
      <c r="E217" s="19" t="s">
        <v>63</v>
      </c>
      <c r="F217" s="20">
        <v>110.35</v>
      </c>
      <c r="G217" s="19" t="s">
        <v>31</v>
      </c>
      <c r="H217" s="19"/>
      <c r="I217" s="19"/>
      <c r="J217" s="19"/>
      <c r="K217" s="19"/>
      <c r="L217" s="19"/>
      <c r="M217" s="19"/>
      <c r="N217" s="19"/>
      <c r="O217" s="19">
        <f>SUM(TABELA2567[[#This Row],[T1]:[T7]])</f>
        <v>0</v>
      </c>
      <c r="P217" s="21">
        <f>TABELA2567[[#This Row],[QTDE]]*TABELA2567[[#This Row],[PREÇO]]</f>
        <v>0</v>
      </c>
    </row>
    <row r="218" spans="1:16" x14ac:dyDescent="0.2">
      <c r="A218" s="1" t="str">
        <f>TRIM(TABELA2567[[#This Row],[PRODUTO]])&amp;TRIM(TABELA2567[[#This Row],[COR]])</f>
        <v>52.10.45641617</v>
      </c>
      <c r="B218" s="18" t="s">
        <v>460</v>
      </c>
      <c r="C218" s="19" t="s">
        <v>461</v>
      </c>
      <c r="D218" s="19" t="s">
        <v>140</v>
      </c>
      <c r="E218" s="19" t="s">
        <v>141</v>
      </c>
      <c r="F218" s="20">
        <v>91.83</v>
      </c>
      <c r="G218" s="19" t="s">
        <v>31</v>
      </c>
      <c r="H218" s="19"/>
      <c r="I218" s="19"/>
      <c r="J218" s="19"/>
      <c r="K218" s="19"/>
      <c r="L218" s="19"/>
      <c r="M218" s="19"/>
      <c r="N218" s="19"/>
      <c r="O218" s="19">
        <f>SUM(TABELA2567[[#This Row],[T1]:[T7]])</f>
        <v>0</v>
      </c>
      <c r="P218" s="21">
        <f>TABELA2567[[#This Row],[QTDE]]*TABELA2567[[#This Row],[PREÇO]]</f>
        <v>0</v>
      </c>
    </row>
    <row r="219" spans="1:16" x14ac:dyDescent="0.2">
      <c r="A219" s="1" t="str">
        <f>TRIM(TABELA2567[[#This Row],[PRODUTO]])&amp;TRIM(TABELA2567[[#This Row],[COR]])</f>
        <v>52.10.45645230</v>
      </c>
      <c r="B219" s="18" t="s">
        <v>460</v>
      </c>
      <c r="C219" s="19" t="s">
        <v>461</v>
      </c>
      <c r="D219" s="19" t="s">
        <v>212</v>
      </c>
      <c r="E219" s="19" t="s">
        <v>224</v>
      </c>
      <c r="F219" s="20">
        <v>91.83</v>
      </c>
      <c r="G219" s="19" t="s">
        <v>31</v>
      </c>
      <c r="H219" s="19"/>
      <c r="I219" s="19"/>
      <c r="J219" s="19"/>
      <c r="K219" s="19"/>
      <c r="L219" s="19"/>
      <c r="M219" s="19"/>
      <c r="N219" s="19"/>
      <c r="O219" s="19">
        <f>SUM(TABELA2567[[#This Row],[T1]:[T7]])</f>
        <v>0</v>
      </c>
      <c r="P219" s="21">
        <f>TABELA2567[[#This Row],[QTDE]]*TABELA2567[[#This Row],[PREÇO]]</f>
        <v>0</v>
      </c>
    </row>
    <row r="220" spans="1:16" x14ac:dyDescent="0.2">
      <c r="A220" s="1" t="str">
        <f>TRIM(TABELA2567[[#This Row],[PRODUTO]])&amp;TRIM(TABELA2567[[#This Row],[COR]])</f>
        <v>52.10.458627631</v>
      </c>
      <c r="B220" s="18" t="s">
        <v>462</v>
      </c>
      <c r="C220" s="19" t="s">
        <v>1613</v>
      </c>
      <c r="D220" s="19" t="s">
        <v>168</v>
      </c>
      <c r="E220" s="19" t="s">
        <v>169</v>
      </c>
      <c r="F220" s="20">
        <v>73.319999999999993</v>
      </c>
      <c r="G220" s="19" t="s">
        <v>39</v>
      </c>
      <c r="H220" s="19"/>
      <c r="I220" s="19"/>
      <c r="J220" s="19"/>
      <c r="K220" s="19"/>
      <c r="L220" s="19"/>
      <c r="M220" s="19"/>
      <c r="N220" s="19"/>
      <c r="O220" s="19">
        <f>SUM(TABELA2567[[#This Row],[T1]:[T7]])</f>
        <v>0</v>
      </c>
      <c r="P220" s="21">
        <f>TABELA2567[[#This Row],[QTDE]]*TABELA2567[[#This Row],[PREÇO]]</f>
        <v>0</v>
      </c>
    </row>
    <row r="221" spans="1:16" x14ac:dyDescent="0.2">
      <c r="A221" s="1" t="str">
        <f>TRIM(TABELA2567[[#This Row],[PRODUTO]])&amp;TRIM(TABELA2567[[#This Row],[COR]])</f>
        <v>52.10.461927689</v>
      </c>
      <c r="B221" s="18" t="s">
        <v>463</v>
      </c>
      <c r="C221" s="19" t="s">
        <v>464</v>
      </c>
      <c r="D221" s="19" t="s">
        <v>89</v>
      </c>
      <c r="E221" s="19" t="s">
        <v>90</v>
      </c>
      <c r="F221" s="20">
        <v>84.43</v>
      </c>
      <c r="G221" s="19" t="s">
        <v>39</v>
      </c>
      <c r="H221" s="19"/>
      <c r="I221" s="19"/>
      <c r="J221" s="19"/>
      <c r="K221" s="19"/>
      <c r="L221" s="19"/>
      <c r="M221" s="19"/>
      <c r="N221" s="19"/>
      <c r="O221" s="19">
        <f>SUM(TABELA2567[[#This Row],[T1]:[T7]])</f>
        <v>0</v>
      </c>
      <c r="P221" s="21">
        <f>TABELA2567[[#This Row],[QTDE]]*TABELA2567[[#This Row],[PREÇO]]</f>
        <v>0</v>
      </c>
    </row>
    <row r="222" spans="1:16" x14ac:dyDescent="0.2">
      <c r="A222" s="1" t="str">
        <f>TRIM(TABELA2567[[#This Row],[PRODUTO]])&amp;TRIM(TABELA2567[[#This Row],[COR]])</f>
        <v>52.15.091727685</v>
      </c>
      <c r="B222" s="18" t="s">
        <v>465</v>
      </c>
      <c r="C222" s="19" t="s">
        <v>466</v>
      </c>
      <c r="D222" s="19" t="s">
        <v>165</v>
      </c>
      <c r="E222" s="19" t="s">
        <v>166</v>
      </c>
      <c r="F222" s="20">
        <v>73.319999999999993</v>
      </c>
      <c r="G222" s="19" t="s">
        <v>31</v>
      </c>
      <c r="H222" s="19"/>
      <c r="I222" s="19"/>
      <c r="J222" s="19"/>
      <c r="K222" s="19"/>
      <c r="L222" s="19"/>
      <c r="M222" s="19"/>
      <c r="N222" s="19"/>
      <c r="O222" s="19">
        <f>SUM(TABELA2567[[#This Row],[T1]:[T7]])</f>
        <v>0</v>
      </c>
      <c r="P222" s="21">
        <f>TABELA2567[[#This Row],[QTDE]]*TABELA2567[[#This Row],[PREÇO]]</f>
        <v>0</v>
      </c>
    </row>
    <row r="223" spans="1:16" x14ac:dyDescent="0.2">
      <c r="A223" s="1" t="str">
        <f>TRIM(TABELA2567[[#This Row],[PRODUTO]])&amp;TRIM(TABELA2567[[#This Row],[COR]])</f>
        <v>52.15.092027630</v>
      </c>
      <c r="B223" s="18" t="s">
        <v>467</v>
      </c>
      <c r="C223" s="19" t="s">
        <v>468</v>
      </c>
      <c r="D223" s="19" t="s">
        <v>153</v>
      </c>
      <c r="E223" s="19" t="s">
        <v>154</v>
      </c>
      <c r="F223" s="20">
        <v>84.43</v>
      </c>
      <c r="G223" s="19" t="s">
        <v>31</v>
      </c>
      <c r="H223" s="19"/>
      <c r="I223" s="19"/>
      <c r="J223" s="19"/>
      <c r="K223" s="19"/>
      <c r="L223" s="19"/>
      <c r="M223" s="19"/>
      <c r="N223" s="19"/>
      <c r="O223" s="19">
        <f>SUM(TABELA2567[[#This Row],[T1]:[T7]])</f>
        <v>0</v>
      </c>
      <c r="P223" s="21">
        <f>TABELA2567[[#This Row],[QTDE]]*TABELA2567[[#This Row],[PREÇO]]</f>
        <v>0</v>
      </c>
    </row>
    <row r="224" spans="1:16" x14ac:dyDescent="0.2">
      <c r="A224" s="1" t="str">
        <f>TRIM(TABELA2567[[#This Row],[PRODUTO]])&amp;TRIM(TABELA2567[[#This Row],[COR]])</f>
        <v>52.15.092127682</v>
      </c>
      <c r="B224" s="18" t="s">
        <v>469</v>
      </c>
      <c r="C224" s="19" t="s">
        <v>470</v>
      </c>
      <c r="D224" s="19" t="s">
        <v>85</v>
      </c>
      <c r="E224" s="19" t="s">
        <v>86</v>
      </c>
      <c r="F224" s="20">
        <v>110.35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SUM(TABELA2567[[#This Row],[T1]:[T7]])</f>
        <v>0</v>
      </c>
      <c r="P224" s="21">
        <f>TABELA2567[[#This Row],[QTDE]]*TABELA2567[[#This Row],[PREÇO]]</f>
        <v>0</v>
      </c>
    </row>
    <row r="225" spans="1:16" x14ac:dyDescent="0.2">
      <c r="A225" s="1" t="str">
        <f>TRIM(TABELA2567[[#This Row],[PRODUTO]])&amp;TRIM(TABELA2567[[#This Row],[COR]])</f>
        <v>52.15.092227632</v>
      </c>
      <c r="B225" s="18" t="s">
        <v>471</v>
      </c>
      <c r="C225" s="19" t="s">
        <v>472</v>
      </c>
      <c r="D225" s="19" t="s">
        <v>161</v>
      </c>
      <c r="E225" s="19" t="s">
        <v>162</v>
      </c>
      <c r="F225" s="20">
        <v>84.43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SUM(TABELA2567[[#This Row],[T1]:[T7]])</f>
        <v>0</v>
      </c>
      <c r="P225" s="21">
        <f>TABELA2567[[#This Row],[QTDE]]*TABELA2567[[#This Row],[PREÇO]]</f>
        <v>0</v>
      </c>
    </row>
    <row r="226" spans="1:16" x14ac:dyDescent="0.2">
      <c r="A226" s="1" t="str">
        <f>TRIM(TABELA2567[[#This Row],[PRODUTO]])&amp;TRIM(TABELA2567[[#This Row],[COR]])</f>
        <v>52.15.092327628</v>
      </c>
      <c r="B226" s="18" t="s">
        <v>473</v>
      </c>
      <c r="C226" s="19" t="s">
        <v>474</v>
      </c>
      <c r="D226" s="19" t="s">
        <v>157</v>
      </c>
      <c r="E226" s="19" t="s">
        <v>158</v>
      </c>
      <c r="F226" s="20">
        <v>65.91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SUM(TABELA2567[[#This Row],[T1]:[T7]])</f>
        <v>0</v>
      </c>
      <c r="P226" s="21">
        <f>TABELA2567[[#This Row],[QTDE]]*TABELA2567[[#This Row],[PREÇO]]</f>
        <v>0</v>
      </c>
    </row>
    <row r="227" spans="1:16" x14ac:dyDescent="0.2">
      <c r="A227" s="1" t="str">
        <f>TRIM(TABELA2567[[#This Row],[PRODUTO]])&amp;TRIM(TABELA2567[[#This Row],[COR]])</f>
        <v>52.15.09240002</v>
      </c>
      <c r="B227" s="18" t="s">
        <v>475</v>
      </c>
      <c r="C227" s="19" t="s">
        <v>476</v>
      </c>
      <c r="D227" s="19" t="s">
        <v>40</v>
      </c>
      <c r="E227" s="19" t="s">
        <v>41</v>
      </c>
      <c r="F227" s="20">
        <v>84.43</v>
      </c>
      <c r="G227" s="19" t="s">
        <v>44</v>
      </c>
      <c r="H227" s="19"/>
      <c r="I227" s="19"/>
      <c r="J227" s="19"/>
      <c r="K227" s="19"/>
      <c r="L227" s="19"/>
      <c r="M227" s="19"/>
      <c r="N227" s="19"/>
      <c r="O227" s="19">
        <f>SUM(TABELA2567[[#This Row],[T1]:[T7]])</f>
        <v>0</v>
      </c>
      <c r="P227" s="21">
        <f>TABELA2567[[#This Row],[QTDE]]*TABELA2567[[#This Row],[PREÇO]]</f>
        <v>0</v>
      </c>
    </row>
    <row r="228" spans="1:16" x14ac:dyDescent="0.2">
      <c r="A228" s="1" t="str">
        <f>TRIM(TABELA2567[[#This Row],[PRODUTO]])&amp;TRIM(TABELA2567[[#This Row],[COR]])</f>
        <v>52.15.09250002</v>
      </c>
      <c r="B228" s="18" t="s">
        <v>477</v>
      </c>
      <c r="C228" s="19" t="s">
        <v>478</v>
      </c>
      <c r="D228" s="19" t="s">
        <v>40</v>
      </c>
      <c r="E228" s="19" t="s">
        <v>41</v>
      </c>
      <c r="F228" s="20">
        <v>84.43</v>
      </c>
      <c r="G228" s="19" t="s">
        <v>44</v>
      </c>
      <c r="H228" s="19"/>
      <c r="I228" s="19"/>
      <c r="J228" s="19"/>
      <c r="K228" s="19"/>
      <c r="L228" s="19"/>
      <c r="M228" s="19"/>
      <c r="N228" s="19"/>
      <c r="O228" s="19">
        <f>SUM(TABELA2567[[#This Row],[T1]:[T7]])</f>
        <v>0</v>
      </c>
      <c r="P228" s="21">
        <f>TABELA2567[[#This Row],[QTDE]]*TABELA2567[[#This Row],[PREÇO]]</f>
        <v>0</v>
      </c>
    </row>
    <row r="229" spans="1:16" x14ac:dyDescent="0.2">
      <c r="A229" s="1" t="str">
        <f>TRIM(TABELA2567[[#This Row],[PRODUTO]])&amp;TRIM(TABELA2567[[#This Row],[COR]])</f>
        <v>52.15.09275230</v>
      </c>
      <c r="B229" s="18" t="s">
        <v>479</v>
      </c>
      <c r="C229" s="19" t="s">
        <v>480</v>
      </c>
      <c r="D229" s="19" t="s">
        <v>212</v>
      </c>
      <c r="E229" s="19" t="s">
        <v>35</v>
      </c>
      <c r="F229" s="20">
        <v>110.35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SUM(TABELA2567[[#This Row],[T1]:[T7]])</f>
        <v>0</v>
      </c>
      <c r="P229" s="21">
        <f>TABELA2567[[#This Row],[QTDE]]*TABELA2567[[#This Row],[PREÇO]]</f>
        <v>0</v>
      </c>
    </row>
    <row r="230" spans="1:16" x14ac:dyDescent="0.2">
      <c r="A230" s="1" t="str">
        <f>TRIM(TABELA2567[[#This Row],[PRODUTO]])&amp;TRIM(TABELA2567[[#This Row],[COR]])</f>
        <v>52.15.09291410</v>
      </c>
      <c r="B230" s="18" t="s">
        <v>481</v>
      </c>
      <c r="C230" s="19" t="s">
        <v>482</v>
      </c>
      <c r="D230" s="19" t="s">
        <v>219</v>
      </c>
      <c r="E230" s="19" t="s">
        <v>220</v>
      </c>
      <c r="F230" s="20">
        <v>91.83</v>
      </c>
      <c r="G230" s="19" t="s">
        <v>44</v>
      </c>
      <c r="H230" s="19"/>
      <c r="I230" s="19"/>
      <c r="J230" s="19"/>
      <c r="K230" s="19"/>
      <c r="L230" s="19"/>
      <c r="M230" s="19"/>
      <c r="N230" s="19"/>
      <c r="O230" s="19">
        <f>SUM(TABELA2567[[#This Row],[T1]:[T7]])</f>
        <v>0</v>
      </c>
      <c r="P230" s="21">
        <f>TABELA2567[[#This Row],[QTDE]]*TABELA2567[[#This Row],[PREÇO]]</f>
        <v>0</v>
      </c>
    </row>
    <row r="231" spans="1:16" x14ac:dyDescent="0.2">
      <c r="A231" s="1" t="str">
        <f>TRIM(TABELA2567[[#This Row],[PRODUTO]])&amp;TRIM(TABELA2567[[#This Row],[COR]])</f>
        <v>52.15.09295230</v>
      </c>
      <c r="B231" s="18" t="s">
        <v>481</v>
      </c>
      <c r="C231" s="19" t="s">
        <v>482</v>
      </c>
      <c r="D231" s="19" t="s">
        <v>212</v>
      </c>
      <c r="E231" s="19" t="s">
        <v>35</v>
      </c>
      <c r="F231" s="20">
        <v>91.83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SUM(TABELA2567[[#This Row],[T1]:[T7]])</f>
        <v>0</v>
      </c>
      <c r="P231" s="21">
        <f>TABELA2567[[#This Row],[QTDE]]*TABELA2567[[#This Row],[PREÇO]]</f>
        <v>0</v>
      </c>
    </row>
    <row r="232" spans="1:16" x14ac:dyDescent="0.2">
      <c r="A232" s="1" t="str">
        <f>TRIM(TABELA2567[[#This Row],[PRODUTO]])&amp;TRIM(TABELA2567[[#This Row],[COR]])</f>
        <v>52.15.09301410</v>
      </c>
      <c r="B232" s="18" t="s">
        <v>483</v>
      </c>
      <c r="C232" s="19" t="s">
        <v>484</v>
      </c>
      <c r="D232" s="19" t="s">
        <v>219</v>
      </c>
      <c r="E232" s="19" t="s">
        <v>220</v>
      </c>
      <c r="F232" s="20">
        <v>128.86000000000001</v>
      </c>
      <c r="G232" s="19" t="s">
        <v>259</v>
      </c>
      <c r="H232" s="19"/>
      <c r="I232" s="19"/>
      <c r="J232" s="19"/>
      <c r="K232" s="19"/>
      <c r="L232" s="19"/>
      <c r="M232" s="19"/>
      <c r="N232" s="19"/>
      <c r="O232" s="19">
        <f>SUM(TABELA2567[[#This Row],[T1]:[T7]])</f>
        <v>0</v>
      </c>
      <c r="P232" s="21">
        <f>TABELA2567[[#This Row],[QTDE]]*TABELA2567[[#This Row],[PREÇO]]</f>
        <v>0</v>
      </c>
    </row>
    <row r="233" spans="1:16" x14ac:dyDescent="0.2">
      <c r="A233" s="1" t="str">
        <f>TRIM(TABELA2567[[#This Row],[PRODUTO]])&amp;TRIM(TABELA2567[[#This Row],[COR]])</f>
        <v>52.15.09310015</v>
      </c>
      <c r="B233" s="18" t="s">
        <v>485</v>
      </c>
      <c r="C233" s="19" t="s">
        <v>486</v>
      </c>
      <c r="D233" s="19" t="s">
        <v>49</v>
      </c>
      <c r="E233" s="19" t="s">
        <v>71</v>
      </c>
      <c r="F233" s="20">
        <v>102.94</v>
      </c>
      <c r="G233" s="19" t="s">
        <v>239</v>
      </c>
      <c r="H233" s="19"/>
      <c r="I233" s="19"/>
      <c r="J233" s="19"/>
      <c r="K233" s="19"/>
      <c r="L233" s="19"/>
      <c r="M233" s="19"/>
      <c r="N233" s="19"/>
      <c r="O233" s="19">
        <f>SUM(TABELA2567[[#This Row],[T1]:[T7]])</f>
        <v>0</v>
      </c>
      <c r="P233" s="21">
        <f>TABELA2567[[#This Row],[QTDE]]*TABELA2567[[#This Row],[PREÇO]]</f>
        <v>0</v>
      </c>
    </row>
    <row r="234" spans="1:16" x14ac:dyDescent="0.2">
      <c r="A234" s="1" t="str">
        <f>TRIM(TABELA2567[[#This Row],[PRODUTO]])&amp;TRIM(TABELA2567[[#This Row],[COR]])</f>
        <v>52.15.09352441</v>
      </c>
      <c r="B234" s="18" t="s">
        <v>487</v>
      </c>
      <c r="C234" s="19" t="s">
        <v>488</v>
      </c>
      <c r="D234" s="19" t="s">
        <v>62</v>
      </c>
      <c r="E234" s="19" t="s">
        <v>63</v>
      </c>
      <c r="F234" s="20">
        <v>202.92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SUM(TABELA2567[[#This Row],[T1]:[T7]])</f>
        <v>0</v>
      </c>
      <c r="P234" s="21">
        <f>TABELA2567[[#This Row],[QTDE]]*TABELA2567[[#This Row],[PREÇO]]</f>
        <v>0</v>
      </c>
    </row>
    <row r="235" spans="1:16" x14ac:dyDescent="0.2">
      <c r="A235" s="1" t="str">
        <f>TRIM(TABELA2567[[#This Row],[PRODUTO]])&amp;TRIM(TABELA2567[[#This Row],[COR]])</f>
        <v>52.15.09355230</v>
      </c>
      <c r="B235" s="18" t="s">
        <v>487</v>
      </c>
      <c r="C235" s="19" t="s">
        <v>488</v>
      </c>
      <c r="D235" s="19" t="s">
        <v>212</v>
      </c>
      <c r="E235" s="19" t="s">
        <v>224</v>
      </c>
      <c r="F235" s="20">
        <v>202.92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SUM(TABELA2567[[#This Row],[T1]:[T7]])</f>
        <v>0</v>
      </c>
      <c r="P235" s="21">
        <f>TABELA2567[[#This Row],[QTDE]]*TABELA2567[[#This Row],[PREÇO]]</f>
        <v>0</v>
      </c>
    </row>
    <row r="236" spans="1:16" x14ac:dyDescent="0.2">
      <c r="A236" s="1" t="str">
        <f>TRIM(TABELA2567[[#This Row],[PRODUTO]])&amp;TRIM(TABELA2567[[#This Row],[COR]])</f>
        <v>52.28.008127630</v>
      </c>
      <c r="B236" s="18" t="s">
        <v>489</v>
      </c>
      <c r="C236" s="19" t="s">
        <v>490</v>
      </c>
      <c r="D236" s="19" t="s">
        <v>153</v>
      </c>
      <c r="E236" s="19" t="s">
        <v>154</v>
      </c>
      <c r="F236" s="20">
        <v>102.94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SUM(TABELA2567[[#This Row],[T1]:[T7]])</f>
        <v>0</v>
      </c>
      <c r="P236" s="21">
        <f>TABELA2567[[#This Row],[QTDE]]*TABELA2567[[#This Row],[PREÇO]]</f>
        <v>0</v>
      </c>
    </row>
    <row r="237" spans="1:16" x14ac:dyDescent="0.2">
      <c r="A237" s="1" t="str">
        <f>TRIM(TABELA2567[[#This Row],[PRODUTO]])&amp;TRIM(TABELA2567[[#This Row],[COR]])</f>
        <v>52.28.008227631</v>
      </c>
      <c r="B237" s="18" t="s">
        <v>491</v>
      </c>
      <c r="C237" s="19" t="s">
        <v>1614</v>
      </c>
      <c r="D237" s="19" t="s">
        <v>168</v>
      </c>
      <c r="E237" s="19" t="s">
        <v>169</v>
      </c>
      <c r="F237" s="20">
        <v>110.35</v>
      </c>
      <c r="G237" s="19" t="s">
        <v>31</v>
      </c>
      <c r="H237" s="19"/>
      <c r="I237" s="19"/>
      <c r="J237" s="19"/>
      <c r="K237" s="19"/>
      <c r="L237" s="19"/>
      <c r="M237" s="19"/>
      <c r="N237" s="19"/>
      <c r="O237" s="19">
        <f>SUM(TABELA2567[[#This Row],[T1]:[T7]])</f>
        <v>0</v>
      </c>
      <c r="P237" s="21">
        <f>TABELA2567[[#This Row],[QTDE]]*TABELA2567[[#This Row],[PREÇO]]</f>
        <v>0</v>
      </c>
    </row>
    <row r="238" spans="1:16" x14ac:dyDescent="0.2">
      <c r="A238" s="1" t="str">
        <f>TRIM(TABELA2567[[#This Row],[PRODUTO]])&amp;TRIM(TABELA2567[[#This Row],[COR]])</f>
        <v>52.28.008527621</v>
      </c>
      <c r="B238" s="18" t="s">
        <v>492</v>
      </c>
      <c r="C238" s="19" t="s">
        <v>493</v>
      </c>
      <c r="D238" s="19" t="s">
        <v>386</v>
      </c>
      <c r="E238" s="19" t="s">
        <v>387</v>
      </c>
      <c r="F238" s="20">
        <v>173.3</v>
      </c>
      <c r="G238" s="19" t="s">
        <v>44</v>
      </c>
      <c r="H238" s="19"/>
      <c r="I238" s="19"/>
      <c r="J238" s="19"/>
      <c r="K238" s="19"/>
      <c r="L238" s="19"/>
      <c r="M238" s="19"/>
      <c r="N238" s="19"/>
      <c r="O238" s="19">
        <f>SUM(TABELA2567[[#This Row],[T1]:[T7]])</f>
        <v>0</v>
      </c>
      <c r="P238" s="21">
        <f>TABELA2567[[#This Row],[QTDE]]*TABELA2567[[#This Row],[PREÇO]]</f>
        <v>0</v>
      </c>
    </row>
    <row r="239" spans="1:16" x14ac:dyDescent="0.2">
      <c r="A239" s="1" t="str">
        <f>TRIM(TABELA2567[[#This Row],[PRODUTO]])&amp;TRIM(TABELA2567[[#This Row],[COR]])</f>
        <v>52.28.00860830</v>
      </c>
      <c r="B239" s="18" t="s">
        <v>494</v>
      </c>
      <c r="C239" s="19" t="s">
        <v>495</v>
      </c>
      <c r="D239" s="19" t="s">
        <v>79</v>
      </c>
      <c r="E239" s="19" t="s">
        <v>80</v>
      </c>
      <c r="F239" s="20">
        <v>165.89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SUM(TABELA2567[[#This Row],[T1]:[T7]])</f>
        <v>0</v>
      </c>
      <c r="P239" s="21">
        <f>TABELA2567[[#This Row],[QTDE]]*TABELA2567[[#This Row],[PREÇO]]</f>
        <v>0</v>
      </c>
    </row>
    <row r="240" spans="1:16" x14ac:dyDescent="0.2">
      <c r="A240" s="1" t="str">
        <f>TRIM(TABELA2567[[#This Row],[PRODUTO]])&amp;TRIM(TABELA2567[[#This Row],[COR]])</f>
        <v>52.28.00890015</v>
      </c>
      <c r="B240" s="18" t="s">
        <v>496</v>
      </c>
      <c r="C240" s="19" t="s">
        <v>497</v>
      </c>
      <c r="D240" s="19" t="s">
        <v>49</v>
      </c>
      <c r="E240" s="19" t="s">
        <v>498</v>
      </c>
      <c r="F240" s="20">
        <v>147.38</v>
      </c>
      <c r="G240" s="19" t="s">
        <v>31</v>
      </c>
      <c r="H240" s="19"/>
      <c r="I240" s="19"/>
      <c r="J240" s="19"/>
      <c r="K240" s="19"/>
      <c r="L240" s="19"/>
      <c r="M240" s="19"/>
      <c r="N240" s="19"/>
      <c r="O240" s="19">
        <f>SUM(TABELA2567[[#This Row],[T1]:[T7]])</f>
        <v>0</v>
      </c>
      <c r="P240" s="21">
        <f>TABELA2567[[#This Row],[QTDE]]*TABELA2567[[#This Row],[PREÇO]]</f>
        <v>0</v>
      </c>
    </row>
    <row r="241" spans="1:16" x14ac:dyDescent="0.2">
      <c r="A241" s="1" t="str">
        <f>TRIM(TABELA2567[[#This Row],[PRODUTO]])&amp;TRIM(TABELA2567[[#This Row],[COR]])</f>
        <v>52.28.009027637</v>
      </c>
      <c r="B241" s="18" t="s">
        <v>499</v>
      </c>
      <c r="C241" s="19" t="s">
        <v>500</v>
      </c>
      <c r="D241" s="19" t="s">
        <v>172</v>
      </c>
      <c r="E241" s="19" t="s">
        <v>173</v>
      </c>
      <c r="F241" s="20">
        <v>73.319999999999993</v>
      </c>
      <c r="G241" s="19" t="s">
        <v>50</v>
      </c>
      <c r="H241" s="19"/>
      <c r="I241" s="19"/>
      <c r="J241" s="19"/>
      <c r="K241" s="19"/>
      <c r="L241" s="19"/>
      <c r="M241" s="19"/>
      <c r="N241" s="19"/>
      <c r="O241" s="19">
        <f>SUM(TABELA2567[[#This Row],[T1]:[T7]])</f>
        <v>0</v>
      </c>
      <c r="P241" s="21">
        <f>TABELA2567[[#This Row],[QTDE]]*TABELA2567[[#This Row],[PREÇO]]</f>
        <v>0</v>
      </c>
    </row>
    <row r="242" spans="1:16" x14ac:dyDescent="0.2">
      <c r="A242" s="1" t="str">
        <f>TRIM(TABELA2567[[#This Row],[PRODUTO]])&amp;TRIM(TABELA2567[[#This Row],[COR]])</f>
        <v>52.28.00910002</v>
      </c>
      <c r="B242" s="18" t="s">
        <v>501</v>
      </c>
      <c r="C242" s="19" t="s">
        <v>502</v>
      </c>
      <c r="D242" s="19" t="s">
        <v>40</v>
      </c>
      <c r="E242" s="19" t="s">
        <v>41</v>
      </c>
      <c r="F242" s="20">
        <v>184.41</v>
      </c>
      <c r="G242" s="19" t="s">
        <v>31</v>
      </c>
      <c r="H242" s="19"/>
      <c r="I242" s="19"/>
      <c r="J242" s="19"/>
      <c r="K242" s="19"/>
      <c r="L242" s="19"/>
      <c r="M242" s="19"/>
      <c r="N242" s="19"/>
      <c r="O242" s="19">
        <f>SUM(TABELA2567[[#This Row],[T1]:[T7]])</f>
        <v>0</v>
      </c>
      <c r="P242" s="21">
        <f>TABELA2567[[#This Row],[QTDE]]*TABELA2567[[#This Row],[PREÇO]]</f>
        <v>0</v>
      </c>
    </row>
    <row r="243" spans="1:16" x14ac:dyDescent="0.2">
      <c r="A243" s="1" t="str">
        <f>TRIM(TABELA2567[[#This Row],[PRODUTO]])&amp;TRIM(TABELA2567[[#This Row],[COR]])</f>
        <v>52.29.017927637</v>
      </c>
      <c r="B243" s="18" t="s">
        <v>503</v>
      </c>
      <c r="C243" s="19" t="s">
        <v>504</v>
      </c>
      <c r="D243" s="19" t="s">
        <v>172</v>
      </c>
      <c r="E243" s="19" t="s">
        <v>173</v>
      </c>
      <c r="F243" s="20">
        <v>110.35</v>
      </c>
      <c r="G243" s="19" t="s">
        <v>31</v>
      </c>
      <c r="H243" s="19"/>
      <c r="I243" s="19"/>
      <c r="J243" s="19"/>
      <c r="K243" s="19"/>
      <c r="L243" s="19"/>
      <c r="M243" s="19"/>
      <c r="N243" s="19"/>
      <c r="O243" s="19">
        <f>SUM(TABELA2567[[#This Row],[T1]:[T7]])</f>
        <v>0</v>
      </c>
      <c r="P243" s="21">
        <f>TABELA2567[[#This Row],[QTDE]]*TABELA2567[[#This Row],[PREÇO]]</f>
        <v>0</v>
      </c>
    </row>
    <row r="244" spans="1:16" x14ac:dyDescent="0.2">
      <c r="A244" s="1" t="str">
        <f>TRIM(TABELA2567[[#This Row],[PRODUTO]])&amp;TRIM(TABELA2567[[#This Row],[COR]])</f>
        <v>52.29.01810015</v>
      </c>
      <c r="B244" s="18" t="s">
        <v>505</v>
      </c>
      <c r="C244" s="19" t="s">
        <v>506</v>
      </c>
      <c r="D244" s="19" t="s">
        <v>49</v>
      </c>
      <c r="E244" s="19" t="s">
        <v>435</v>
      </c>
      <c r="F244" s="20">
        <v>184.41</v>
      </c>
      <c r="G244" s="19" t="s">
        <v>31</v>
      </c>
      <c r="H244" s="19"/>
      <c r="I244" s="19"/>
      <c r="J244" s="19"/>
      <c r="K244" s="19"/>
      <c r="L244" s="19"/>
      <c r="M244" s="19"/>
      <c r="N244" s="19"/>
      <c r="O244" s="19">
        <f>SUM(TABELA2567[[#This Row],[T1]:[T7]])</f>
        <v>0</v>
      </c>
      <c r="P244" s="21">
        <f>TABELA2567[[#This Row],[QTDE]]*TABELA2567[[#This Row],[PREÇO]]</f>
        <v>0</v>
      </c>
    </row>
    <row r="245" spans="1:16" x14ac:dyDescent="0.2">
      <c r="A245" s="1" t="str">
        <f>TRIM(TABELA2567[[#This Row],[PRODUTO]])&amp;TRIM(TABELA2567[[#This Row],[COR]])</f>
        <v>52.29.01821410</v>
      </c>
      <c r="B245" s="18" t="s">
        <v>507</v>
      </c>
      <c r="C245" s="19" t="s">
        <v>508</v>
      </c>
      <c r="D245" s="19" t="s">
        <v>219</v>
      </c>
      <c r="E245" s="19" t="s">
        <v>220</v>
      </c>
      <c r="F245" s="20">
        <v>184.41</v>
      </c>
      <c r="G245" s="19" t="s">
        <v>31</v>
      </c>
      <c r="H245" s="19"/>
      <c r="I245" s="19"/>
      <c r="J245" s="19"/>
      <c r="K245" s="19"/>
      <c r="L245" s="19"/>
      <c r="M245" s="19"/>
      <c r="N245" s="19"/>
      <c r="O245" s="19">
        <f>SUM(TABELA2567[[#This Row],[T1]:[T7]])</f>
        <v>0</v>
      </c>
      <c r="P245" s="21">
        <f>TABELA2567[[#This Row],[QTDE]]*TABELA2567[[#This Row],[PREÇO]]</f>
        <v>0</v>
      </c>
    </row>
    <row r="246" spans="1:16" x14ac:dyDescent="0.2">
      <c r="A246" s="1" t="str">
        <f>TRIM(TABELA2567[[#This Row],[PRODUTO]])&amp;TRIM(TABELA2567[[#This Row],[COR]])</f>
        <v>52.29.01821858</v>
      </c>
      <c r="B246" s="18" t="s">
        <v>507</v>
      </c>
      <c r="C246" s="19" t="s">
        <v>508</v>
      </c>
      <c r="D246" s="19" t="s">
        <v>60</v>
      </c>
      <c r="E246" s="19" t="s">
        <v>509</v>
      </c>
      <c r="F246" s="20">
        <v>184.41</v>
      </c>
      <c r="G246" s="19" t="s">
        <v>31</v>
      </c>
      <c r="H246" s="19"/>
      <c r="I246" s="19"/>
      <c r="J246" s="19"/>
      <c r="K246" s="19"/>
      <c r="L246" s="19"/>
      <c r="M246" s="19"/>
      <c r="N246" s="19"/>
      <c r="O246" s="19">
        <f>SUM(TABELA2567[[#This Row],[T1]:[T7]])</f>
        <v>0</v>
      </c>
      <c r="P246" s="21">
        <f>TABELA2567[[#This Row],[QTDE]]*TABELA2567[[#This Row],[PREÇO]]</f>
        <v>0</v>
      </c>
    </row>
    <row r="247" spans="1:16" x14ac:dyDescent="0.2">
      <c r="A247" s="1" t="str">
        <f>TRIM(TABELA2567[[#This Row],[PRODUTO]])&amp;TRIM(TABELA2567[[#This Row],[COR]])</f>
        <v>52.29.01830830</v>
      </c>
      <c r="B247" s="18" t="s">
        <v>510</v>
      </c>
      <c r="C247" s="19" t="s">
        <v>511</v>
      </c>
      <c r="D247" s="19" t="s">
        <v>79</v>
      </c>
      <c r="E247" s="19" t="s">
        <v>80</v>
      </c>
      <c r="F247" s="20">
        <v>147.38</v>
      </c>
      <c r="G247" s="19" t="s">
        <v>31</v>
      </c>
      <c r="H247" s="19"/>
      <c r="I247" s="19"/>
      <c r="J247" s="19"/>
      <c r="K247" s="19"/>
      <c r="L247" s="19"/>
      <c r="M247" s="19"/>
      <c r="N247" s="19"/>
      <c r="O247" s="19">
        <f>SUM(TABELA2567[[#This Row],[T1]:[T7]])</f>
        <v>0</v>
      </c>
      <c r="P247" s="21">
        <f>TABELA2567[[#This Row],[QTDE]]*TABELA2567[[#This Row],[PREÇO]]</f>
        <v>0</v>
      </c>
    </row>
    <row r="248" spans="1:16" x14ac:dyDescent="0.2">
      <c r="A248" s="1" t="str">
        <f>TRIM(TABELA2567[[#This Row],[PRODUTO]])&amp;TRIM(TABELA2567[[#This Row],[COR]])</f>
        <v>52.29.01832441</v>
      </c>
      <c r="B248" s="18" t="s">
        <v>510</v>
      </c>
      <c r="C248" s="19" t="s">
        <v>511</v>
      </c>
      <c r="D248" s="19" t="s">
        <v>62</v>
      </c>
      <c r="E248" s="19" t="s">
        <v>63</v>
      </c>
      <c r="F248" s="20">
        <v>147.38</v>
      </c>
      <c r="G248" s="19" t="s">
        <v>31</v>
      </c>
      <c r="H248" s="19"/>
      <c r="I248" s="19"/>
      <c r="J248" s="19"/>
      <c r="K248" s="19"/>
      <c r="L248" s="19"/>
      <c r="M248" s="19"/>
      <c r="N248" s="19"/>
      <c r="O248" s="19">
        <f>SUM(TABELA2567[[#This Row],[T1]:[T7]])</f>
        <v>0</v>
      </c>
      <c r="P248" s="21">
        <f>TABELA2567[[#This Row],[QTDE]]*TABELA2567[[#This Row],[PREÇO]]</f>
        <v>0</v>
      </c>
    </row>
    <row r="249" spans="1:16" x14ac:dyDescent="0.2">
      <c r="A249" s="1" t="str">
        <f>TRIM(TABELA2567[[#This Row],[PRODUTO]])&amp;TRIM(TABELA2567[[#This Row],[COR]])</f>
        <v>52.29.01841617</v>
      </c>
      <c r="B249" s="18" t="s">
        <v>512</v>
      </c>
      <c r="C249" s="19" t="s">
        <v>513</v>
      </c>
      <c r="D249" s="19" t="s">
        <v>140</v>
      </c>
      <c r="E249" s="19" t="s">
        <v>141</v>
      </c>
      <c r="F249" s="20">
        <v>158.49</v>
      </c>
      <c r="G249" s="19" t="s">
        <v>31</v>
      </c>
      <c r="H249" s="19"/>
      <c r="I249" s="19"/>
      <c r="J249" s="19"/>
      <c r="K249" s="19"/>
      <c r="L249" s="19"/>
      <c r="M249" s="19"/>
      <c r="N249" s="19"/>
      <c r="O249" s="19">
        <f>SUM(TABELA2567[[#This Row],[T1]:[T7]])</f>
        <v>0</v>
      </c>
      <c r="P249" s="21">
        <f>TABELA2567[[#This Row],[QTDE]]*TABELA2567[[#This Row],[PREÇO]]</f>
        <v>0</v>
      </c>
    </row>
    <row r="250" spans="1:16" x14ac:dyDescent="0.2">
      <c r="A250" s="1" t="str">
        <f>TRIM(TABELA2567[[#This Row],[PRODUTO]])&amp;TRIM(TABELA2567[[#This Row],[COR]])</f>
        <v>52.29.01843918</v>
      </c>
      <c r="B250" s="18" t="s">
        <v>512</v>
      </c>
      <c r="C250" s="19" t="s">
        <v>513</v>
      </c>
      <c r="D250" s="19" t="s">
        <v>112</v>
      </c>
      <c r="E250" s="19" t="s">
        <v>403</v>
      </c>
      <c r="F250" s="20">
        <v>158.49</v>
      </c>
      <c r="G250" s="19" t="s">
        <v>31</v>
      </c>
      <c r="H250" s="19"/>
      <c r="I250" s="19"/>
      <c r="J250" s="19"/>
      <c r="K250" s="19"/>
      <c r="L250" s="19"/>
      <c r="M250" s="19"/>
      <c r="N250" s="19"/>
      <c r="O250" s="19">
        <f>SUM(TABELA2567[[#This Row],[T1]:[T7]])</f>
        <v>0</v>
      </c>
      <c r="P250" s="21">
        <f>TABELA2567[[#This Row],[QTDE]]*TABELA2567[[#This Row],[PREÇO]]</f>
        <v>0</v>
      </c>
    </row>
    <row r="251" spans="1:16" x14ac:dyDescent="0.2">
      <c r="A251" s="1" t="str">
        <f>TRIM(TABELA2567[[#This Row],[PRODUTO]])&amp;TRIM(TABELA2567[[#This Row],[COR]])</f>
        <v>52.29.01860011</v>
      </c>
      <c r="B251" s="18" t="s">
        <v>514</v>
      </c>
      <c r="C251" s="19" t="s">
        <v>515</v>
      </c>
      <c r="D251" s="19" t="s">
        <v>48</v>
      </c>
      <c r="E251" s="19" t="s">
        <v>254</v>
      </c>
      <c r="F251" s="20">
        <v>147.38</v>
      </c>
      <c r="G251" s="19" t="s">
        <v>31</v>
      </c>
      <c r="H251" s="19"/>
      <c r="I251" s="19"/>
      <c r="J251" s="19"/>
      <c r="K251" s="19"/>
      <c r="L251" s="19"/>
      <c r="M251" s="19"/>
      <c r="N251" s="19"/>
      <c r="O251" s="19">
        <f>SUM(TABELA2567[[#This Row],[T1]:[T7]])</f>
        <v>0</v>
      </c>
      <c r="P251" s="21">
        <f>TABELA2567[[#This Row],[QTDE]]*TABELA2567[[#This Row],[PREÇO]]</f>
        <v>0</v>
      </c>
    </row>
    <row r="252" spans="1:16" x14ac:dyDescent="0.2">
      <c r="A252" s="1" t="str">
        <f>TRIM(TABELA2567[[#This Row],[PRODUTO]])&amp;TRIM(TABELA2567[[#This Row],[COR]])</f>
        <v>52.29.01865230</v>
      </c>
      <c r="B252" s="18" t="s">
        <v>514</v>
      </c>
      <c r="C252" s="19" t="s">
        <v>515</v>
      </c>
      <c r="D252" s="19" t="s">
        <v>212</v>
      </c>
      <c r="E252" s="19" t="s">
        <v>224</v>
      </c>
      <c r="F252" s="20">
        <v>147.38</v>
      </c>
      <c r="G252" s="19" t="s">
        <v>31</v>
      </c>
      <c r="H252" s="19"/>
      <c r="I252" s="19"/>
      <c r="J252" s="19"/>
      <c r="K252" s="19"/>
      <c r="L252" s="19"/>
      <c r="M252" s="19"/>
      <c r="N252" s="19"/>
      <c r="O252" s="19">
        <f>SUM(TABELA2567[[#This Row],[T1]:[T7]])</f>
        <v>0</v>
      </c>
      <c r="P252" s="21">
        <f>TABELA2567[[#This Row],[QTDE]]*TABELA2567[[#This Row],[PREÇO]]</f>
        <v>0</v>
      </c>
    </row>
    <row r="253" spans="1:16" x14ac:dyDescent="0.2">
      <c r="A253" s="1" t="str">
        <f>TRIM(TABELA2567[[#This Row],[PRODUTO]])&amp;TRIM(TABELA2567[[#This Row],[COR]])</f>
        <v>52.29.01880002</v>
      </c>
      <c r="B253" s="18" t="s">
        <v>516</v>
      </c>
      <c r="C253" s="19" t="s">
        <v>517</v>
      </c>
      <c r="D253" s="19" t="s">
        <v>40</v>
      </c>
      <c r="E253" s="19" t="s">
        <v>41</v>
      </c>
      <c r="F253" s="20">
        <v>221.44</v>
      </c>
      <c r="G253" s="19" t="s">
        <v>31</v>
      </c>
      <c r="H253" s="19"/>
      <c r="I253" s="19"/>
      <c r="J253" s="19"/>
      <c r="K253" s="19"/>
      <c r="L253" s="19"/>
      <c r="M253" s="19"/>
      <c r="N253" s="19"/>
      <c r="O253" s="19">
        <f>SUM(TABELA2567[[#This Row],[T1]:[T7]])</f>
        <v>0</v>
      </c>
      <c r="P253" s="21">
        <f>TABELA2567[[#This Row],[QTDE]]*TABELA2567[[#This Row],[PREÇO]]</f>
        <v>0</v>
      </c>
    </row>
    <row r="254" spans="1:16" x14ac:dyDescent="0.2">
      <c r="A254" s="1" t="str">
        <f>TRIM(TABELA2567[[#This Row],[PRODUTO]])&amp;TRIM(TABELA2567[[#This Row],[COR]])</f>
        <v>52.36.02260011</v>
      </c>
      <c r="B254" s="18" t="s">
        <v>518</v>
      </c>
      <c r="C254" s="19" t="s">
        <v>519</v>
      </c>
      <c r="D254" s="19" t="s">
        <v>48</v>
      </c>
      <c r="E254" s="19" t="s">
        <v>254</v>
      </c>
      <c r="F254" s="20">
        <v>73.319999999999993</v>
      </c>
      <c r="G254" s="19" t="s">
        <v>44</v>
      </c>
      <c r="H254" s="19"/>
      <c r="I254" s="19"/>
      <c r="J254" s="19"/>
      <c r="K254" s="19"/>
      <c r="L254" s="19"/>
      <c r="M254" s="19"/>
      <c r="N254" s="19"/>
      <c r="O254" s="19">
        <f>SUM(TABELA2567[[#This Row],[T1]:[T7]])</f>
        <v>0</v>
      </c>
      <c r="P254" s="21">
        <f>TABELA2567[[#This Row],[QTDE]]*TABELA2567[[#This Row],[PREÇO]]</f>
        <v>0</v>
      </c>
    </row>
    <row r="255" spans="1:16" x14ac:dyDescent="0.2">
      <c r="A255" s="1" t="str">
        <f>TRIM(TABELA2567[[#This Row],[PRODUTO]])&amp;TRIM(TABELA2567[[#This Row],[COR]])</f>
        <v>52.36.02273918</v>
      </c>
      <c r="B255" s="18" t="s">
        <v>520</v>
      </c>
      <c r="C255" s="19" t="s">
        <v>521</v>
      </c>
      <c r="D255" s="19" t="s">
        <v>112</v>
      </c>
      <c r="E255" s="19" t="s">
        <v>113</v>
      </c>
      <c r="F255" s="20">
        <v>195.52</v>
      </c>
      <c r="G255" s="19" t="s">
        <v>221</v>
      </c>
      <c r="H255" s="19"/>
      <c r="I255" s="19"/>
      <c r="J255" s="19"/>
      <c r="K255" s="19"/>
      <c r="L255" s="19"/>
      <c r="M255" s="19"/>
      <c r="N255" s="19"/>
      <c r="O255" s="19">
        <f>SUM(TABELA2567[[#This Row],[T1]:[T7]])</f>
        <v>0</v>
      </c>
      <c r="P255" s="21">
        <f>TABELA2567[[#This Row],[QTDE]]*TABELA2567[[#This Row],[PREÇO]]</f>
        <v>0</v>
      </c>
    </row>
    <row r="256" spans="1:16" x14ac:dyDescent="0.2">
      <c r="A256" s="1" t="str">
        <f>TRIM(TABELA2567[[#This Row],[PRODUTO]])&amp;TRIM(TABELA2567[[#This Row],[COR]])</f>
        <v>52.36.02281410</v>
      </c>
      <c r="B256" s="18" t="s">
        <v>522</v>
      </c>
      <c r="C256" s="19" t="s">
        <v>523</v>
      </c>
      <c r="D256" s="19" t="s">
        <v>219</v>
      </c>
      <c r="E256" s="19" t="s">
        <v>220</v>
      </c>
      <c r="F256" s="20">
        <v>206.63</v>
      </c>
      <c r="G256" s="19" t="s">
        <v>31</v>
      </c>
      <c r="H256" s="19"/>
      <c r="I256" s="19"/>
      <c r="J256" s="19"/>
      <c r="K256" s="19"/>
      <c r="L256" s="19"/>
      <c r="M256" s="19"/>
      <c r="N256" s="19"/>
      <c r="O256" s="19">
        <f>SUM(TABELA2567[[#This Row],[T1]:[T7]])</f>
        <v>0</v>
      </c>
      <c r="P256" s="21">
        <f>TABELA2567[[#This Row],[QTDE]]*TABELA2567[[#This Row],[PREÇO]]</f>
        <v>0</v>
      </c>
    </row>
    <row r="257" spans="1:16" x14ac:dyDescent="0.2">
      <c r="A257" s="1" t="str">
        <f>TRIM(TABELA2567[[#This Row],[PRODUTO]])&amp;TRIM(TABELA2567[[#This Row],[COR]])</f>
        <v>59.11.02240062</v>
      </c>
      <c r="B257" s="18" t="s">
        <v>524</v>
      </c>
      <c r="C257" s="19" t="s">
        <v>525</v>
      </c>
      <c r="D257" s="19" t="s">
        <v>47</v>
      </c>
      <c r="E257" s="19" t="s">
        <v>264</v>
      </c>
      <c r="F257" s="20">
        <v>110.35</v>
      </c>
      <c r="G257" s="19" t="s">
        <v>44</v>
      </c>
      <c r="H257" s="19"/>
      <c r="I257" s="19"/>
      <c r="J257" s="19"/>
      <c r="K257" s="19"/>
      <c r="L257" s="19"/>
      <c r="M257" s="19"/>
      <c r="N257" s="19"/>
      <c r="O257" s="19">
        <f>SUM(TABELA2567[[#This Row],[T1]:[T7]])</f>
        <v>0</v>
      </c>
      <c r="P257" s="21">
        <f>TABELA2567[[#This Row],[QTDE]]*TABELA2567[[#This Row],[PREÇO]]</f>
        <v>0</v>
      </c>
    </row>
    <row r="258" spans="1:16" x14ac:dyDescent="0.2">
      <c r="A258" s="1" t="str">
        <f>TRIM(TABELA2567[[#This Row],[PRODUTO]])&amp;TRIM(TABELA2567[[#This Row],[COR]])</f>
        <v>59.11.02251858</v>
      </c>
      <c r="B258" s="18" t="s">
        <v>526</v>
      </c>
      <c r="C258" s="19" t="s">
        <v>527</v>
      </c>
      <c r="D258" s="19" t="s">
        <v>60</v>
      </c>
      <c r="E258" s="19" t="s">
        <v>35</v>
      </c>
      <c r="F258" s="20">
        <v>99.24</v>
      </c>
      <c r="G258" s="19" t="s">
        <v>44</v>
      </c>
      <c r="H258" s="19"/>
      <c r="I258" s="19"/>
      <c r="J258" s="19"/>
      <c r="K258" s="19"/>
      <c r="L258" s="19"/>
      <c r="M258" s="19"/>
      <c r="N258" s="19"/>
      <c r="O258" s="19">
        <f>SUM(TABELA2567[[#This Row],[T1]:[T7]])</f>
        <v>0</v>
      </c>
      <c r="P258" s="21">
        <f>TABELA2567[[#This Row],[QTDE]]*TABELA2567[[#This Row],[PREÇO]]</f>
        <v>0</v>
      </c>
    </row>
    <row r="259" spans="1:16" x14ac:dyDescent="0.2">
      <c r="A259" s="1" t="str">
        <f>TRIM(TABELA2567[[#This Row],[PRODUTO]])&amp;TRIM(TABELA2567[[#This Row],[COR]])</f>
        <v>59.11.02260830</v>
      </c>
      <c r="B259" s="18" t="s">
        <v>528</v>
      </c>
      <c r="C259" s="19" t="s">
        <v>529</v>
      </c>
      <c r="D259" s="19" t="s">
        <v>79</v>
      </c>
      <c r="E259" s="19" t="s">
        <v>80</v>
      </c>
      <c r="F259" s="20">
        <v>73.319999999999993</v>
      </c>
      <c r="G259" s="19" t="s">
        <v>239</v>
      </c>
      <c r="H259" s="19"/>
      <c r="I259" s="19"/>
      <c r="J259" s="19"/>
      <c r="K259" s="19"/>
      <c r="L259" s="19"/>
      <c r="M259" s="19"/>
      <c r="N259" s="19"/>
      <c r="O259" s="19">
        <f>SUM(TABELA2567[[#This Row],[T1]:[T7]])</f>
        <v>0</v>
      </c>
      <c r="P259" s="21">
        <f>TABELA2567[[#This Row],[QTDE]]*TABELA2567[[#This Row],[PREÇO]]</f>
        <v>0</v>
      </c>
    </row>
    <row r="260" spans="1:16" x14ac:dyDescent="0.2">
      <c r="A260" s="1" t="str">
        <f>TRIM(TABELA2567[[#This Row],[PRODUTO]])&amp;TRIM(TABELA2567[[#This Row],[COR]])</f>
        <v>59.11.02271858</v>
      </c>
      <c r="B260" s="18" t="s">
        <v>530</v>
      </c>
      <c r="C260" s="19" t="s">
        <v>531</v>
      </c>
      <c r="D260" s="19" t="s">
        <v>60</v>
      </c>
      <c r="E260" s="19" t="s">
        <v>246</v>
      </c>
      <c r="F260" s="20">
        <v>102.94</v>
      </c>
      <c r="G260" s="19" t="s">
        <v>239</v>
      </c>
      <c r="H260" s="19"/>
      <c r="I260" s="19"/>
      <c r="J260" s="19"/>
      <c r="K260" s="19"/>
      <c r="L260" s="19"/>
      <c r="M260" s="19"/>
      <c r="N260" s="19"/>
      <c r="O260" s="19">
        <f>SUM(TABELA2567[[#This Row],[T1]:[T7]])</f>
        <v>0</v>
      </c>
      <c r="P260" s="21">
        <f>TABELA2567[[#This Row],[QTDE]]*TABELA2567[[#This Row],[PREÇO]]</f>
        <v>0</v>
      </c>
    </row>
    <row r="261" spans="1:16" x14ac:dyDescent="0.2">
      <c r="A261" s="1" t="str">
        <f>TRIM(TABELA2567[[#This Row],[PRODUTO]])&amp;TRIM(TABELA2567[[#This Row],[COR]])</f>
        <v>59.11.02285230</v>
      </c>
      <c r="B261" s="18" t="s">
        <v>532</v>
      </c>
      <c r="C261" s="19" t="s">
        <v>533</v>
      </c>
      <c r="D261" s="19" t="s">
        <v>212</v>
      </c>
      <c r="E261" s="19" t="s">
        <v>35</v>
      </c>
      <c r="F261" s="20">
        <v>102.94</v>
      </c>
      <c r="G261" s="19" t="s">
        <v>239</v>
      </c>
      <c r="H261" s="19"/>
      <c r="I261" s="19"/>
      <c r="J261" s="19"/>
      <c r="K261" s="19"/>
      <c r="L261" s="19"/>
      <c r="M261" s="19"/>
      <c r="N261" s="19"/>
      <c r="O261" s="19">
        <f>SUM(TABELA2567[[#This Row],[T1]:[T7]])</f>
        <v>0</v>
      </c>
      <c r="P261" s="21">
        <f>TABELA2567[[#This Row],[QTDE]]*TABELA2567[[#This Row],[PREÇO]]</f>
        <v>0</v>
      </c>
    </row>
    <row r="262" spans="1:16" x14ac:dyDescent="0.2">
      <c r="A262" s="1" t="str">
        <f>TRIM(TABELA2567[[#This Row],[PRODUTO]])&amp;TRIM(TABELA2567[[#This Row],[COR]])</f>
        <v>59.11.02291858</v>
      </c>
      <c r="B262" s="18" t="s">
        <v>534</v>
      </c>
      <c r="C262" s="19" t="s">
        <v>535</v>
      </c>
      <c r="D262" s="19" t="s">
        <v>60</v>
      </c>
      <c r="E262" s="19" t="s">
        <v>246</v>
      </c>
      <c r="F262" s="20">
        <v>121.46</v>
      </c>
      <c r="G262" s="19" t="s">
        <v>44</v>
      </c>
      <c r="H262" s="19"/>
      <c r="I262" s="19"/>
      <c r="J262" s="19"/>
      <c r="K262" s="19"/>
      <c r="L262" s="19"/>
      <c r="M262" s="19"/>
      <c r="N262" s="19"/>
      <c r="O262" s="19">
        <f>SUM(TABELA2567[[#This Row],[T1]:[T7]])</f>
        <v>0</v>
      </c>
      <c r="P262" s="21">
        <f>TABELA2567[[#This Row],[QTDE]]*TABELA2567[[#This Row],[PREÇO]]</f>
        <v>0</v>
      </c>
    </row>
    <row r="263" spans="1:16" x14ac:dyDescent="0.2">
      <c r="A263" s="1" t="str">
        <f>TRIM(TABELA2567[[#This Row],[PRODUTO]])&amp;TRIM(TABELA2567[[#This Row],[COR]])</f>
        <v>59.11.02301617</v>
      </c>
      <c r="B263" s="18" t="s">
        <v>536</v>
      </c>
      <c r="C263" s="19" t="s">
        <v>537</v>
      </c>
      <c r="D263" s="19" t="s">
        <v>140</v>
      </c>
      <c r="E263" s="19" t="s">
        <v>141</v>
      </c>
      <c r="F263" s="20">
        <v>54.8</v>
      </c>
      <c r="G263" s="19" t="s">
        <v>44</v>
      </c>
      <c r="H263" s="19"/>
      <c r="I263" s="19"/>
      <c r="J263" s="19"/>
      <c r="K263" s="19"/>
      <c r="L263" s="19"/>
      <c r="M263" s="19"/>
      <c r="N263" s="19"/>
      <c r="O263" s="19">
        <f>SUM(TABELA2567[[#This Row],[T1]:[T7]])</f>
        <v>0</v>
      </c>
      <c r="P263" s="21">
        <f>TABELA2567[[#This Row],[QTDE]]*TABELA2567[[#This Row],[PREÇO]]</f>
        <v>0</v>
      </c>
    </row>
    <row r="264" spans="1:16" x14ac:dyDescent="0.2">
      <c r="A264" s="1" t="str">
        <f>TRIM(TABELA2567[[#This Row],[PRODUTO]])&amp;TRIM(TABELA2567[[#This Row],[COR]])</f>
        <v>59.11.02320062</v>
      </c>
      <c r="B264" s="18" t="s">
        <v>538</v>
      </c>
      <c r="C264" s="19" t="s">
        <v>539</v>
      </c>
      <c r="D264" s="19" t="s">
        <v>47</v>
      </c>
      <c r="E264" s="19" t="s">
        <v>264</v>
      </c>
      <c r="F264" s="20">
        <v>102.94</v>
      </c>
      <c r="G264" s="19" t="s">
        <v>239</v>
      </c>
      <c r="H264" s="19"/>
      <c r="I264" s="19"/>
      <c r="J264" s="19"/>
      <c r="K264" s="19"/>
      <c r="L264" s="19"/>
      <c r="M264" s="19"/>
      <c r="N264" s="19"/>
      <c r="O264" s="19">
        <f>SUM(TABELA2567[[#This Row],[T1]:[T7]])</f>
        <v>0</v>
      </c>
      <c r="P264" s="21">
        <f>TABELA2567[[#This Row],[QTDE]]*TABELA2567[[#This Row],[PREÇO]]</f>
        <v>0</v>
      </c>
    </row>
    <row r="265" spans="1:16" x14ac:dyDescent="0.2">
      <c r="A265" s="1" t="str">
        <f>TRIM(TABELA2567[[#This Row],[PRODUTO]])&amp;TRIM(TABELA2567[[#This Row],[COR]])</f>
        <v>59.11.02330062</v>
      </c>
      <c r="B265" s="18" t="s">
        <v>540</v>
      </c>
      <c r="C265" s="19" t="s">
        <v>541</v>
      </c>
      <c r="D265" s="19" t="s">
        <v>47</v>
      </c>
      <c r="E265" s="19" t="s">
        <v>264</v>
      </c>
      <c r="F265" s="20">
        <v>128.86000000000001</v>
      </c>
      <c r="G265" s="19" t="s">
        <v>239</v>
      </c>
      <c r="H265" s="19"/>
      <c r="I265" s="19"/>
      <c r="J265" s="19"/>
      <c r="K265" s="19"/>
      <c r="L265" s="19"/>
      <c r="M265" s="19"/>
      <c r="N265" s="19"/>
      <c r="O265" s="19">
        <f>SUM(TABELA2567[[#This Row],[T1]:[T7]])</f>
        <v>0</v>
      </c>
      <c r="P265" s="21">
        <f>TABELA2567[[#This Row],[QTDE]]*TABELA2567[[#This Row],[PREÇO]]</f>
        <v>0</v>
      </c>
    </row>
    <row r="266" spans="1:16" x14ac:dyDescent="0.2">
      <c r="A266" s="1" t="str">
        <f>TRIM(TABELA2567[[#This Row],[PRODUTO]])&amp;TRIM(TABELA2567[[#This Row],[COR]])</f>
        <v>59.11.02335230</v>
      </c>
      <c r="B266" s="18" t="s">
        <v>540</v>
      </c>
      <c r="C266" s="19" t="s">
        <v>541</v>
      </c>
      <c r="D266" s="19" t="s">
        <v>212</v>
      </c>
      <c r="E266" s="19" t="s">
        <v>35</v>
      </c>
      <c r="F266" s="20">
        <v>128.86000000000001</v>
      </c>
      <c r="G266" s="19" t="s">
        <v>239</v>
      </c>
      <c r="H266" s="19"/>
      <c r="I266" s="19"/>
      <c r="J266" s="19"/>
      <c r="K266" s="19"/>
      <c r="L266" s="19"/>
      <c r="M266" s="19"/>
      <c r="N266" s="19"/>
      <c r="O266" s="19">
        <f>SUM(TABELA2567[[#This Row],[T1]:[T7]])</f>
        <v>0</v>
      </c>
      <c r="P266" s="21">
        <f>TABELA2567[[#This Row],[QTDE]]*TABELA2567[[#This Row],[PREÇO]]</f>
        <v>0</v>
      </c>
    </row>
    <row r="267" spans="1:16" x14ac:dyDescent="0.2">
      <c r="A267" s="1" t="str">
        <f>TRIM(TABELA2567[[#This Row],[PRODUTO]])&amp;TRIM(TABELA2567[[#This Row],[COR]])</f>
        <v>59.11.02355230</v>
      </c>
      <c r="B267" s="18" t="s">
        <v>542</v>
      </c>
      <c r="C267" s="19" t="s">
        <v>543</v>
      </c>
      <c r="D267" s="19" t="s">
        <v>212</v>
      </c>
      <c r="E267" s="19" t="s">
        <v>35</v>
      </c>
      <c r="F267" s="20">
        <v>110.35</v>
      </c>
      <c r="G267" s="19" t="s">
        <v>44</v>
      </c>
      <c r="H267" s="19"/>
      <c r="I267" s="19"/>
      <c r="J267" s="19"/>
      <c r="K267" s="19"/>
      <c r="L267" s="19"/>
      <c r="M267" s="19"/>
      <c r="N267" s="19"/>
      <c r="O267" s="19">
        <f>SUM(TABELA2567[[#This Row],[T1]:[T7]])</f>
        <v>0</v>
      </c>
      <c r="P267" s="21">
        <f>TABELA2567[[#This Row],[QTDE]]*TABELA2567[[#This Row],[PREÇO]]</f>
        <v>0</v>
      </c>
    </row>
    <row r="268" spans="1:16" x14ac:dyDescent="0.2">
      <c r="A268" s="1" t="str">
        <f>TRIM(TABELA2567[[#This Row],[PRODUTO]])&amp;TRIM(TABELA2567[[#This Row],[COR]])</f>
        <v>59.11.02360062</v>
      </c>
      <c r="B268" s="18" t="s">
        <v>544</v>
      </c>
      <c r="C268" s="19" t="s">
        <v>545</v>
      </c>
      <c r="D268" s="19" t="s">
        <v>47</v>
      </c>
      <c r="E268" s="19" t="s">
        <v>264</v>
      </c>
      <c r="F268" s="20">
        <v>121.46</v>
      </c>
      <c r="G268" s="19" t="s">
        <v>44</v>
      </c>
      <c r="H268" s="19"/>
      <c r="I268" s="19"/>
      <c r="J268" s="19"/>
      <c r="K268" s="19"/>
      <c r="L268" s="19"/>
      <c r="M268" s="19"/>
      <c r="N268" s="19"/>
      <c r="O268" s="19">
        <f>SUM(TABELA2567[[#This Row],[T1]:[T7]])</f>
        <v>0</v>
      </c>
      <c r="P268" s="21">
        <f>TABELA2567[[#This Row],[QTDE]]*TABELA2567[[#This Row],[PREÇO]]</f>
        <v>0</v>
      </c>
    </row>
    <row r="269" spans="1:16" x14ac:dyDescent="0.2">
      <c r="A269" s="1" t="str">
        <f>TRIM(TABELA2567[[#This Row],[PRODUTO]])&amp;TRIM(TABELA2567[[#This Row],[COR]])</f>
        <v>59.11.02365230</v>
      </c>
      <c r="B269" s="18" t="s">
        <v>544</v>
      </c>
      <c r="C269" s="19" t="s">
        <v>545</v>
      </c>
      <c r="D269" s="19" t="s">
        <v>212</v>
      </c>
      <c r="E269" s="19" t="s">
        <v>35</v>
      </c>
      <c r="F269" s="20">
        <v>121.46</v>
      </c>
      <c r="G269" s="19" t="s">
        <v>44</v>
      </c>
      <c r="H269" s="19"/>
      <c r="I269" s="19"/>
      <c r="J269" s="19"/>
      <c r="K269" s="19"/>
      <c r="L269" s="19"/>
      <c r="M269" s="19"/>
      <c r="N269" s="19"/>
      <c r="O269" s="19">
        <f>SUM(TABELA2567[[#This Row],[T1]:[T7]])</f>
        <v>0</v>
      </c>
      <c r="P269" s="21">
        <f>TABELA2567[[#This Row],[QTDE]]*TABELA2567[[#This Row],[PREÇO]]</f>
        <v>0</v>
      </c>
    </row>
    <row r="270" spans="1:16" x14ac:dyDescent="0.2">
      <c r="A270" s="1" t="str">
        <f>TRIM(TABELA2567[[#This Row],[PRODUTO]])&amp;TRIM(TABELA2567[[#This Row],[COR]])</f>
        <v>59.11.02371565</v>
      </c>
      <c r="B270" s="18" t="s">
        <v>546</v>
      </c>
      <c r="C270" s="19" t="s">
        <v>547</v>
      </c>
      <c r="D270" s="19" t="s">
        <v>208</v>
      </c>
      <c r="E270" s="19" t="s">
        <v>209</v>
      </c>
      <c r="F270" s="20">
        <v>147.38</v>
      </c>
      <c r="G270" s="19" t="s">
        <v>44</v>
      </c>
      <c r="H270" s="19"/>
      <c r="I270" s="19"/>
      <c r="J270" s="19"/>
      <c r="K270" s="19"/>
      <c r="L270" s="19"/>
      <c r="M270" s="19"/>
      <c r="N270" s="19"/>
      <c r="O270" s="19">
        <f>SUM(TABELA2567[[#This Row],[T1]:[T7]])</f>
        <v>0</v>
      </c>
      <c r="P270" s="21">
        <f>TABELA2567[[#This Row],[QTDE]]*TABELA2567[[#This Row],[PREÇO]]</f>
        <v>0</v>
      </c>
    </row>
    <row r="271" spans="1:16" x14ac:dyDescent="0.2">
      <c r="A271" s="1" t="str">
        <f>TRIM(TABELA2567[[#This Row],[PRODUTO]])&amp;TRIM(TABELA2567[[#This Row],[COR]])</f>
        <v>59.15.10551537</v>
      </c>
      <c r="B271" s="18" t="s">
        <v>548</v>
      </c>
      <c r="C271" s="19" t="s">
        <v>549</v>
      </c>
      <c r="D271" s="19" t="s">
        <v>260</v>
      </c>
      <c r="E271" s="19" t="s">
        <v>261</v>
      </c>
      <c r="F271" s="20">
        <v>99.24</v>
      </c>
      <c r="G271" s="19" t="s">
        <v>44</v>
      </c>
      <c r="H271" s="19"/>
      <c r="I271" s="19"/>
      <c r="J271" s="19"/>
      <c r="K271" s="19"/>
      <c r="L271" s="19"/>
      <c r="M271" s="19"/>
      <c r="N271" s="19"/>
      <c r="O271" s="19">
        <f>SUM(TABELA2567[[#This Row],[T1]:[T7]])</f>
        <v>0</v>
      </c>
      <c r="P271" s="21">
        <f>TABELA2567[[#This Row],[QTDE]]*TABELA2567[[#This Row],[PREÇO]]</f>
        <v>0</v>
      </c>
    </row>
    <row r="272" spans="1:16" x14ac:dyDescent="0.2">
      <c r="A272" s="1" t="str">
        <f>TRIM(TABELA2567[[#This Row],[PRODUTO]])&amp;TRIM(TABELA2567[[#This Row],[COR]])</f>
        <v>59.15.10565230</v>
      </c>
      <c r="B272" s="18" t="s">
        <v>550</v>
      </c>
      <c r="C272" s="19" t="s">
        <v>551</v>
      </c>
      <c r="D272" s="19" t="s">
        <v>212</v>
      </c>
      <c r="E272" s="19" t="s">
        <v>35</v>
      </c>
      <c r="F272" s="20">
        <v>110.35</v>
      </c>
      <c r="G272" s="19" t="s">
        <v>239</v>
      </c>
      <c r="H272" s="19"/>
      <c r="I272" s="19"/>
      <c r="J272" s="19"/>
      <c r="K272" s="19"/>
      <c r="L272" s="19"/>
      <c r="M272" s="19"/>
      <c r="N272" s="19"/>
      <c r="O272" s="19">
        <f>SUM(TABELA2567[[#This Row],[T1]:[T7]])</f>
        <v>0</v>
      </c>
      <c r="P272" s="21">
        <f>TABELA2567[[#This Row],[QTDE]]*TABELA2567[[#This Row],[PREÇO]]</f>
        <v>0</v>
      </c>
    </row>
    <row r="273" spans="1:16" x14ac:dyDescent="0.2">
      <c r="A273" s="1" t="str">
        <f>TRIM(TABELA2567[[#This Row],[PRODUTO]])&amp;TRIM(TABELA2567[[#This Row],[COR]])</f>
        <v>59.15.10570400</v>
      </c>
      <c r="B273" s="18" t="s">
        <v>552</v>
      </c>
      <c r="C273" s="19" t="s">
        <v>553</v>
      </c>
      <c r="D273" s="19" t="s">
        <v>46</v>
      </c>
      <c r="E273" s="19" t="s">
        <v>307</v>
      </c>
      <c r="F273" s="20">
        <v>121.46</v>
      </c>
      <c r="G273" s="19" t="s">
        <v>44</v>
      </c>
      <c r="H273" s="19"/>
      <c r="I273" s="19"/>
      <c r="J273" s="19"/>
      <c r="K273" s="19"/>
      <c r="L273" s="19"/>
      <c r="M273" s="19"/>
      <c r="N273" s="19"/>
      <c r="O273" s="19">
        <f>SUM(TABELA2567[[#This Row],[T1]:[T7]])</f>
        <v>0</v>
      </c>
      <c r="P273" s="21">
        <f>TABELA2567[[#This Row],[QTDE]]*TABELA2567[[#This Row],[PREÇO]]</f>
        <v>0</v>
      </c>
    </row>
    <row r="274" spans="1:16" x14ac:dyDescent="0.2">
      <c r="A274" s="1" t="str">
        <f>TRIM(TABELA2567[[#This Row],[PRODUTO]])&amp;TRIM(TABELA2567[[#This Row],[COR]])</f>
        <v>59.15.10581565</v>
      </c>
      <c r="B274" s="18" t="s">
        <v>554</v>
      </c>
      <c r="C274" s="19" t="s">
        <v>555</v>
      </c>
      <c r="D274" s="19" t="s">
        <v>208</v>
      </c>
      <c r="E274" s="19" t="s">
        <v>209</v>
      </c>
      <c r="F274" s="20">
        <v>99.24</v>
      </c>
      <c r="G274" s="19" t="s">
        <v>44</v>
      </c>
      <c r="H274" s="19"/>
      <c r="I274" s="19"/>
      <c r="J274" s="19"/>
      <c r="K274" s="19"/>
      <c r="L274" s="19"/>
      <c r="M274" s="19"/>
      <c r="N274" s="19"/>
      <c r="O274" s="19">
        <f>SUM(TABELA2567[[#This Row],[T1]:[T7]])</f>
        <v>0</v>
      </c>
      <c r="P274" s="21">
        <f>TABELA2567[[#This Row],[QTDE]]*TABELA2567[[#This Row],[PREÇO]]</f>
        <v>0</v>
      </c>
    </row>
    <row r="275" spans="1:16" x14ac:dyDescent="0.2">
      <c r="A275" s="1" t="str">
        <f>TRIM(TABELA2567[[#This Row],[PRODUTO]])&amp;TRIM(TABELA2567[[#This Row],[COR]])</f>
        <v>59.15.10590830</v>
      </c>
      <c r="B275" s="18" t="s">
        <v>556</v>
      </c>
      <c r="C275" s="19" t="s">
        <v>557</v>
      </c>
      <c r="D275" s="19" t="s">
        <v>79</v>
      </c>
      <c r="E275" s="19" t="s">
        <v>80</v>
      </c>
      <c r="F275" s="20">
        <v>84.43</v>
      </c>
      <c r="G275" s="19" t="s">
        <v>44</v>
      </c>
      <c r="H275" s="19"/>
      <c r="I275" s="19"/>
      <c r="J275" s="19"/>
      <c r="K275" s="19"/>
      <c r="L275" s="19"/>
      <c r="M275" s="19"/>
      <c r="N275" s="19"/>
      <c r="O275" s="19">
        <f>SUM(TABELA2567[[#This Row],[T1]:[T7]])</f>
        <v>0</v>
      </c>
      <c r="P275" s="21">
        <f>TABELA2567[[#This Row],[QTDE]]*TABELA2567[[#This Row],[PREÇO]]</f>
        <v>0</v>
      </c>
    </row>
    <row r="276" spans="1:16" x14ac:dyDescent="0.2">
      <c r="A276" s="1" t="str">
        <f>TRIM(TABELA2567[[#This Row],[PRODUTO]])&amp;TRIM(TABELA2567[[#This Row],[COR]])</f>
        <v>59.15.10605230</v>
      </c>
      <c r="B276" s="18" t="s">
        <v>558</v>
      </c>
      <c r="C276" s="19" t="s">
        <v>559</v>
      </c>
      <c r="D276" s="19" t="s">
        <v>212</v>
      </c>
      <c r="E276" s="19" t="s">
        <v>35</v>
      </c>
      <c r="F276" s="20">
        <v>84.43</v>
      </c>
      <c r="G276" s="19" t="s">
        <v>239</v>
      </c>
      <c r="H276" s="19"/>
      <c r="I276" s="19"/>
      <c r="J276" s="19"/>
      <c r="K276" s="19"/>
      <c r="L276" s="19"/>
      <c r="M276" s="19"/>
      <c r="N276" s="19"/>
      <c r="O276" s="19">
        <f>SUM(TABELA2567[[#This Row],[T1]:[T7]])</f>
        <v>0</v>
      </c>
      <c r="P276" s="21">
        <f>TABELA2567[[#This Row],[QTDE]]*TABELA2567[[#This Row],[PREÇO]]</f>
        <v>0</v>
      </c>
    </row>
    <row r="277" spans="1:16" x14ac:dyDescent="0.2">
      <c r="A277" s="1" t="str">
        <f>TRIM(TABELA2567[[#This Row],[PRODUTO]])&amp;TRIM(TABELA2567[[#This Row],[COR]])</f>
        <v>59.15.10611537</v>
      </c>
      <c r="B277" s="18" t="s">
        <v>560</v>
      </c>
      <c r="C277" s="19" t="s">
        <v>561</v>
      </c>
      <c r="D277" s="19" t="s">
        <v>260</v>
      </c>
      <c r="E277" s="19" t="s">
        <v>261</v>
      </c>
      <c r="F277" s="20">
        <v>102.94</v>
      </c>
      <c r="G277" s="19" t="s">
        <v>44</v>
      </c>
      <c r="H277" s="19"/>
      <c r="I277" s="19"/>
      <c r="J277" s="19"/>
      <c r="K277" s="19"/>
      <c r="L277" s="19"/>
      <c r="M277" s="19"/>
      <c r="N277" s="19"/>
      <c r="O277" s="19">
        <f>SUM(TABELA2567[[#This Row],[T1]:[T7]])</f>
        <v>0</v>
      </c>
      <c r="P277" s="21">
        <f>TABELA2567[[#This Row],[QTDE]]*TABELA2567[[#This Row],[PREÇO]]</f>
        <v>0</v>
      </c>
    </row>
    <row r="278" spans="1:16" x14ac:dyDescent="0.2">
      <c r="A278" s="1" t="str">
        <f>TRIM(TABELA2567[[#This Row],[PRODUTO]])&amp;TRIM(TABELA2567[[#This Row],[COR]])</f>
        <v>59.15.10621617</v>
      </c>
      <c r="B278" s="18" t="s">
        <v>562</v>
      </c>
      <c r="C278" s="19" t="s">
        <v>563</v>
      </c>
      <c r="D278" s="19" t="s">
        <v>140</v>
      </c>
      <c r="E278" s="19" t="s">
        <v>141</v>
      </c>
      <c r="F278" s="20">
        <v>110.35</v>
      </c>
      <c r="G278" s="19" t="s">
        <v>44</v>
      </c>
      <c r="H278" s="19"/>
      <c r="I278" s="19"/>
      <c r="J278" s="19"/>
      <c r="K278" s="19"/>
      <c r="L278" s="19"/>
      <c r="M278" s="19"/>
      <c r="N278" s="19"/>
      <c r="O278" s="19">
        <f>SUM(TABELA2567[[#This Row],[T1]:[T7]])</f>
        <v>0</v>
      </c>
      <c r="P278" s="21">
        <f>TABELA2567[[#This Row],[QTDE]]*TABELA2567[[#This Row],[PREÇO]]</f>
        <v>0</v>
      </c>
    </row>
    <row r="279" spans="1:16" x14ac:dyDescent="0.2">
      <c r="A279" s="1" t="str">
        <f>TRIM(TABELA2567[[#This Row],[PRODUTO]])&amp;TRIM(TABELA2567[[#This Row],[COR]])</f>
        <v>59.15.10631858</v>
      </c>
      <c r="B279" s="18" t="s">
        <v>564</v>
      </c>
      <c r="C279" s="19" t="s">
        <v>565</v>
      </c>
      <c r="D279" s="19" t="s">
        <v>60</v>
      </c>
      <c r="E279" s="19" t="s">
        <v>246</v>
      </c>
      <c r="F279" s="20">
        <v>84.43</v>
      </c>
      <c r="G279" s="19" t="s">
        <v>44</v>
      </c>
      <c r="H279" s="19"/>
      <c r="I279" s="19"/>
      <c r="J279" s="19"/>
      <c r="K279" s="19"/>
      <c r="L279" s="19"/>
      <c r="M279" s="19"/>
      <c r="N279" s="19"/>
      <c r="O279" s="19">
        <f>SUM(TABELA2567[[#This Row],[T1]:[T7]])</f>
        <v>0</v>
      </c>
      <c r="P279" s="21">
        <f>TABELA2567[[#This Row],[QTDE]]*TABELA2567[[#This Row],[PREÇO]]</f>
        <v>0</v>
      </c>
    </row>
    <row r="280" spans="1:16" x14ac:dyDescent="0.2">
      <c r="A280" s="1" t="str">
        <f>TRIM(TABELA2567[[#This Row],[PRODUTO]])&amp;TRIM(TABELA2567[[#This Row],[COR]])</f>
        <v>59.15.10645230</v>
      </c>
      <c r="B280" s="18" t="s">
        <v>566</v>
      </c>
      <c r="C280" s="19" t="s">
        <v>567</v>
      </c>
      <c r="D280" s="19" t="s">
        <v>212</v>
      </c>
      <c r="E280" s="19" t="s">
        <v>35</v>
      </c>
      <c r="F280" s="20">
        <v>102.94</v>
      </c>
      <c r="G280" s="19" t="s">
        <v>44</v>
      </c>
      <c r="H280" s="19"/>
      <c r="I280" s="19"/>
      <c r="J280" s="19"/>
      <c r="K280" s="19"/>
      <c r="L280" s="19"/>
      <c r="M280" s="19"/>
      <c r="N280" s="19"/>
      <c r="O280" s="19">
        <f>SUM(TABELA2567[[#This Row],[T1]:[T7]])</f>
        <v>0</v>
      </c>
      <c r="P280" s="21">
        <f>TABELA2567[[#This Row],[QTDE]]*TABELA2567[[#This Row],[PREÇO]]</f>
        <v>0</v>
      </c>
    </row>
    <row r="281" spans="1:16" x14ac:dyDescent="0.2">
      <c r="A281" s="1" t="str">
        <f>TRIM(TABELA2567[[#This Row],[PRODUTO]])&amp;TRIM(TABELA2567[[#This Row],[COR]])</f>
        <v>59.15.10650830</v>
      </c>
      <c r="B281" s="18" t="s">
        <v>568</v>
      </c>
      <c r="C281" s="19" t="s">
        <v>569</v>
      </c>
      <c r="D281" s="19" t="s">
        <v>79</v>
      </c>
      <c r="E281" s="19" t="s">
        <v>80</v>
      </c>
      <c r="F281" s="20">
        <v>54.8</v>
      </c>
      <c r="G281" s="19" t="s">
        <v>259</v>
      </c>
      <c r="H281" s="19"/>
      <c r="I281" s="19"/>
      <c r="J281" s="19"/>
      <c r="K281" s="19"/>
      <c r="L281" s="19"/>
      <c r="M281" s="19"/>
      <c r="N281" s="19"/>
      <c r="O281" s="19">
        <f>SUM(TABELA2567[[#This Row],[T1]:[T7]])</f>
        <v>0</v>
      </c>
      <c r="P281" s="21">
        <f>TABELA2567[[#This Row],[QTDE]]*TABELA2567[[#This Row],[PREÇO]]</f>
        <v>0</v>
      </c>
    </row>
    <row r="282" spans="1:16" x14ac:dyDescent="0.2">
      <c r="A282" s="1" t="str">
        <f>TRIM(TABELA2567[[#This Row],[PRODUTO]])&amp;TRIM(TABELA2567[[#This Row],[COR]])</f>
        <v>59.15.10651537</v>
      </c>
      <c r="B282" s="18" t="s">
        <v>568</v>
      </c>
      <c r="C282" s="19" t="s">
        <v>569</v>
      </c>
      <c r="D282" s="19" t="s">
        <v>260</v>
      </c>
      <c r="E282" s="19" t="s">
        <v>261</v>
      </c>
      <c r="F282" s="20">
        <v>54.8</v>
      </c>
      <c r="G282" s="19" t="s">
        <v>259</v>
      </c>
      <c r="H282" s="19"/>
      <c r="I282" s="19"/>
      <c r="J282" s="19"/>
      <c r="K282" s="19"/>
      <c r="L282" s="19"/>
      <c r="M282" s="19"/>
      <c r="N282" s="19"/>
      <c r="O282" s="19">
        <f>SUM(TABELA2567[[#This Row],[T1]:[T7]])</f>
        <v>0</v>
      </c>
      <c r="P282" s="21">
        <f>TABELA2567[[#This Row],[QTDE]]*TABELA2567[[#This Row],[PREÇO]]</f>
        <v>0</v>
      </c>
    </row>
    <row r="283" spans="1:16" x14ac:dyDescent="0.2">
      <c r="A283" s="1" t="str">
        <f>TRIM(TABELA2567[[#This Row],[PRODUTO]])&amp;TRIM(TABELA2567[[#This Row],[COR]])</f>
        <v>59.15.10655230</v>
      </c>
      <c r="B283" s="18" t="s">
        <v>568</v>
      </c>
      <c r="C283" s="19" t="s">
        <v>569</v>
      </c>
      <c r="D283" s="19" t="s">
        <v>212</v>
      </c>
      <c r="E283" s="19" t="s">
        <v>35</v>
      </c>
      <c r="F283" s="20">
        <v>54.8</v>
      </c>
      <c r="G283" s="19" t="s">
        <v>259</v>
      </c>
      <c r="H283" s="19"/>
      <c r="I283" s="19"/>
      <c r="J283" s="19"/>
      <c r="K283" s="19"/>
      <c r="L283" s="19"/>
      <c r="M283" s="19"/>
      <c r="N283" s="19"/>
      <c r="O283" s="19">
        <f>SUM(TABELA2567[[#This Row],[T1]:[T7]])</f>
        <v>0</v>
      </c>
      <c r="P283" s="21">
        <f>TABELA2567[[#This Row],[QTDE]]*TABELA2567[[#This Row],[PREÇO]]</f>
        <v>0</v>
      </c>
    </row>
    <row r="284" spans="1:16" x14ac:dyDescent="0.2">
      <c r="A284" s="1" t="str">
        <f>TRIM(TABELA2567[[#This Row],[PRODUTO]])&amp;TRIM(TABELA2567[[#This Row],[COR]])</f>
        <v>59.15.10660830</v>
      </c>
      <c r="B284" s="18" t="s">
        <v>570</v>
      </c>
      <c r="C284" s="19" t="s">
        <v>571</v>
      </c>
      <c r="D284" s="19" t="s">
        <v>79</v>
      </c>
      <c r="E284" s="19" t="s">
        <v>80</v>
      </c>
      <c r="F284" s="20">
        <v>102.94</v>
      </c>
      <c r="G284" s="19" t="s">
        <v>44</v>
      </c>
      <c r="H284" s="19"/>
      <c r="I284" s="19"/>
      <c r="J284" s="19"/>
      <c r="K284" s="19"/>
      <c r="L284" s="19"/>
      <c r="M284" s="19"/>
      <c r="N284" s="19"/>
      <c r="O284" s="19">
        <f>SUM(TABELA2567[[#This Row],[T1]:[T7]])</f>
        <v>0</v>
      </c>
      <c r="P284" s="21">
        <f>TABELA2567[[#This Row],[QTDE]]*TABELA2567[[#This Row],[PREÇO]]</f>
        <v>0</v>
      </c>
    </row>
    <row r="285" spans="1:16" x14ac:dyDescent="0.2">
      <c r="A285" s="1" t="str">
        <f>TRIM(TABELA2567[[#This Row],[PRODUTO]])&amp;TRIM(TABELA2567[[#This Row],[COR]])</f>
        <v>59.15.10665230</v>
      </c>
      <c r="B285" s="18" t="s">
        <v>570</v>
      </c>
      <c r="C285" s="19" t="s">
        <v>571</v>
      </c>
      <c r="D285" s="19" t="s">
        <v>212</v>
      </c>
      <c r="E285" s="19" t="s">
        <v>35</v>
      </c>
      <c r="F285" s="20">
        <v>102.94</v>
      </c>
      <c r="G285" s="19" t="s">
        <v>44</v>
      </c>
      <c r="H285" s="19"/>
      <c r="I285" s="19"/>
      <c r="J285" s="19"/>
      <c r="K285" s="19"/>
      <c r="L285" s="19"/>
      <c r="M285" s="19"/>
      <c r="N285" s="19"/>
      <c r="O285" s="19">
        <f>SUM(TABELA2567[[#This Row],[T1]:[T7]])</f>
        <v>0</v>
      </c>
      <c r="P285" s="21">
        <f>TABELA2567[[#This Row],[QTDE]]*TABELA2567[[#This Row],[PREÇO]]</f>
        <v>0</v>
      </c>
    </row>
    <row r="286" spans="1:16" x14ac:dyDescent="0.2">
      <c r="A286" s="1" t="str">
        <f>TRIM(TABELA2567[[#This Row],[PRODUTO]])&amp;TRIM(TABELA2567[[#This Row],[COR]])</f>
        <v>59.15.10675230</v>
      </c>
      <c r="B286" s="18" t="s">
        <v>572</v>
      </c>
      <c r="C286" s="19" t="s">
        <v>573</v>
      </c>
      <c r="D286" s="19" t="s">
        <v>212</v>
      </c>
      <c r="E286" s="19" t="s">
        <v>35</v>
      </c>
      <c r="F286" s="20">
        <v>102.94</v>
      </c>
      <c r="G286" s="19" t="s">
        <v>44</v>
      </c>
      <c r="H286" s="19"/>
      <c r="I286" s="19"/>
      <c r="J286" s="19"/>
      <c r="K286" s="19"/>
      <c r="L286" s="19"/>
      <c r="M286" s="19"/>
      <c r="N286" s="19"/>
      <c r="O286" s="19">
        <f>SUM(TABELA2567[[#This Row],[T1]:[T7]])</f>
        <v>0</v>
      </c>
      <c r="P286" s="21">
        <f>TABELA2567[[#This Row],[QTDE]]*TABELA2567[[#This Row],[PREÇO]]</f>
        <v>0</v>
      </c>
    </row>
    <row r="287" spans="1:16" x14ac:dyDescent="0.2">
      <c r="A287" s="1" t="str">
        <f>TRIM(TABELA2567[[#This Row],[PRODUTO]])&amp;TRIM(TABELA2567[[#This Row],[COR]])</f>
        <v>59.15.10685230</v>
      </c>
      <c r="B287" s="18" t="s">
        <v>574</v>
      </c>
      <c r="C287" s="19" t="s">
        <v>575</v>
      </c>
      <c r="D287" s="19" t="s">
        <v>212</v>
      </c>
      <c r="E287" s="19" t="s">
        <v>35</v>
      </c>
      <c r="F287" s="20">
        <v>110.35</v>
      </c>
      <c r="G287" s="19" t="s">
        <v>44</v>
      </c>
      <c r="H287" s="19"/>
      <c r="I287" s="19"/>
      <c r="J287" s="19"/>
      <c r="K287" s="19"/>
      <c r="L287" s="19"/>
      <c r="M287" s="19"/>
      <c r="N287" s="19"/>
      <c r="O287" s="19">
        <f>SUM(TABELA2567[[#This Row],[T1]:[T7]])</f>
        <v>0</v>
      </c>
      <c r="P287" s="21">
        <f>TABELA2567[[#This Row],[QTDE]]*TABELA2567[[#This Row],[PREÇO]]</f>
        <v>0</v>
      </c>
    </row>
    <row r="288" spans="1:16" x14ac:dyDescent="0.2">
      <c r="A288" s="1" t="str">
        <f>TRIM(TABELA2567[[#This Row],[PRODUTO]])&amp;TRIM(TABELA2567[[#This Row],[COR]])</f>
        <v>59.15.10695230</v>
      </c>
      <c r="B288" s="18" t="s">
        <v>576</v>
      </c>
      <c r="C288" s="19" t="s">
        <v>577</v>
      </c>
      <c r="D288" s="19" t="s">
        <v>212</v>
      </c>
      <c r="E288" s="19" t="s">
        <v>35</v>
      </c>
      <c r="F288" s="20">
        <v>147.38</v>
      </c>
      <c r="G288" s="19" t="s">
        <v>44</v>
      </c>
      <c r="H288" s="19"/>
      <c r="I288" s="19"/>
      <c r="J288" s="19"/>
      <c r="K288" s="19"/>
      <c r="L288" s="19"/>
      <c r="M288" s="19"/>
      <c r="N288" s="19"/>
      <c r="O288" s="19">
        <f>SUM(TABELA2567[[#This Row],[T1]:[T7]])</f>
        <v>0</v>
      </c>
      <c r="P288" s="21">
        <f>TABELA2567[[#This Row],[QTDE]]*TABELA2567[[#This Row],[PREÇO]]</f>
        <v>0</v>
      </c>
    </row>
    <row r="289" spans="1:16" x14ac:dyDescent="0.2">
      <c r="A289" s="1" t="str">
        <f>TRIM(TABELA2567[[#This Row],[PRODUTO]])&amp;TRIM(TABELA2567[[#This Row],[COR]])</f>
        <v>59.15.10700830</v>
      </c>
      <c r="B289" s="18" t="s">
        <v>578</v>
      </c>
      <c r="C289" s="19" t="s">
        <v>579</v>
      </c>
      <c r="D289" s="19" t="s">
        <v>79</v>
      </c>
      <c r="E289" s="19" t="s">
        <v>80</v>
      </c>
      <c r="F289" s="20">
        <v>128.86000000000001</v>
      </c>
      <c r="G289" s="19" t="s">
        <v>44</v>
      </c>
      <c r="H289" s="19"/>
      <c r="I289" s="19"/>
      <c r="J289" s="19"/>
      <c r="K289" s="19"/>
      <c r="L289" s="19"/>
      <c r="M289" s="19"/>
      <c r="N289" s="19"/>
      <c r="O289" s="19">
        <f>SUM(TABELA2567[[#This Row],[T1]:[T7]])</f>
        <v>0</v>
      </c>
      <c r="P289" s="21">
        <f>TABELA2567[[#This Row],[QTDE]]*TABELA2567[[#This Row],[PREÇO]]</f>
        <v>0</v>
      </c>
    </row>
    <row r="290" spans="1:16" x14ac:dyDescent="0.2">
      <c r="A290" s="1" t="str">
        <f>TRIM(TABELA2567[[#This Row],[PRODUTO]])&amp;TRIM(TABELA2567[[#This Row],[COR]])</f>
        <v>59.15.10710011</v>
      </c>
      <c r="B290" s="18" t="s">
        <v>580</v>
      </c>
      <c r="C290" s="19" t="s">
        <v>581</v>
      </c>
      <c r="D290" s="19" t="s">
        <v>48</v>
      </c>
      <c r="E290" s="19" t="s">
        <v>254</v>
      </c>
      <c r="F290" s="20">
        <v>73.319999999999993</v>
      </c>
      <c r="G290" s="19" t="s">
        <v>239</v>
      </c>
      <c r="H290" s="19"/>
      <c r="I290" s="19"/>
      <c r="J290" s="19"/>
      <c r="K290" s="19"/>
      <c r="L290" s="19"/>
      <c r="M290" s="19"/>
      <c r="N290" s="19"/>
      <c r="O290" s="19">
        <f>SUM(TABELA2567[[#This Row],[T1]:[T7]])</f>
        <v>0</v>
      </c>
      <c r="P290" s="21">
        <f>TABELA2567[[#This Row],[QTDE]]*TABELA2567[[#This Row],[PREÇO]]</f>
        <v>0</v>
      </c>
    </row>
    <row r="291" spans="1:16" x14ac:dyDescent="0.2">
      <c r="A291" s="1" t="str">
        <f>TRIM(TABELA2567[[#This Row],[PRODUTO]])&amp;TRIM(TABELA2567[[#This Row],[COR]])</f>
        <v>59.15.10741537</v>
      </c>
      <c r="B291" s="18" t="s">
        <v>582</v>
      </c>
      <c r="C291" s="19" t="s">
        <v>583</v>
      </c>
      <c r="D291" s="19" t="s">
        <v>260</v>
      </c>
      <c r="E291" s="19" t="s">
        <v>261</v>
      </c>
      <c r="F291" s="20">
        <v>99.24</v>
      </c>
      <c r="G291" s="19" t="s">
        <v>44</v>
      </c>
      <c r="H291" s="19"/>
      <c r="I291" s="19"/>
      <c r="J291" s="19"/>
      <c r="K291" s="19"/>
      <c r="L291" s="19"/>
      <c r="M291" s="19"/>
      <c r="N291" s="19"/>
      <c r="O291" s="19">
        <f>SUM(TABELA2567[[#This Row],[T1]:[T7]])</f>
        <v>0</v>
      </c>
      <c r="P291" s="21">
        <f>TABELA2567[[#This Row],[QTDE]]*TABELA2567[[#This Row],[PREÇO]]</f>
        <v>0</v>
      </c>
    </row>
    <row r="292" spans="1:16" x14ac:dyDescent="0.2">
      <c r="A292" s="1" t="str">
        <f>TRIM(TABELA2567[[#This Row],[PRODUTO]])&amp;TRIM(TABELA2567[[#This Row],[COR]])</f>
        <v>59.15.10751617</v>
      </c>
      <c r="B292" s="18" t="s">
        <v>584</v>
      </c>
      <c r="C292" s="19" t="s">
        <v>585</v>
      </c>
      <c r="D292" s="19" t="s">
        <v>140</v>
      </c>
      <c r="E292" s="19" t="s">
        <v>141</v>
      </c>
      <c r="F292" s="20">
        <v>91.83</v>
      </c>
      <c r="G292" s="19" t="s">
        <v>44</v>
      </c>
      <c r="H292" s="19"/>
      <c r="I292" s="19"/>
      <c r="J292" s="19"/>
      <c r="K292" s="19"/>
      <c r="L292" s="19"/>
      <c r="M292" s="19"/>
      <c r="N292" s="19"/>
      <c r="O292" s="19">
        <f>SUM(TABELA2567[[#This Row],[T1]:[T7]])</f>
        <v>0</v>
      </c>
      <c r="P292" s="21">
        <f>TABELA2567[[#This Row],[QTDE]]*TABELA2567[[#This Row],[PREÇO]]</f>
        <v>0</v>
      </c>
    </row>
    <row r="293" spans="1:16" x14ac:dyDescent="0.2">
      <c r="A293" s="1" t="str">
        <f>TRIM(TABELA2567[[#This Row],[PRODUTO]])&amp;TRIM(TABELA2567[[#This Row],[COR]])</f>
        <v>59.15.10762441</v>
      </c>
      <c r="B293" s="18" t="s">
        <v>586</v>
      </c>
      <c r="C293" s="19" t="s">
        <v>587</v>
      </c>
      <c r="D293" s="19" t="s">
        <v>62</v>
      </c>
      <c r="E293" s="19" t="s">
        <v>63</v>
      </c>
      <c r="F293" s="20">
        <v>91.83</v>
      </c>
      <c r="G293" s="19" t="s">
        <v>44</v>
      </c>
      <c r="H293" s="19"/>
      <c r="I293" s="19"/>
      <c r="J293" s="19"/>
      <c r="K293" s="19"/>
      <c r="L293" s="19"/>
      <c r="M293" s="19"/>
      <c r="N293" s="19"/>
      <c r="O293" s="19">
        <f>SUM(TABELA2567[[#This Row],[T1]:[T7]])</f>
        <v>0</v>
      </c>
      <c r="P293" s="21">
        <f>TABELA2567[[#This Row],[QTDE]]*TABELA2567[[#This Row],[PREÇO]]</f>
        <v>0</v>
      </c>
    </row>
    <row r="294" spans="1:16" x14ac:dyDescent="0.2">
      <c r="A294" s="1" t="str">
        <f>TRIM(TABELA2567[[#This Row],[PRODUTO]])&amp;TRIM(TABELA2567[[#This Row],[COR]])</f>
        <v>59.15.10775230</v>
      </c>
      <c r="B294" s="18" t="s">
        <v>588</v>
      </c>
      <c r="C294" s="19" t="s">
        <v>1615</v>
      </c>
      <c r="D294" s="19" t="s">
        <v>212</v>
      </c>
      <c r="E294" s="19" t="s">
        <v>35</v>
      </c>
      <c r="F294" s="20">
        <v>121.46</v>
      </c>
      <c r="G294" s="19" t="s">
        <v>239</v>
      </c>
      <c r="H294" s="19"/>
      <c r="I294" s="19"/>
      <c r="J294" s="19"/>
      <c r="K294" s="19"/>
      <c r="L294" s="19"/>
      <c r="M294" s="19"/>
      <c r="N294" s="19"/>
      <c r="O294" s="19">
        <f>SUM(TABELA2567[[#This Row],[T1]:[T7]])</f>
        <v>0</v>
      </c>
      <c r="P294" s="21">
        <f>TABELA2567[[#This Row],[QTDE]]*TABELA2567[[#This Row],[PREÇO]]</f>
        <v>0</v>
      </c>
    </row>
    <row r="295" spans="1:16" x14ac:dyDescent="0.2">
      <c r="A295" s="1" t="str">
        <f>TRIM(TABELA2567[[#This Row],[PRODUTO]])&amp;TRIM(TABELA2567[[#This Row],[COR]])</f>
        <v>59.15.10785230</v>
      </c>
      <c r="B295" s="18" t="s">
        <v>589</v>
      </c>
      <c r="C295" s="19" t="s">
        <v>590</v>
      </c>
      <c r="D295" s="19" t="s">
        <v>212</v>
      </c>
      <c r="E295" s="19" t="s">
        <v>35</v>
      </c>
      <c r="F295" s="20">
        <v>110.35</v>
      </c>
      <c r="G295" s="19" t="s">
        <v>44</v>
      </c>
      <c r="H295" s="19"/>
      <c r="I295" s="19"/>
      <c r="J295" s="19"/>
      <c r="K295" s="19"/>
      <c r="L295" s="19"/>
      <c r="M295" s="19"/>
      <c r="N295" s="19"/>
      <c r="O295" s="19">
        <f>SUM(TABELA2567[[#This Row],[T1]:[T7]])</f>
        <v>0</v>
      </c>
      <c r="P295" s="21">
        <f>TABELA2567[[#This Row],[QTDE]]*TABELA2567[[#This Row],[PREÇO]]</f>
        <v>0</v>
      </c>
    </row>
    <row r="296" spans="1:16" x14ac:dyDescent="0.2">
      <c r="A296" s="1" t="str">
        <f>TRIM(TABELA2567[[#This Row],[PRODUTO]])&amp;TRIM(TABELA2567[[#This Row],[COR]])</f>
        <v>59.15.10795230</v>
      </c>
      <c r="B296" s="18" t="s">
        <v>591</v>
      </c>
      <c r="C296" s="19" t="s">
        <v>592</v>
      </c>
      <c r="D296" s="19" t="s">
        <v>212</v>
      </c>
      <c r="E296" s="19" t="s">
        <v>35</v>
      </c>
      <c r="F296" s="20">
        <v>128.86000000000001</v>
      </c>
      <c r="G296" s="19" t="s">
        <v>44</v>
      </c>
      <c r="H296" s="19"/>
      <c r="I296" s="19"/>
      <c r="J296" s="19"/>
      <c r="K296" s="19"/>
      <c r="L296" s="19"/>
      <c r="M296" s="19"/>
      <c r="N296" s="19"/>
      <c r="O296" s="19">
        <f>SUM(TABELA2567[[#This Row],[T1]:[T7]])</f>
        <v>0</v>
      </c>
      <c r="P296" s="21">
        <f>TABELA2567[[#This Row],[QTDE]]*TABELA2567[[#This Row],[PREÇO]]</f>
        <v>0</v>
      </c>
    </row>
    <row r="297" spans="1:16" x14ac:dyDescent="0.2">
      <c r="A297" s="1" t="str">
        <f>TRIM(TABELA2567[[#This Row],[PRODUTO]])&amp;TRIM(TABELA2567[[#This Row],[COR]])</f>
        <v>59.15.10800830</v>
      </c>
      <c r="B297" s="18" t="s">
        <v>593</v>
      </c>
      <c r="C297" s="19" t="s">
        <v>594</v>
      </c>
      <c r="D297" s="19" t="s">
        <v>79</v>
      </c>
      <c r="E297" s="19" t="s">
        <v>80</v>
      </c>
      <c r="F297" s="20">
        <v>139.97</v>
      </c>
      <c r="G297" s="19" t="s">
        <v>44</v>
      </c>
      <c r="H297" s="19"/>
      <c r="I297" s="19"/>
      <c r="J297" s="19"/>
      <c r="K297" s="19"/>
      <c r="L297" s="19"/>
      <c r="M297" s="19"/>
      <c r="N297" s="19"/>
      <c r="O297" s="19">
        <f>SUM(TABELA2567[[#This Row],[T1]:[T7]])</f>
        <v>0</v>
      </c>
      <c r="P297" s="21">
        <f>TABELA2567[[#This Row],[QTDE]]*TABELA2567[[#This Row],[PREÇO]]</f>
        <v>0</v>
      </c>
    </row>
    <row r="298" spans="1:16" x14ac:dyDescent="0.2">
      <c r="A298" s="1" t="str">
        <f>TRIM(TABELA2567[[#This Row],[PRODUTO]])&amp;TRIM(TABELA2567[[#This Row],[COR]])</f>
        <v>59.15.10805230</v>
      </c>
      <c r="B298" s="18" t="s">
        <v>593</v>
      </c>
      <c r="C298" s="19" t="s">
        <v>594</v>
      </c>
      <c r="D298" s="19" t="s">
        <v>212</v>
      </c>
      <c r="E298" s="19" t="s">
        <v>35</v>
      </c>
      <c r="F298" s="20">
        <v>139.97</v>
      </c>
      <c r="G298" s="19" t="s">
        <v>44</v>
      </c>
      <c r="H298" s="19"/>
      <c r="I298" s="19"/>
      <c r="J298" s="19"/>
      <c r="K298" s="19"/>
      <c r="L298" s="19"/>
      <c r="M298" s="19"/>
      <c r="N298" s="19"/>
      <c r="O298" s="19">
        <f>SUM(TABELA2567[[#This Row],[T1]:[T7]])</f>
        <v>0</v>
      </c>
      <c r="P298" s="21">
        <f>TABELA2567[[#This Row],[QTDE]]*TABELA2567[[#This Row],[PREÇO]]</f>
        <v>0</v>
      </c>
    </row>
    <row r="299" spans="1:16" x14ac:dyDescent="0.2">
      <c r="A299" s="1" t="str">
        <f>TRIM(TABELA2567[[#This Row],[PRODUTO]])&amp;TRIM(TABELA2567[[#This Row],[COR]])</f>
        <v>59.15.10815230</v>
      </c>
      <c r="B299" s="18" t="s">
        <v>595</v>
      </c>
      <c r="C299" s="19" t="s">
        <v>596</v>
      </c>
      <c r="D299" s="19" t="s">
        <v>212</v>
      </c>
      <c r="E299" s="19" t="s">
        <v>35</v>
      </c>
      <c r="F299" s="20">
        <v>147.38</v>
      </c>
      <c r="G299" s="19" t="s">
        <v>44</v>
      </c>
      <c r="H299" s="19"/>
      <c r="I299" s="19"/>
      <c r="J299" s="19"/>
      <c r="K299" s="19"/>
      <c r="L299" s="19"/>
      <c r="M299" s="19"/>
      <c r="N299" s="19"/>
      <c r="O299" s="19">
        <f>SUM(TABELA2567[[#This Row],[T1]:[T7]])</f>
        <v>0</v>
      </c>
      <c r="P299" s="21">
        <f>TABELA2567[[#This Row],[QTDE]]*TABELA2567[[#This Row],[PREÇO]]</f>
        <v>0</v>
      </c>
    </row>
    <row r="300" spans="1:16" x14ac:dyDescent="0.2">
      <c r="A300" s="1" t="str">
        <f>TRIM(TABELA2567[[#This Row],[PRODUTO]])&amp;TRIM(TABELA2567[[#This Row],[COR]])</f>
        <v>69.01.03320830</v>
      </c>
      <c r="B300" s="18" t="s">
        <v>597</v>
      </c>
      <c r="C300" s="19" t="s">
        <v>598</v>
      </c>
      <c r="D300" s="19" t="s">
        <v>79</v>
      </c>
      <c r="E300" s="19" t="s">
        <v>80</v>
      </c>
      <c r="F300" s="20">
        <v>54.8</v>
      </c>
      <c r="G300" s="19" t="s">
        <v>44</v>
      </c>
      <c r="H300" s="19"/>
      <c r="I300" s="19"/>
      <c r="J300" s="19"/>
      <c r="K300" s="19"/>
      <c r="L300" s="19"/>
      <c r="M300" s="19"/>
      <c r="N300" s="19"/>
      <c r="O300" s="19">
        <f>SUM(TABELA2567[[#This Row],[T1]:[T7]])</f>
        <v>0</v>
      </c>
      <c r="P300" s="21">
        <f>TABELA2567[[#This Row],[QTDE]]*TABELA2567[[#This Row],[PREÇO]]</f>
        <v>0</v>
      </c>
    </row>
    <row r="301" spans="1:16" x14ac:dyDescent="0.2">
      <c r="A301" s="1" t="str">
        <f>TRIM(TABELA2567[[#This Row],[PRODUTO]])&amp;TRIM(TABELA2567[[#This Row],[COR]])</f>
        <v>69.01.03325230</v>
      </c>
      <c r="B301" s="18" t="s">
        <v>597</v>
      </c>
      <c r="C301" s="19" t="s">
        <v>598</v>
      </c>
      <c r="D301" s="19" t="s">
        <v>212</v>
      </c>
      <c r="E301" s="19" t="s">
        <v>35</v>
      </c>
      <c r="F301" s="20">
        <v>54.8</v>
      </c>
      <c r="G301" s="19" t="s">
        <v>44</v>
      </c>
      <c r="H301" s="19"/>
      <c r="I301" s="19"/>
      <c r="J301" s="19"/>
      <c r="K301" s="19"/>
      <c r="L301" s="19"/>
      <c r="M301" s="19"/>
      <c r="N301" s="19"/>
      <c r="O301" s="19">
        <f>SUM(TABELA2567[[#This Row],[T1]:[T7]])</f>
        <v>0</v>
      </c>
      <c r="P301" s="21">
        <f>TABELA2567[[#This Row],[QTDE]]*TABELA2567[[#This Row],[PREÇO]]</f>
        <v>0</v>
      </c>
    </row>
    <row r="302" spans="1:16" x14ac:dyDescent="0.2">
      <c r="A302" s="1" t="str">
        <f>TRIM(TABELA2567[[#This Row],[PRODUTO]])&amp;TRIM(TABELA2567[[#This Row],[COR]])</f>
        <v>69.01.03331858</v>
      </c>
      <c r="B302" s="18" t="s">
        <v>599</v>
      </c>
      <c r="C302" s="19" t="s">
        <v>600</v>
      </c>
      <c r="D302" s="19" t="s">
        <v>60</v>
      </c>
      <c r="E302" s="19" t="s">
        <v>246</v>
      </c>
      <c r="F302" s="20">
        <v>62.21</v>
      </c>
      <c r="G302" s="19" t="s">
        <v>44</v>
      </c>
      <c r="H302" s="19"/>
      <c r="I302" s="19"/>
      <c r="J302" s="19"/>
      <c r="K302" s="19"/>
      <c r="L302" s="19"/>
      <c r="M302" s="19"/>
      <c r="N302" s="19"/>
      <c r="O302" s="19">
        <f>SUM(TABELA2567[[#This Row],[T1]:[T7]])</f>
        <v>0</v>
      </c>
      <c r="P302" s="21">
        <f>TABELA2567[[#This Row],[QTDE]]*TABELA2567[[#This Row],[PREÇO]]</f>
        <v>0</v>
      </c>
    </row>
    <row r="303" spans="1:16" x14ac:dyDescent="0.2">
      <c r="A303" s="1" t="str">
        <f>TRIM(TABELA2567[[#This Row],[PRODUTO]])&amp;TRIM(TABELA2567[[#This Row],[COR]])</f>
        <v>69.01.03335230</v>
      </c>
      <c r="B303" s="18" t="s">
        <v>599</v>
      </c>
      <c r="C303" s="19" t="s">
        <v>600</v>
      </c>
      <c r="D303" s="19" t="s">
        <v>212</v>
      </c>
      <c r="E303" s="19" t="s">
        <v>35</v>
      </c>
      <c r="F303" s="20">
        <v>62.21</v>
      </c>
      <c r="G303" s="19" t="s">
        <v>44</v>
      </c>
      <c r="H303" s="19"/>
      <c r="I303" s="19"/>
      <c r="J303" s="19"/>
      <c r="K303" s="19"/>
      <c r="L303" s="19"/>
      <c r="M303" s="19"/>
      <c r="N303" s="19"/>
      <c r="O303" s="19">
        <f>SUM(TABELA2567[[#This Row],[T1]:[T7]])</f>
        <v>0</v>
      </c>
      <c r="P303" s="21">
        <f>TABELA2567[[#This Row],[QTDE]]*TABELA2567[[#This Row],[PREÇO]]</f>
        <v>0</v>
      </c>
    </row>
    <row r="304" spans="1:16" x14ac:dyDescent="0.2">
      <c r="A304" s="1" t="str">
        <f>TRIM(TABELA2567[[#This Row],[PRODUTO]])&amp;TRIM(TABELA2567[[#This Row],[COR]])</f>
        <v>69.01.03355230</v>
      </c>
      <c r="B304" s="18" t="s">
        <v>601</v>
      </c>
      <c r="C304" s="19" t="s">
        <v>602</v>
      </c>
      <c r="D304" s="19" t="s">
        <v>212</v>
      </c>
      <c r="E304" s="19" t="s">
        <v>35</v>
      </c>
      <c r="F304" s="20">
        <v>73.319999999999993</v>
      </c>
      <c r="G304" s="19" t="s">
        <v>44</v>
      </c>
      <c r="H304" s="19"/>
      <c r="I304" s="19"/>
      <c r="J304" s="19"/>
      <c r="K304" s="19"/>
      <c r="L304" s="19"/>
      <c r="M304" s="19"/>
      <c r="N304" s="19"/>
      <c r="O304" s="19">
        <f>SUM(TABELA2567[[#This Row],[T1]:[T7]])</f>
        <v>0</v>
      </c>
      <c r="P304" s="21">
        <f>TABELA2567[[#This Row],[QTDE]]*TABELA2567[[#This Row],[PREÇO]]</f>
        <v>0</v>
      </c>
    </row>
    <row r="305" spans="1:16" x14ac:dyDescent="0.2">
      <c r="A305" s="1" t="str">
        <f>TRIM(TABELA2567[[#This Row],[PRODUTO]])&amp;TRIM(TABELA2567[[#This Row],[COR]])</f>
        <v>69.01.03360062</v>
      </c>
      <c r="B305" s="18" t="s">
        <v>603</v>
      </c>
      <c r="C305" s="19" t="s">
        <v>604</v>
      </c>
      <c r="D305" s="19" t="s">
        <v>47</v>
      </c>
      <c r="E305" s="19" t="s">
        <v>264</v>
      </c>
      <c r="F305" s="20">
        <v>84.43</v>
      </c>
      <c r="G305" s="19" t="s">
        <v>44</v>
      </c>
      <c r="H305" s="19"/>
      <c r="I305" s="19"/>
      <c r="J305" s="19"/>
      <c r="K305" s="19"/>
      <c r="L305" s="19"/>
      <c r="M305" s="19"/>
      <c r="N305" s="19"/>
      <c r="O305" s="19">
        <f>SUM(TABELA2567[[#This Row],[T1]:[T7]])</f>
        <v>0</v>
      </c>
      <c r="P305" s="21">
        <f>TABELA2567[[#This Row],[QTDE]]*TABELA2567[[#This Row],[PREÇO]]</f>
        <v>0</v>
      </c>
    </row>
    <row r="306" spans="1:16" x14ac:dyDescent="0.2">
      <c r="A306" s="1" t="str">
        <f>TRIM(TABELA2567[[#This Row],[PRODUTO]])&amp;TRIM(TABELA2567[[#This Row],[COR]])</f>
        <v>69.01.03363918</v>
      </c>
      <c r="B306" s="18" t="s">
        <v>603</v>
      </c>
      <c r="C306" s="19" t="s">
        <v>604</v>
      </c>
      <c r="D306" s="19" t="s">
        <v>112</v>
      </c>
      <c r="E306" s="19" t="s">
        <v>113</v>
      </c>
      <c r="F306" s="20">
        <v>84.43</v>
      </c>
      <c r="G306" s="19" t="s">
        <v>44</v>
      </c>
      <c r="H306" s="19"/>
      <c r="I306" s="19"/>
      <c r="J306" s="19"/>
      <c r="K306" s="19"/>
      <c r="L306" s="19"/>
      <c r="M306" s="19"/>
      <c r="N306" s="19"/>
      <c r="O306" s="19">
        <f>SUM(TABELA2567[[#This Row],[T1]:[T7]])</f>
        <v>0</v>
      </c>
      <c r="P306" s="21">
        <f>TABELA2567[[#This Row],[QTDE]]*TABELA2567[[#This Row],[PREÇO]]</f>
        <v>0</v>
      </c>
    </row>
    <row r="307" spans="1:16" x14ac:dyDescent="0.2">
      <c r="A307" s="1" t="str">
        <f>TRIM(TABELA2567[[#This Row],[PRODUTO]])&amp;TRIM(TABELA2567[[#This Row],[COR]])</f>
        <v>69.01.03375230</v>
      </c>
      <c r="B307" s="18" t="s">
        <v>605</v>
      </c>
      <c r="C307" s="19" t="s">
        <v>606</v>
      </c>
      <c r="D307" s="19" t="s">
        <v>212</v>
      </c>
      <c r="E307" s="19" t="s">
        <v>35</v>
      </c>
      <c r="F307" s="20">
        <v>51.1</v>
      </c>
      <c r="G307" s="19" t="s">
        <v>44</v>
      </c>
      <c r="H307" s="19"/>
      <c r="I307" s="19"/>
      <c r="J307" s="19"/>
      <c r="K307" s="19"/>
      <c r="L307" s="19"/>
      <c r="M307" s="19"/>
      <c r="N307" s="19"/>
      <c r="O307" s="19">
        <f>SUM(TABELA2567[[#This Row],[T1]:[T7]])</f>
        <v>0</v>
      </c>
      <c r="P307" s="21">
        <f>TABELA2567[[#This Row],[QTDE]]*TABELA2567[[#This Row],[PREÇO]]</f>
        <v>0</v>
      </c>
    </row>
    <row r="308" spans="1:16" x14ac:dyDescent="0.2">
      <c r="A308" s="1" t="str">
        <f>TRIM(TABELA2567[[#This Row],[PRODUTO]])&amp;TRIM(TABELA2567[[#This Row],[COR]])</f>
        <v>69.06.03180830</v>
      </c>
      <c r="B308" s="18" t="s">
        <v>607</v>
      </c>
      <c r="C308" s="19" t="s">
        <v>608</v>
      </c>
      <c r="D308" s="19" t="s">
        <v>79</v>
      </c>
      <c r="E308" s="19" t="s">
        <v>80</v>
      </c>
      <c r="F308" s="20">
        <v>47.4</v>
      </c>
      <c r="G308" s="19" t="s">
        <v>221</v>
      </c>
      <c r="H308" s="19"/>
      <c r="I308" s="19"/>
      <c r="J308" s="19"/>
      <c r="K308" s="19"/>
      <c r="L308" s="19"/>
      <c r="M308" s="19"/>
      <c r="N308" s="19"/>
      <c r="O308" s="19">
        <f>SUM(TABELA2567[[#This Row],[T1]:[T7]])</f>
        <v>0</v>
      </c>
      <c r="P308" s="21">
        <f>TABELA2567[[#This Row],[QTDE]]*TABELA2567[[#This Row],[PREÇO]]</f>
        <v>0</v>
      </c>
    </row>
    <row r="309" spans="1:16" x14ac:dyDescent="0.2">
      <c r="A309" s="1" t="str">
        <f>TRIM(TABELA2567[[#This Row],[PRODUTO]])&amp;TRIM(TABELA2567[[#This Row],[COR]])</f>
        <v>69.06.03181858</v>
      </c>
      <c r="B309" s="18" t="s">
        <v>607</v>
      </c>
      <c r="C309" s="19" t="s">
        <v>608</v>
      </c>
      <c r="D309" s="19" t="s">
        <v>60</v>
      </c>
      <c r="E309" s="19" t="s">
        <v>246</v>
      </c>
      <c r="F309" s="20">
        <v>47.4</v>
      </c>
      <c r="G309" s="19" t="s">
        <v>221</v>
      </c>
      <c r="H309" s="19"/>
      <c r="I309" s="19"/>
      <c r="J309" s="19"/>
      <c r="K309" s="19"/>
      <c r="L309" s="19"/>
      <c r="M309" s="19"/>
      <c r="N309" s="19"/>
      <c r="O309" s="19">
        <f>SUM(TABELA2567[[#This Row],[T1]:[T7]])</f>
        <v>0</v>
      </c>
      <c r="P309" s="21">
        <f>TABELA2567[[#This Row],[QTDE]]*TABELA2567[[#This Row],[PREÇO]]</f>
        <v>0</v>
      </c>
    </row>
    <row r="310" spans="1:16" x14ac:dyDescent="0.2">
      <c r="A310" s="1" t="str">
        <f>TRIM(TABELA2567[[#This Row],[PRODUTO]])&amp;TRIM(TABELA2567[[#This Row],[COR]])</f>
        <v>69.06.03190400</v>
      </c>
      <c r="B310" s="18" t="s">
        <v>609</v>
      </c>
      <c r="C310" s="19" t="s">
        <v>610</v>
      </c>
      <c r="D310" s="19" t="s">
        <v>46</v>
      </c>
      <c r="E310" s="19" t="s">
        <v>611</v>
      </c>
      <c r="F310" s="20">
        <v>54.8</v>
      </c>
      <c r="G310" s="19" t="s">
        <v>44</v>
      </c>
      <c r="H310" s="19"/>
      <c r="I310" s="19"/>
      <c r="J310" s="19"/>
      <c r="K310" s="19"/>
      <c r="L310" s="19"/>
      <c r="M310" s="19"/>
      <c r="N310" s="19"/>
      <c r="O310" s="19">
        <f>SUM(TABELA2567[[#This Row],[T1]:[T7]])</f>
        <v>0</v>
      </c>
      <c r="P310" s="21">
        <f>TABELA2567[[#This Row],[QTDE]]*TABELA2567[[#This Row],[PREÇO]]</f>
        <v>0</v>
      </c>
    </row>
    <row r="311" spans="1:16" x14ac:dyDescent="0.2">
      <c r="A311" s="1" t="str">
        <f>TRIM(TABELA2567[[#This Row],[PRODUTO]])&amp;TRIM(TABELA2567[[#This Row],[COR]])</f>
        <v>69.06.03195230</v>
      </c>
      <c r="B311" s="18" t="s">
        <v>609</v>
      </c>
      <c r="C311" s="19" t="s">
        <v>610</v>
      </c>
      <c r="D311" s="19" t="s">
        <v>212</v>
      </c>
      <c r="E311" s="19" t="s">
        <v>35</v>
      </c>
      <c r="F311" s="20">
        <v>54.8</v>
      </c>
      <c r="G311" s="19" t="s">
        <v>44</v>
      </c>
      <c r="H311" s="19"/>
      <c r="I311" s="19"/>
      <c r="J311" s="19"/>
      <c r="K311" s="19"/>
      <c r="L311" s="19"/>
      <c r="M311" s="19"/>
      <c r="N311" s="19"/>
      <c r="O311" s="19">
        <f>SUM(TABELA2567[[#This Row],[T1]:[T7]])</f>
        <v>0</v>
      </c>
      <c r="P311" s="21">
        <f>TABELA2567[[#This Row],[QTDE]]*TABELA2567[[#This Row],[PREÇO]]</f>
        <v>0</v>
      </c>
    </row>
    <row r="312" spans="1:16" x14ac:dyDescent="0.2">
      <c r="A312" s="1" t="str">
        <f>TRIM(TABELA2567[[#This Row],[PRODUTO]])&amp;TRIM(TABELA2567[[#This Row],[COR]])</f>
        <v>69.06.03205230</v>
      </c>
      <c r="B312" s="18" t="s">
        <v>612</v>
      </c>
      <c r="C312" s="19" t="s">
        <v>613</v>
      </c>
      <c r="D312" s="19" t="s">
        <v>212</v>
      </c>
      <c r="E312" s="19" t="s">
        <v>35</v>
      </c>
      <c r="F312" s="20">
        <v>62.21</v>
      </c>
      <c r="G312" s="19" t="s">
        <v>259</v>
      </c>
      <c r="H312" s="19"/>
      <c r="I312" s="19"/>
      <c r="J312" s="19"/>
      <c r="K312" s="19"/>
      <c r="L312" s="19"/>
      <c r="M312" s="19"/>
      <c r="N312" s="19"/>
      <c r="O312" s="19">
        <f>SUM(TABELA2567[[#This Row],[T1]:[T7]])</f>
        <v>0</v>
      </c>
      <c r="P312" s="21">
        <f>TABELA2567[[#This Row],[QTDE]]*TABELA2567[[#This Row],[PREÇO]]</f>
        <v>0</v>
      </c>
    </row>
    <row r="313" spans="1:16" x14ac:dyDescent="0.2">
      <c r="A313" s="1" t="str">
        <f>TRIM(TABELA2567[[#This Row],[PRODUTO]])&amp;TRIM(TABELA2567[[#This Row],[COR]])</f>
        <v>69.06.03210400</v>
      </c>
      <c r="B313" s="18" t="s">
        <v>614</v>
      </c>
      <c r="C313" s="19" t="s">
        <v>615</v>
      </c>
      <c r="D313" s="19" t="s">
        <v>46</v>
      </c>
      <c r="E313" s="19" t="s">
        <v>307</v>
      </c>
      <c r="F313" s="20">
        <v>62.21</v>
      </c>
      <c r="G313" s="19" t="s">
        <v>44</v>
      </c>
      <c r="H313" s="19"/>
      <c r="I313" s="19"/>
      <c r="J313" s="19"/>
      <c r="K313" s="19"/>
      <c r="L313" s="19"/>
      <c r="M313" s="19"/>
      <c r="N313" s="19"/>
      <c r="O313" s="19">
        <f>SUM(TABELA2567[[#This Row],[T1]:[T7]])</f>
        <v>0</v>
      </c>
      <c r="P313" s="21">
        <f>TABELA2567[[#This Row],[QTDE]]*TABELA2567[[#This Row],[PREÇO]]</f>
        <v>0</v>
      </c>
    </row>
    <row r="314" spans="1:16" x14ac:dyDescent="0.2">
      <c r="A314" s="1" t="str">
        <f>TRIM(TABELA2567[[#This Row],[PRODUTO]])&amp;TRIM(TABELA2567[[#This Row],[COR]])</f>
        <v>69.06.03220400</v>
      </c>
      <c r="B314" s="18" t="s">
        <v>616</v>
      </c>
      <c r="C314" s="19" t="s">
        <v>617</v>
      </c>
      <c r="D314" s="19" t="s">
        <v>46</v>
      </c>
      <c r="E314" s="19" t="s">
        <v>307</v>
      </c>
      <c r="F314" s="20">
        <v>54.8</v>
      </c>
      <c r="G314" s="19" t="s">
        <v>221</v>
      </c>
      <c r="H314" s="19"/>
      <c r="I314" s="19"/>
      <c r="J314" s="19"/>
      <c r="K314" s="19"/>
      <c r="L314" s="19"/>
      <c r="M314" s="19"/>
      <c r="N314" s="19"/>
      <c r="O314" s="19">
        <f>SUM(TABELA2567[[#This Row],[T1]:[T7]])</f>
        <v>0</v>
      </c>
      <c r="P314" s="21">
        <f>TABELA2567[[#This Row],[QTDE]]*TABELA2567[[#This Row],[PREÇO]]</f>
        <v>0</v>
      </c>
    </row>
    <row r="315" spans="1:16" x14ac:dyDescent="0.2">
      <c r="A315" s="1" t="str">
        <f>TRIM(TABELA2567[[#This Row],[PRODUTO]])&amp;TRIM(TABELA2567[[#This Row],[COR]])</f>
        <v>69.06.03230830</v>
      </c>
      <c r="B315" s="18" t="s">
        <v>618</v>
      </c>
      <c r="C315" s="19" t="s">
        <v>619</v>
      </c>
      <c r="D315" s="19" t="s">
        <v>79</v>
      </c>
      <c r="E315" s="19" t="s">
        <v>80</v>
      </c>
      <c r="F315" s="20">
        <v>51.1</v>
      </c>
      <c r="G315" s="19" t="s">
        <v>44</v>
      </c>
      <c r="H315" s="19"/>
      <c r="I315" s="19"/>
      <c r="J315" s="19"/>
      <c r="K315" s="19"/>
      <c r="L315" s="19"/>
      <c r="M315" s="19"/>
      <c r="N315" s="19"/>
      <c r="O315" s="19">
        <f>SUM(TABELA2567[[#This Row],[T1]:[T7]])</f>
        <v>0</v>
      </c>
      <c r="P315" s="21">
        <f>TABELA2567[[#This Row],[QTDE]]*TABELA2567[[#This Row],[PREÇO]]</f>
        <v>0</v>
      </c>
    </row>
    <row r="316" spans="1:16" x14ac:dyDescent="0.2">
      <c r="A316" s="1" t="str">
        <f>TRIM(TABELA2567[[#This Row],[PRODUTO]])&amp;TRIM(TABELA2567[[#This Row],[COR]])</f>
        <v>69.06.03232441</v>
      </c>
      <c r="B316" s="18" t="s">
        <v>618</v>
      </c>
      <c r="C316" s="19" t="s">
        <v>619</v>
      </c>
      <c r="D316" s="19" t="s">
        <v>62</v>
      </c>
      <c r="E316" s="19" t="s">
        <v>63</v>
      </c>
      <c r="F316" s="20">
        <v>51.1</v>
      </c>
      <c r="G316" s="19" t="s">
        <v>44</v>
      </c>
      <c r="H316" s="19"/>
      <c r="I316" s="19"/>
      <c r="J316" s="19"/>
      <c r="K316" s="19"/>
      <c r="L316" s="19"/>
      <c r="M316" s="19"/>
      <c r="N316" s="19"/>
      <c r="O316" s="19">
        <f>SUM(TABELA2567[[#This Row],[T1]:[T7]])</f>
        <v>0</v>
      </c>
      <c r="P316" s="21">
        <f>TABELA2567[[#This Row],[QTDE]]*TABELA2567[[#This Row],[PREÇO]]</f>
        <v>0</v>
      </c>
    </row>
    <row r="317" spans="1:16" x14ac:dyDescent="0.2">
      <c r="A317" s="1" t="str">
        <f>TRIM(TABELA2567[[#This Row],[PRODUTO]])&amp;TRIM(TABELA2567[[#This Row],[COR]])</f>
        <v>69.12.04962441</v>
      </c>
      <c r="B317" s="18" t="s">
        <v>620</v>
      </c>
      <c r="C317" s="19" t="s">
        <v>621</v>
      </c>
      <c r="D317" s="19" t="s">
        <v>62</v>
      </c>
      <c r="E317" s="19" t="s">
        <v>63</v>
      </c>
      <c r="F317" s="20">
        <v>65.91</v>
      </c>
      <c r="G317" s="19" t="s">
        <v>259</v>
      </c>
      <c r="H317" s="19"/>
      <c r="I317" s="19"/>
      <c r="J317" s="19"/>
      <c r="K317" s="19"/>
      <c r="L317" s="19"/>
      <c r="M317" s="19"/>
      <c r="N317" s="19"/>
      <c r="O317" s="19">
        <f>SUM(TABELA2567[[#This Row],[T1]:[T7]])</f>
        <v>0</v>
      </c>
      <c r="P317" s="21">
        <f>TABELA2567[[#This Row],[QTDE]]*TABELA2567[[#This Row],[PREÇO]]</f>
        <v>0</v>
      </c>
    </row>
    <row r="318" spans="1:16" x14ac:dyDescent="0.2">
      <c r="A318" s="1" t="str">
        <f>TRIM(TABELA2567[[#This Row],[PRODUTO]])&amp;TRIM(TABELA2567[[#This Row],[COR]])</f>
        <v>69.12.04965230</v>
      </c>
      <c r="B318" s="18" t="s">
        <v>620</v>
      </c>
      <c r="C318" s="19" t="s">
        <v>621</v>
      </c>
      <c r="D318" s="19" t="s">
        <v>212</v>
      </c>
      <c r="E318" s="19" t="s">
        <v>35</v>
      </c>
      <c r="F318" s="20">
        <v>65.91</v>
      </c>
      <c r="G318" s="19" t="s">
        <v>259</v>
      </c>
      <c r="H318" s="19"/>
      <c r="I318" s="19"/>
      <c r="J318" s="19"/>
      <c r="K318" s="19"/>
      <c r="L318" s="19"/>
      <c r="M318" s="19"/>
      <c r="N318" s="19"/>
      <c r="O318" s="19">
        <f>SUM(TABELA2567[[#This Row],[T1]:[T7]])</f>
        <v>0</v>
      </c>
      <c r="P318" s="21">
        <f>TABELA2567[[#This Row],[QTDE]]*TABELA2567[[#This Row],[PREÇO]]</f>
        <v>0</v>
      </c>
    </row>
    <row r="319" spans="1:16" x14ac:dyDescent="0.2">
      <c r="A319" s="1" t="str">
        <f>TRIM(TABELA2567[[#This Row],[PRODUTO]])&amp;TRIM(TABELA2567[[#This Row],[COR]])</f>
        <v>69.12.04970003</v>
      </c>
      <c r="B319" s="18" t="s">
        <v>622</v>
      </c>
      <c r="C319" s="19" t="s">
        <v>623</v>
      </c>
      <c r="D319" s="19" t="s">
        <v>34</v>
      </c>
      <c r="E319" s="19" t="s">
        <v>35</v>
      </c>
      <c r="F319" s="20">
        <v>65.91</v>
      </c>
      <c r="G319" s="19" t="s">
        <v>44</v>
      </c>
      <c r="H319" s="19"/>
      <c r="I319" s="19"/>
      <c r="J319" s="19"/>
      <c r="K319" s="19"/>
      <c r="L319" s="19"/>
      <c r="M319" s="19"/>
      <c r="N319" s="19"/>
      <c r="O319" s="19">
        <f>SUM(TABELA2567[[#This Row],[T1]:[T7]])</f>
        <v>0</v>
      </c>
      <c r="P319" s="21">
        <f>TABELA2567[[#This Row],[QTDE]]*TABELA2567[[#This Row],[PREÇO]]</f>
        <v>0</v>
      </c>
    </row>
    <row r="320" spans="1:16" x14ac:dyDescent="0.2">
      <c r="A320" s="1" t="str">
        <f>TRIM(TABELA2567[[#This Row],[PRODUTO]])&amp;TRIM(TABELA2567[[#This Row],[COR]])</f>
        <v>69.12.04980011</v>
      </c>
      <c r="B320" s="18" t="s">
        <v>624</v>
      </c>
      <c r="C320" s="19" t="s">
        <v>625</v>
      </c>
      <c r="D320" s="19" t="s">
        <v>48</v>
      </c>
      <c r="E320" s="19" t="s">
        <v>254</v>
      </c>
      <c r="F320" s="20">
        <v>95.54</v>
      </c>
      <c r="G320" s="19" t="s">
        <v>44</v>
      </c>
      <c r="H320" s="19"/>
      <c r="I320" s="19"/>
      <c r="J320" s="19"/>
      <c r="K320" s="19"/>
      <c r="L320" s="19"/>
      <c r="M320" s="19"/>
      <c r="N320" s="19"/>
      <c r="O320" s="19">
        <f>SUM(TABELA2567[[#This Row],[T1]:[T7]])</f>
        <v>0</v>
      </c>
      <c r="P320" s="21">
        <f>TABELA2567[[#This Row],[QTDE]]*TABELA2567[[#This Row],[PREÇO]]</f>
        <v>0</v>
      </c>
    </row>
    <row r="321" spans="1:16" x14ac:dyDescent="0.2">
      <c r="A321" s="1" t="str">
        <f>TRIM(TABELA2567[[#This Row],[PRODUTO]])&amp;TRIM(TABELA2567[[#This Row],[COR]])</f>
        <v>69.12.04980062</v>
      </c>
      <c r="B321" s="18" t="s">
        <v>624</v>
      </c>
      <c r="C321" s="19" t="s">
        <v>625</v>
      </c>
      <c r="D321" s="19" t="s">
        <v>47</v>
      </c>
      <c r="E321" s="19" t="s">
        <v>264</v>
      </c>
      <c r="F321" s="20">
        <v>95.54</v>
      </c>
      <c r="G321" s="19" t="s">
        <v>44</v>
      </c>
      <c r="H321" s="19"/>
      <c r="I321" s="19"/>
      <c r="J321" s="19"/>
      <c r="K321" s="19"/>
      <c r="L321" s="19"/>
      <c r="M321" s="19"/>
      <c r="N321" s="19"/>
      <c r="O321" s="19">
        <f>SUM(TABELA2567[[#This Row],[T1]:[T7]])</f>
        <v>0</v>
      </c>
      <c r="P321" s="21">
        <f>TABELA2567[[#This Row],[QTDE]]*TABELA2567[[#This Row],[PREÇO]]</f>
        <v>0</v>
      </c>
    </row>
    <row r="322" spans="1:16" x14ac:dyDescent="0.2">
      <c r="A322" s="1" t="str">
        <f>TRIM(TABELA2567[[#This Row],[PRODUTO]])&amp;TRIM(TABELA2567[[#This Row],[COR]])</f>
        <v>69.12.04990400</v>
      </c>
      <c r="B322" s="18" t="s">
        <v>626</v>
      </c>
      <c r="C322" s="19" t="s">
        <v>627</v>
      </c>
      <c r="D322" s="19" t="s">
        <v>46</v>
      </c>
      <c r="E322" s="19" t="s">
        <v>307</v>
      </c>
      <c r="F322" s="20">
        <v>65.91</v>
      </c>
      <c r="G322" s="19" t="s">
        <v>44</v>
      </c>
      <c r="H322" s="19"/>
      <c r="I322" s="19"/>
      <c r="J322" s="19"/>
      <c r="K322" s="19"/>
      <c r="L322" s="19"/>
      <c r="M322" s="19"/>
      <c r="N322" s="19"/>
      <c r="O322" s="19">
        <f>SUM(TABELA2567[[#This Row],[T1]:[T7]])</f>
        <v>0</v>
      </c>
      <c r="P322" s="21">
        <f>TABELA2567[[#This Row],[QTDE]]*TABELA2567[[#This Row],[PREÇO]]</f>
        <v>0</v>
      </c>
    </row>
    <row r="323" spans="1:16" x14ac:dyDescent="0.2">
      <c r="A323" s="1" t="str">
        <f>TRIM(TABELA2567[[#This Row],[PRODUTO]])&amp;TRIM(TABELA2567[[#This Row],[COR]])</f>
        <v>69.12.04995217</v>
      </c>
      <c r="B323" s="18" t="s">
        <v>626</v>
      </c>
      <c r="C323" s="19" t="s">
        <v>627</v>
      </c>
      <c r="D323" s="19" t="s">
        <v>101</v>
      </c>
      <c r="E323" s="19" t="s">
        <v>80</v>
      </c>
      <c r="F323" s="20">
        <v>65.91</v>
      </c>
      <c r="G323" s="19" t="s">
        <v>44</v>
      </c>
      <c r="H323" s="19"/>
      <c r="I323" s="19"/>
      <c r="J323" s="19"/>
      <c r="K323" s="19"/>
      <c r="L323" s="19"/>
      <c r="M323" s="19"/>
      <c r="N323" s="19"/>
      <c r="O323" s="19">
        <f>SUM(TABELA2567[[#This Row],[T1]:[T7]])</f>
        <v>0</v>
      </c>
      <c r="P323" s="21">
        <f>TABELA2567[[#This Row],[QTDE]]*TABELA2567[[#This Row],[PREÇO]]</f>
        <v>0</v>
      </c>
    </row>
    <row r="324" spans="1:16" x14ac:dyDescent="0.2">
      <c r="A324" s="1" t="str">
        <f>TRIM(TABELA2567[[#This Row],[PRODUTO]])&amp;TRIM(TABELA2567[[#This Row],[COR]])</f>
        <v>70.07.00020003</v>
      </c>
      <c r="B324" s="18" t="s">
        <v>628</v>
      </c>
      <c r="C324" s="19" t="s">
        <v>629</v>
      </c>
      <c r="D324" s="19" t="s">
        <v>34</v>
      </c>
      <c r="E324" s="19" t="s">
        <v>80</v>
      </c>
      <c r="F324" s="20">
        <v>65.91</v>
      </c>
      <c r="G324" s="19" t="s">
        <v>17</v>
      </c>
      <c r="H324" s="19"/>
      <c r="I324" s="19"/>
      <c r="J324" s="19"/>
      <c r="K324" s="19"/>
      <c r="L324" s="19"/>
      <c r="M324" s="19"/>
      <c r="N324" s="19"/>
      <c r="O324" s="19">
        <f>SUM(TABELA2567[[#This Row],[T1]:[T7]])</f>
        <v>0</v>
      </c>
      <c r="P324" s="21">
        <f>TABELA2567[[#This Row],[QTDE]]*TABELA2567[[#This Row],[PREÇO]]</f>
        <v>0</v>
      </c>
    </row>
    <row r="325" spans="1:16" x14ac:dyDescent="0.2">
      <c r="A325" s="1" t="str">
        <f>TRIM(TABELA2567[[#This Row],[PRODUTO]])&amp;TRIM(TABELA2567[[#This Row],[COR]])</f>
        <v>70.07.00020400</v>
      </c>
      <c r="B325" s="18" t="s">
        <v>628</v>
      </c>
      <c r="C325" s="19" t="s">
        <v>629</v>
      </c>
      <c r="D325" s="19" t="s">
        <v>46</v>
      </c>
      <c r="E325" s="19" t="s">
        <v>57</v>
      </c>
      <c r="F325" s="20">
        <v>65.91</v>
      </c>
      <c r="G325" s="19" t="s">
        <v>17</v>
      </c>
      <c r="H325" s="19"/>
      <c r="I325" s="19"/>
      <c r="J325" s="19"/>
      <c r="K325" s="19"/>
      <c r="L325" s="19"/>
      <c r="M325" s="19"/>
      <c r="N325" s="19"/>
      <c r="O325" s="19">
        <f>SUM(TABELA2567[[#This Row],[T1]:[T7]])</f>
        <v>0</v>
      </c>
      <c r="P325" s="21">
        <f>TABELA2567[[#This Row],[QTDE]]*TABELA2567[[#This Row],[PREÇO]]</f>
        <v>0</v>
      </c>
    </row>
    <row r="326" spans="1:16" x14ac:dyDescent="0.2">
      <c r="A326" s="1" t="str">
        <f>TRIM(TABELA2567[[#This Row],[PRODUTO]])&amp;TRIM(TABELA2567[[#This Row],[COR]])</f>
        <v>70.07.00031540</v>
      </c>
      <c r="B326" s="18" t="s">
        <v>630</v>
      </c>
      <c r="C326" s="19" t="s">
        <v>631</v>
      </c>
      <c r="D326" s="19" t="s">
        <v>43</v>
      </c>
      <c r="E326" s="19" t="s">
        <v>51</v>
      </c>
      <c r="F326" s="20">
        <v>73.319999999999993</v>
      </c>
      <c r="G326" s="19" t="s">
        <v>17</v>
      </c>
      <c r="H326" s="19"/>
      <c r="I326" s="19"/>
      <c r="J326" s="19"/>
      <c r="K326" s="19"/>
      <c r="L326" s="19"/>
      <c r="M326" s="19"/>
      <c r="N326" s="19"/>
      <c r="O326" s="19">
        <f>SUM(TABELA2567[[#This Row],[T1]:[T7]])</f>
        <v>0</v>
      </c>
      <c r="P326" s="21">
        <f>TABELA2567[[#This Row],[QTDE]]*TABELA2567[[#This Row],[PREÇO]]</f>
        <v>0</v>
      </c>
    </row>
    <row r="327" spans="1:16" x14ac:dyDescent="0.2">
      <c r="A327" s="1" t="str">
        <f>TRIM(TABELA2567[[#This Row],[PRODUTO]])&amp;TRIM(TABELA2567[[#This Row],[COR]])</f>
        <v>70.07.00040105</v>
      </c>
      <c r="B327" s="18" t="s">
        <v>632</v>
      </c>
      <c r="C327" s="19" t="s">
        <v>633</v>
      </c>
      <c r="D327" s="19" t="s">
        <v>32</v>
      </c>
      <c r="E327" s="19" t="s">
        <v>33</v>
      </c>
      <c r="F327" s="20">
        <v>62.21</v>
      </c>
      <c r="G327" s="19" t="s">
        <v>17</v>
      </c>
      <c r="H327" s="19"/>
      <c r="I327" s="19"/>
      <c r="J327" s="19"/>
      <c r="K327" s="19"/>
      <c r="L327" s="19"/>
      <c r="M327" s="19"/>
      <c r="N327" s="19"/>
      <c r="O327" s="19">
        <f>SUM(TABELA2567[[#This Row],[T1]:[T7]])</f>
        <v>0</v>
      </c>
      <c r="P327" s="21">
        <f>TABELA2567[[#This Row],[QTDE]]*TABELA2567[[#This Row],[PREÇO]]</f>
        <v>0</v>
      </c>
    </row>
    <row r="328" spans="1:16" x14ac:dyDescent="0.2">
      <c r="A328" s="1" t="str">
        <f>TRIM(TABELA2567[[#This Row],[PRODUTO]])&amp;TRIM(TABELA2567[[#This Row],[COR]])</f>
        <v>70.12.00025297</v>
      </c>
      <c r="B328" s="18" t="s">
        <v>634</v>
      </c>
      <c r="C328" s="19" t="s">
        <v>635</v>
      </c>
      <c r="D328" s="19" t="s">
        <v>414</v>
      </c>
      <c r="E328" s="19" t="s">
        <v>35</v>
      </c>
      <c r="F328" s="20">
        <v>102.94</v>
      </c>
      <c r="G328" s="19" t="s">
        <v>17</v>
      </c>
      <c r="H328" s="19"/>
      <c r="I328" s="19"/>
      <c r="J328" s="19"/>
      <c r="K328" s="19"/>
      <c r="L328" s="19"/>
      <c r="M328" s="19"/>
      <c r="N328" s="19"/>
      <c r="O328" s="19">
        <f>SUM(TABELA2567[[#This Row],[T1]:[T7]])</f>
        <v>0</v>
      </c>
      <c r="P328" s="21">
        <f>TABELA2567[[#This Row],[QTDE]]*TABELA2567[[#This Row],[PREÇO]]</f>
        <v>0</v>
      </c>
    </row>
    <row r="329" spans="1:16" x14ac:dyDescent="0.2">
      <c r="A329" s="1" t="str">
        <f>TRIM(TABELA2567[[#This Row],[PRODUTO]])&amp;TRIM(TABELA2567[[#This Row],[COR]])</f>
        <v>78.01.06680062</v>
      </c>
      <c r="B329" s="18" t="s">
        <v>636</v>
      </c>
      <c r="C329" s="19" t="s">
        <v>637</v>
      </c>
      <c r="D329" s="19" t="s">
        <v>47</v>
      </c>
      <c r="E329" s="19" t="s">
        <v>390</v>
      </c>
      <c r="F329" s="20">
        <v>139.97</v>
      </c>
      <c r="G329" s="19" t="s">
        <v>44</v>
      </c>
      <c r="H329" s="19"/>
      <c r="I329" s="19"/>
      <c r="J329" s="19"/>
      <c r="K329" s="19"/>
      <c r="L329" s="19"/>
      <c r="M329" s="19"/>
      <c r="N329" s="19"/>
      <c r="O329" s="19">
        <f>SUM(TABELA2567[[#This Row],[T1]:[T7]])</f>
        <v>0</v>
      </c>
      <c r="P329" s="21">
        <f>TABELA2567[[#This Row],[QTDE]]*TABELA2567[[#This Row],[PREÇO]]</f>
        <v>0</v>
      </c>
    </row>
    <row r="330" spans="1:16" x14ac:dyDescent="0.2">
      <c r="A330" s="1" t="str">
        <f>TRIM(TABELA2567[[#This Row],[PRODUTO]])&amp;TRIM(TABELA2567[[#This Row],[COR]])</f>
        <v>78.06.01970029</v>
      </c>
      <c r="B330" s="18" t="s">
        <v>638</v>
      </c>
      <c r="C330" s="19" t="s">
        <v>639</v>
      </c>
      <c r="D330" s="19" t="s">
        <v>249</v>
      </c>
      <c r="E330" s="19" t="s">
        <v>45</v>
      </c>
      <c r="F330" s="20">
        <v>147.38</v>
      </c>
      <c r="G330" s="19" t="s">
        <v>239</v>
      </c>
      <c r="H330" s="19"/>
      <c r="I330" s="19"/>
      <c r="J330" s="19"/>
      <c r="K330" s="19"/>
      <c r="L330" s="19"/>
      <c r="M330" s="19"/>
      <c r="N330" s="19"/>
      <c r="O330" s="19">
        <f>SUM(TABELA2567[[#This Row],[T1]:[T7]])</f>
        <v>0</v>
      </c>
      <c r="P330" s="21">
        <f>TABELA2567[[#This Row],[QTDE]]*TABELA2567[[#This Row],[PREÇO]]</f>
        <v>0</v>
      </c>
    </row>
    <row r="331" spans="1:16" x14ac:dyDescent="0.2">
      <c r="A331" s="1" t="str">
        <f>TRIM(TABELA2567[[#This Row],[PRODUTO]])&amp;TRIM(TABELA2567[[#This Row],[COR]])</f>
        <v>78.06.01980015</v>
      </c>
      <c r="B331" s="18" t="s">
        <v>640</v>
      </c>
      <c r="C331" s="19" t="s">
        <v>641</v>
      </c>
      <c r="D331" s="19" t="s">
        <v>49</v>
      </c>
      <c r="E331" s="19" t="s">
        <v>71</v>
      </c>
      <c r="F331" s="20">
        <v>110.35</v>
      </c>
      <c r="G331" s="19" t="s">
        <v>44</v>
      </c>
      <c r="H331" s="19"/>
      <c r="I331" s="19"/>
      <c r="J331" s="19"/>
      <c r="K331" s="19"/>
      <c r="L331" s="19"/>
      <c r="M331" s="19"/>
      <c r="N331" s="19"/>
      <c r="O331" s="19">
        <f>SUM(TABELA2567[[#This Row],[T1]:[T7]])</f>
        <v>0</v>
      </c>
      <c r="P331" s="21">
        <f>TABELA2567[[#This Row],[QTDE]]*TABELA2567[[#This Row],[PREÇO]]</f>
        <v>0</v>
      </c>
    </row>
    <row r="332" spans="1:16" x14ac:dyDescent="0.2">
      <c r="A332" s="1" t="str">
        <f>TRIM(TABELA2567[[#This Row],[PRODUTO]])&amp;TRIM(TABELA2567[[#This Row],[COR]])</f>
        <v>78.06.01990005</v>
      </c>
      <c r="B332" s="18" t="s">
        <v>642</v>
      </c>
      <c r="C332" s="19" t="s">
        <v>643</v>
      </c>
      <c r="D332" s="19" t="s">
        <v>38</v>
      </c>
      <c r="E332" s="19" t="s">
        <v>220</v>
      </c>
      <c r="F332" s="20">
        <v>91.83</v>
      </c>
      <c r="G332" s="19" t="s">
        <v>44</v>
      </c>
      <c r="H332" s="19"/>
      <c r="I332" s="19"/>
      <c r="J332" s="19"/>
      <c r="K332" s="19"/>
      <c r="L332" s="19"/>
      <c r="M332" s="19"/>
      <c r="N332" s="19"/>
      <c r="O332" s="19">
        <f>SUM(TABELA2567[[#This Row],[T1]:[T7]])</f>
        <v>0</v>
      </c>
      <c r="P332" s="21">
        <f>TABELA2567[[#This Row],[QTDE]]*TABELA2567[[#This Row],[PREÇO]]</f>
        <v>0</v>
      </c>
    </row>
    <row r="333" spans="1:16" x14ac:dyDescent="0.2">
      <c r="A333" s="1" t="str">
        <f>TRIM(TABELA2567[[#This Row],[PRODUTO]])&amp;TRIM(TABELA2567[[#This Row],[COR]])</f>
        <v>78.08.01181410</v>
      </c>
      <c r="B333" s="18" t="s">
        <v>644</v>
      </c>
      <c r="C333" s="19" t="s">
        <v>645</v>
      </c>
      <c r="D333" s="19" t="s">
        <v>219</v>
      </c>
      <c r="E333" s="19" t="s">
        <v>113</v>
      </c>
      <c r="F333" s="20">
        <v>73.319999999999993</v>
      </c>
      <c r="G333" s="19" t="s">
        <v>259</v>
      </c>
      <c r="H333" s="19"/>
      <c r="I333" s="19"/>
      <c r="J333" s="19"/>
      <c r="K333" s="19"/>
      <c r="L333" s="19"/>
      <c r="M333" s="19"/>
      <c r="N333" s="19"/>
      <c r="O333" s="19">
        <f>SUM(TABELA2567[[#This Row],[T1]:[T7]])</f>
        <v>0</v>
      </c>
      <c r="P333" s="21">
        <f>TABELA2567[[#This Row],[QTDE]]*TABELA2567[[#This Row],[PREÇO]]</f>
        <v>0</v>
      </c>
    </row>
    <row r="334" spans="1:16" x14ac:dyDescent="0.2">
      <c r="A334" s="1" t="str">
        <f>TRIM(TABELA2567[[#This Row],[PRODUTO]])&amp;TRIM(TABELA2567[[#This Row],[COR]])</f>
        <v>78.08.01185217</v>
      </c>
      <c r="B334" s="18" t="s">
        <v>644</v>
      </c>
      <c r="C334" s="19" t="s">
        <v>645</v>
      </c>
      <c r="D334" s="19" t="s">
        <v>101</v>
      </c>
      <c r="E334" s="19" t="s">
        <v>261</v>
      </c>
      <c r="F334" s="20">
        <v>73.319999999999993</v>
      </c>
      <c r="G334" s="19" t="s">
        <v>259</v>
      </c>
      <c r="H334" s="19"/>
      <c r="I334" s="19"/>
      <c r="J334" s="19"/>
      <c r="K334" s="19"/>
      <c r="L334" s="19"/>
      <c r="M334" s="19"/>
      <c r="N334" s="19"/>
      <c r="O334" s="19">
        <f>SUM(TABELA2567[[#This Row],[T1]:[T7]])</f>
        <v>0</v>
      </c>
      <c r="P334" s="21">
        <f>TABELA2567[[#This Row],[QTDE]]*TABELA2567[[#This Row],[PREÇO]]</f>
        <v>0</v>
      </c>
    </row>
    <row r="335" spans="1:16" x14ac:dyDescent="0.2">
      <c r="A335" s="1" t="str">
        <f>TRIM(TABELA2567[[#This Row],[PRODUTO]])&amp;TRIM(TABELA2567[[#This Row],[COR]])</f>
        <v>78.08.01200003</v>
      </c>
      <c r="B335" s="18" t="s">
        <v>646</v>
      </c>
      <c r="C335" s="19" t="s">
        <v>647</v>
      </c>
      <c r="D335" s="19" t="s">
        <v>34</v>
      </c>
      <c r="E335" s="19" t="s">
        <v>35</v>
      </c>
      <c r="F335" s="20">
        <v>125.16</v>
      </c>
      <c r="G335" s="19" t="s">
        <v>259</v>
      </c>
      <c r="H335" s="19"/>
      <c r="I335" s="19"/>
      <c r="J335" s="19"/>
      <c r="K335" s="19"/>
      <c r="L335" s="19"/>
      <c r="M335" s="19"/>
      <c r="N335" s="19"/>
      <c r="O335" s="19">
        <f>SUM(TABELA2567[[#This Row],[T1]:[T7]])</f>
        <v>0</v>
      </c>
      <c r="P335" s="21">
        <f>TABELA2567[[#This Row],[QTDE]]*TABELA2567[[#This Row],[PREÇO]]</f>
        <v>0</v>
      </c>
    </row>
    <row r="336" spans="1:16" x14ac:dyDescent="0.2">
      <c r="A336" s="1" t="str">
        <f>TRIM(TABELA2567[[#This Row],[PRODUTO]])&amp;TRIM(TABELA2567[[#This Row],[COR]])</f>
        <v>78.08.01200011</v>
      </c>
      <c r="B336" s="18" t="s">
        <v>646</v>
      </c>
      <c r="C336" s="19" t="s">
        <v>647</v>
      </c>
      <c r="D336" s="19" t="s">
        <v>48</v>
      </c>
      <c r="E336" s="19" t="s">
        <v>373</v>
      </c>
      <c r="F336" s="20">
        <v>125.16</v>
      </c>
      <c r="G336" s="19" t="s">
        <v>259</v>
      </c>
      <c r="H336" s="19"/>
      <c r="I336" s="19"/>
      <c r="J336" s="19"/>
      <c r="K336" s="19"/>
      <c r="L336" s="19"/>
      <c r="M336" s="19"/>
      <c r="N336" s="19"/>
      <c r="O336" s="19">
        <f>SUM(TABELA2567[[#This Row],[T1]:[T7]])</f>
        <v>0</v>
      </c>
      <c r="P336" s="21">
        <f>TABELA2567[[#This Row],[QTDE]]*TABELA2567[[#This Row],[PREÇO]]</f>
        <v>0</v>
      </c>
    </row>
    <row r="337" spans="1:16" x14ac:dyDescent="0.2">
      <c r="A337" s="1" t="str">
        <f>TRIM(TABELA2567[[#This Row],[PRODUTO]])&amp;TRIM(TABELA2567[[#This Row],[COR]])</f>
        <v>78.08.01210003</v>
      </c>
      <c r="B337" s="18" t="s">
        <v>648</v>
      </c>
      <c r="C337" s="19" t="s">
        <v>649</v>
      </c>
      <c r="D337" s="19" t="s">
        <v>34</v>
      </c>
      <c r="E337" s="19" t="s">
        <v>35</v>
      </c>
      <c r="F337" s="20">
        <v>73.319999999999993</v>
      </c>
      <c r="G337" s="19" t="s">
        <v>259</v>
      </c>
      <c r="H337" s="19"/>
      <c r="I337" s="19"/>
      <c r="J337" s="19"/>
      <c r="K337" s="19"/>
      <c r="L337" s="19"/>
      <c r="M337" s="19"/>
      <c r="N337" s="19"/>
      <c r="O337" s="19">
        <f>SUM(TABELA2567[[#This Row],[T1]:[T7]])</f>
        <v>0</v>
      </c>
      <c r="P337" s="21">
        <f>TABELA2567[[#This Row],[QTDE]]*TABELA2567[[#This Row],[PREÇO]]</f>
        <v>0</v>
      </c>
    </row>
    <row r="338" spans="1:16" x14ac:dyDescent="0.2">
      <c r="A338" s="1" t="str">
        <f>TRIM(TABELA2567[[#This Row],[PRODUTO]])&amp;TRIM(TABELA2567[[#This Row],[COR]])</f>
        <v>78.08.01250015</v>
      </c>
      <c r="B338" s="18" t="s">
        <v>650</v>
      </c>
      <c r="C338" s="19" t="s">
        <v>651</v>
      </c>
      <c r="D338" s="19" t="s">
        <v>49</v>
      </c>
      <c r="E338" s="19" t="s">
        <v>71</v>
      </c>
      <c r="F338" s="20">
        <v>73.319999999999993</v>
      </c>
      <c r="G338" s="19" t="s">
        <v>259</v>
      </c>
      <c r="H338" s="19"/>
      <c r="I338" s="19"/>
      <c r="J338" s="19"/>
      <c r="K338" s="19"/>
      <c r="L338" s="19"/>
      <c r="M338" s="19"/>
      <c r="N338" s="19"/>
      <c r="O338" s="19">
        <f>SUM(TABELA2567[[#This Row],[T1]:[T7]])</f>
        <v>0</v>
      </c>
      <c r="P338" s="21">
        <f>TABELA2567[[#This Row],[QTDE]]*TABELA2567[[#This Row],[PREÇO]]</f>
        <v>0</v>
      </c>
    </row>
    <row r="339" spans="1:16" x14ac:dyDescent="0.2">
      <c r="A339" s="1" t="str">
        <f>TRIM(TABELA2567[[#This Row],[PRODUTO]])&amp;TRIM(TABELA2567[[#This Row],[COR]])</f>
        <v>78.13.01350015</v>
      </c>
      <c r="B339" s="18" t="s">
        <v>652</v>
      </c>
      <c r="C339" s="19" t="s">
        <v>653</v>
      </c>
      <c r="D339" s="19" t="s">
        <v>49</v>
      </c>
      <c r="E339" s="19" t="s">
        <v>71</v>
      </c>
      <c r="F339" s="20">
        <v>165.89</v>
      </c>
      <c r="G339" s="19" t="s">
        <v>44</v>
      </c>
      <c r="H339" s="19"/>
      <c r="I339" s="19"/>
      <c r="J339" s="19"/>
      <c r="K339" s="19"/>
      <c r="L339" s="19"/>
      <c r="M339" s="19"/>
      <c r="N339" s="19"/>
      <c r="O339" s="19">
        <f>SUM(TABELA2567[[#This Row],[T1]:[T7]])</f>
        <v>0</v>
      </c>
      <c r="P339" s="21">
        <f>TABELA2567[[#This Row],[QTDE]]*TABELA2567[[#This Row],[PREÇO]]</f>
        <v>0</v>
      </c>
    </row>
    <row r="340" spans="1:16" x14ac:dyDescent="0.2">
      <c r="B340" s="39" t="s">
        <v>654</v>
      </c>
      <c r="C340" s="41" t="s">
        <v>655</v>
      </c>
      <c r="D340" s="41" t="s">
        <v>34</v>
      </c>
      <c r="E340" s="41" t="s">
        <v>35</v>
      </c>
      <c r="F340" s="43">
        <v>221.44</v>
      </c>
      <c r="G340" s="41" t="s">
        <v>44</v>
      </c>
      <c r="H340" s="41"/>
      <c r="I340" s="41"/>
      <c r="J340" s="41"/>
      <c r="K340" s="41"/>
      <c r="L340" s="41"/>
      <c r="M340" s="41"/>
      <c r="N340" s="41"/>
      <c r="O340" s="41">
        <f>SUM(TABELA2567[[#This Row],[T1]:[T7]])</f>
        <v>0</v>
      </c>
      <c r="P340" s="45">
        <f>TABELA2567[[#This Row],[QTDE]]*TABELA2567[[#This Row],[PREÇO]]</f>
        <v>0</v>
      </c>
    </row>
  </sheetData>
  <mergeCells count="10">
    <mergeCell ref="B2:P2"/>
    <mergeCell ref="B10:B14"/>
    <mergeCell ref="C10:C14"/>
    <mergeCell ref="D10:D14"/>
    <mergeCell ref="E10:E14"/>
    <mergeCell ref="F10:F14"/>
    <mergeCell ref="G10:G14"/>
    <mergeCell ref="O10:O14"/>
    <mergeCell ref="P10:P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Parâmetros</vt:lpstr>
      <vt:lpstr>Tabela A (2.2)</vt:lpstr>
      <vt:lpstr>Planilha2</vt:lpstr>
      <vt:lpstr>Tabela A3 (2.3)</vt:lpstr>
      <vt:lpstr>Tabela AF (2.4)</vt:lpstr>
      <vt:lpstr>Tabela A5 (2.5)</vt:lpstr>
      <vt:lpstr>Planilha1</vt:lpstr>
      <vt:lpstr>Tabela AE (2.7)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2022-11-01T02:17:52Z</dcterms:modified>
</cp:coreProperties>
</file>