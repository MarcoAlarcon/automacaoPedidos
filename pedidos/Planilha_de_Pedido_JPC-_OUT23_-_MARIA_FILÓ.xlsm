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726" codeName="{AE6600E7-7A62-396C-DE95-9942FA9DD81E}"/>
  <workbookPr filterPrivacy="1" codeName="EstaPasta_de_trabalho" defaultThemeVersion="124226"/>
  <xr:revisionPtr revIDLastSave="0" documentId="13_ncr:1_{E3507653-65A6-42CD-BC27-139811FED9E1}" xr6:coauthVersionLast="47" xr6:coauthVersionMax="47" xr10:uidLastSave="{00000000-0000-0000-0000-000000000000}"/>
  <bookViews>
    <workbookView xWindow="-120" yWindow="-120" windowWidth="29040" windowHeight="15720" tabRatio="841" xr2:uid="{00000000-000D-0000-FFFF-FFFF00000000}"/>
  </bookViews>
  <sheets>
    <sheet name="Tabela A (2.2)" sheetId="1" r:id="rId1"/>
    <sheet name="Tabela A3 (2.3)" sheetId="4" r:id="rId2"/>
    <sheet name="Tabela AF (2.4)" sheetId="5" r:id="rId3"/>
    <sheet name="Tabela A5 (2.5)" sheetId="6" r:id="rId4"/>
    <sheet name="Tabela AE (2.7)" sheetId="8" r:id="rId5"/>
  </sheets>
  <externalReferences>
    <externalReference r:id="rId6"/>
  </externalReferences>
  <definedNames>
    <definedName name="_192.168.9.200_DB_VIEWS_WANM_LOGISTICA_PRODUTO_EMBALADO_FARM" localSheetId="0" hidden="1">'Tabela A (2.2)'!$B$15:$G$99</definedName>
    <definedName name="_192.168.9.200_DB_VIEWS_WANM_LOGISTICA_PRODUTO_EMBALADO_FARM" localSheetId="1" hidden="1">'Tabela A3 (2.3)'!$B$15:$G$534</definedName>
    <definedName name="_192.168.9.200_DB_VIEWS_WANM_LOGISTICA_PRODUTO_EMBALADO_FARM" localSheetId="3" hidden="1">'Tabela A5 (2.5)'!$B$15:$G$533</definedName>
    <definedName name="_192.168.9.200_DB_VIEWS_WANM_LOGISTICA_PRODUTO_EMBALADO_FARM" localSheetId="4" hidden="1">'Tabela AE (2.7)'!$B$15:$G$347</definedName>
    <definedName name="_192.168.9.200_DB_VIEWS_WANM_LOGISTICA_PRODUTO_EMBALADO_FARM" localSheetId="2" hidden="1">'Tabela AF (2.4)'!$B$15:$G$535</definedName>
    <definedName name="_xlnm._FilterDatabase" localSheetId="0" hidden="1">'Tabela A (2.2)'!$B$10:$P$14</definedName>
    <definedName name="_xlnm._FilterDatabase" localSheetId="1" hidden="1">'Tabela A3 (2.3)'!$B$10:$P$14</definedName>
    <definedName name="_xlnm._FilterDatabase" localSheetId="3" hidden="1">'Tabela A5 (2.5)'!$A$10:$P$10</definedName>
    <definedName name="_xlnm._FilterDatabase" localSheetId="2" hidden="1">'Tabela AF (2.4)'!$A$10:$P$14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4" i="1" l="1"/>
  <c r="P24" i="1" s="1"/>
  <c r="O25" i="1"/>
  <c r="P25" i="1" s="1"/>
  <c r="O26" i="1"/>
  <c r="P26" i="1" s="1"/>
  <c r="O27" i="1"/>
  <c r="P27" i="1" s="1"/>
  <c r="O28" i="1"/>
  <c r="P28" i="1" s="1"/>
  <c r="O29" i="1"/>
  <c r="P29" i="1" s="1"/>
  <c r="O30" i="1"/>
  <c r="P30" i="1" s="1"/>
  <c r="O31" i="1"/>
  <c r="P31" i="1" s="1"/>
  <c r="O32" i="1"/>
  <c r="P32" i="1" s="1"/>
  <c r="O33" i="1"/>
  <c r="P33" i="1" s="1"/>
  <c r="O34" i="1"/>
  <c r="P34" i="1" s="1"/>
  <c r="O35" i="1"/>
  <c r="P35" i="1" s="1"/>
  <c r="O36" i="1"/>
  <c r="P36" i="1" s="1"/>
  <c r="O37" i="1"/>
  <c r="P37" i="1" s="1"/>
  <c r="O38" i="1"/>
  <c r="P38" i="1" s="1"/>
  <c r="O39" i="1"/>
  <c r="P39" i="1" s="1"/>
  <c r="O40" i="1"/>
  <c r="P40" i="1" s="1"/>
  <c r="O41" i="1"/>
  <c r="P41" i="1" s="1"/>
  <c r="O42" i="1"/>
  <c r="P42" i="1" s="1"/>
  <c r="O43" i="1"/>
  <c r="P43" i="1" s="1"/>
  <c r="O44" i="1"/>
  <c r="P44" i="1" s="1"/>
  <c r="O45" i="1"/>
  <c r="P45" i="1" s="1"/>
  <c r="O46" i="1"/>
  <c r="P46" i="1" s="1"/>
  <c r="O47" i="1"/>
  <c r="P47" i="1" s="1"/>
  <c r="O48" i="1"/>
  <c r="P48" i="1" s="1"/>
  <c r="O49" i="1"/>
  <c r="P49" i="1" s="1"/>
  <c r="O50" i="1"/>
  <c r="P50" i="1" s="1"/>
  <c r="O51" i="1"/>
  <c r="P51" i="1" s="1"/>
  <c r="O52" i="1"/>
  <c r="P52" i="1" s="1"/>
  <c r="O53" i="1"/>
  <c r="P53" i="1" s="1"/>
  <c r="O54" i="1"/>
  <c r="P54" i="1" s="1"/>
  <c r="O55" i="1"/>
  <c r="P55" i="1" s="1"/>
  <c r="O56" i="1"/>
  <c r="P56" i="1" s="1"/>
  <c r="O57" i="1"/>
  <c r="P57" i="1" s="1"/>
  <c r="O58" i="1"/>
  <c r="P58" i="1" s="1"/>
  <c r="O59" i="1"/>
  <c r="P59" i="1" s="1"/>
  <c r="O60" i="1"/>
  <c r="P60" i="1" s="1"/>
  <c r="O61" i="1"/>
  <c r="P61" i="1" s="1"/>
  <c r="O62" i="1"/>
  <c r="P62" i="1" s="1"/>
  <c r="O63" i="1"/>
  <c r="P63" i="1" s="1"/>
  <c r="O64" i="1"/>
  <c r="P64" i="1" s="1"/>
  <c r="O65" i="1"/>
  <c r="P65" i="1" s="1"/>
  <c r="O66" i="1"/>
  <c r="P66" i="1" s="1"/>
  <c r="O67" i="1"/>
  <c r="P67" i="1" s="1"/>
  <c r="O68" i="1"/>
  <c r="P68" i="1" s="1"/>
  <c r="O69" i="1"/>
  <c r="P69" i="1" s="1"/>
  <c r="O70" i="1"/>
  <c r="P70" i="1" s="1"/>
  <c r="O71" i="1"/>
  <c r="P71" i="1" s="1"/>
  <c r="O72" i="1"/>
  <c r="P72" i="1" s="1"/>
  <c r="O73" i="1"/>
  <c r="P73" i="1" s="1"/>
  <c r="O74" i="1"/>
  <c r="P74" i="1" s="1"/>
  <c r="O75" i="1"/>
  <c r="P75" i="1" s="1"/>
  <c r="O76" i="1"/>
  <c r="P76" i="1" s="1"/>
  <c r="O77" i="1"/>
  <c r="P77" i="1" s="1"/>
  <c r="O78" i="1"/>
  <c r="P78" i="1" s="1"/>
  <c r="O79" i="1"/>
  <c r="P79" i="1" s="1"/>
  <c r="O80" i="1"/>
  <c r="P80" i="1" s="1"/>
  <c r="O81" i="1"/>
  <c r="P81" i="1" s="1"/>
  <c r="O82" i="1"/>
  <c r="P82" i="1" s="1"/>
  <c r="O83" i="1"/>
  <c r="P83" i="1" s="1"/>
  <c r="O84" i="1"/>
  <c r="P84" i="1" s="1"/>
  <c r="O85" i="1"/>
  <c r="P85" i="1" s="1"/>
  <c r="O86" i="1"/>
  <c r="P86" i="1" s="1"/>
  <c r="O87" i="1"/>
  <c r="P87" i="1" s="1"/>
  <c r="O88" i="1"/>
  <c r="P88" i="1" s="1"/>
  <c r="O89" i="1"/>
  <c r="P89" i="1" s="1"/>
  <c r="O90" i="1"/>
  <c r="P90" i="1" s="1"/>
  <c r="O91" i="1"/>
  <c r="P91" i="1" s="1"/>
  <c r="O92" i="1"/>
  <c r="P92" i="1" s="1"/>
  <c r="O93" i="1"/>
  <c r="P93" i="1" s="1"/>
  <c r="O94" i="1"/>
  <c r="P94" i="1" s="1"/>
  <c r="O95" i="1"/>
  <c r="P95" i="1" s="1"/>
  <c r="O96" i="1"/>
  <c r="P96" i="1" s="1"/>
  <c r="O97" i="1"/>
  <c r="P97" i="1" s="1"/>
  <c r="O98" i="1"/>
  <c r="P98" i="1" s="1"/>
  <c r="O99" i="1"/>
  <c r="P99" i="1" s="1"/>
  <c r="O17" i="6"/>
  <c r="P17" i="6" s="1"/>
  <c r="O18" i="6"/>
  <c r="P18" i="6" s="1"/>
  <c r="O19" i="6"/>
  <c r="P19" i="6" s="1"/>
  <c r="O20" i="6"/>
  <c r="P20" i="6" s="1"/>
  <c r="O21" i="6"/>
  <c r="P21" i="6" s="1"/>
  <c r="O22" i="6"/>
  <c r="O23" i="6"/>
  <c r="P23" i="6" s="1"/>
  <c r="O24" i="6"/>
  <c r="P24" i="6" s="1"/>
  <c r="O25" i="6"/>
  <c r="P25" i="6" s="1"/>
  <c r="O26" i="6"/>
  <c r="P26" i="6" s="1"/>
  <c r="O27" i="6"/>
  <c r="P27" i="6" s="1"/>
  <c r="O28" i="6"/>
  <c r="P28" i="6" s="1"/>
  <c r="O29" i="6"/>
  <c r="P29" i="6" s="1"/>
  <c r="O30" i="6"/>
  <c r="O31" i="6"/>
  <c r="P31" i="6" s="1"/>
  <c r="O32" i="6"/>
  <c r="P32" i="6" s="1"/>
  <c r="O33" i="6"/>
  <c r="P33" i="6" s="1"/>
  <c r="O34" i="6"/>
  <c r="P34" i="6" s="1"/>
  <c r="O35" i="6"/>
  <c r="P35" i="6" s="1"/>
  <c r="O36" i="6"/>
  <c r="P36" i="6" s="1"/>
  <c r="O37" i="6"/>
  <c r="P37" i="6" s="1"/>
  <c r="O38" i="6"/>
  <c r="O39" i="6"/>
  <c r="P39" i="6" s="1"/>
  <c r="O40" i="6"/>
  <c r="P40" i="6" s="1"/>
  <c r="O41" i="6"/>
  <c r="P41" i="6" s="1"/>
  <c r="O42" i="6"/>
  <c r="P42" i="6" s="1"/>
  <c r="O43" i="6"/>
  <c r="P43" i="6" s="1"/>
  <c r="O44" i="6"/>
  <c r="P44" i="6" s="1"/>
  <c r="O45" i="6"/>
  <c r="P45" i="6" s="1"/>
  <c r="O46" i="6"/>
  <c r="O47" i="6"/>
  <c r="P47" i="6" s="1"/>
  <c r="O48" i="6"/>
  <c r="P48" i="6" s="1"/>
  <c r="O49" i="6"/>
  <c r="P49" i="6" s="1"/>
  <c r="O50" i="6"/>
  <c r="P50" i="6" s="1"/>
  <c r="O51" i="6"/>
  <c r="P51" i="6" s="1"/>
  <c r="O52" i="6"/>
  <c r="P52" i="6" s="1"/>
  <c r="O53" i="6"/>
  <c r="P53" i="6" s="1"/>
  <c r="O54" i="6"/>
  <c r="O55" i="6"/>
  <c r="P55" i="6" s="1"/>
  <c r="O56" i="6"/>
  <c r="P56" i="6" s="1"/>
  <c r="O57" i="6"/>
  <c r="P57" i="6" s="1"/>
  <c r="O58" i="6"/>
  <c r="P58" i="6" s="1"/>
  <c r="O59" i="6"/>
  <c r="P59" i="6" s="1"/>
  <c r="O60" i="6"/>
  <c r="P60" i="6" s="1"/>
  <c r="O61" i="6"/>
  <c r="P61" i="6" s="1"/>
  <c r="O62" i="6"/>
  <c r="O63" i="6"/>
  <c r="P63" i="6" s="1"/>
  <c r="O64" i="6"/>
  <c r="P64" i="6" s="1"/>
  <c r="O65" i="6"/>
  <c r="P65" i="6" s="1"/>
  <c r="O66" i="6"/>
  <c r="P66" i="6" s="1"/>
  <c r="O67" i="6"/>
  <c r="P67" i="6" s="1"/>
  <c r="O68" i="6"/>
  <c r="P68" i="6" s="1"/>
  <c r="O69" i="6"/>
  <c r="P69" i="6" s="1"/>
  <c r="O70" i="6"/>
  <c r="O71" i="6"/>
  <c r="P71" i="6" s="1"/>
  <c r="O72" i="6"/>
  <c r="P72" i="6" s="1"/>
  <c r="O73" i="6"/>
  <c r="P73" i="6" s="1"/>
  <c r="O74" i="6"/>
  <c r="P74" i="6" s="1"/>
  <c r="O75" i="6"/>
  <c r="P75" i="6" s="1"/>
  <c r="O76" i="6"/>
  <c r="P76" i="6" s="1"/>
  <c r="O77" i="6"/>
  <c r="P77" i="6" s="1"/>
  <c r="O78" i="6"/>
  <c r="O79" i="6"/>
  <c r="P79" i="6" s="1"/>
  <c r="O80" i="6"/>
  <c r="P80" i="6" s="1"/>
  <c r="O81" i="6"/>
  <c r="P81" i="6" s="1"/>
  <c r="O82" i="6"/>
  <c r="P82" i="6" s="1"/>
  <c r="O83" i="6"/>
  <c r="P83" i="6" s="1"/>
  <c r="O84" i="6"/>
  <c r="P84" i="6" s="1"/>
  <c r="O85" i="6"/>
  <c r="P85" i="6" s="1"/>
  <c r="O86" i="6"/>
  <c r="O87" i="6"/>
  <c r="P87" i="6" s="1"/>
  <c r="O88" i="6"/>
  <c r="P88" i="6" s="1"/>
  <c r="O89" i="6"/>
  <c r="P89" i="6" s="1"/>
  <c r="O90" i="6"/>
  <c r="P90" i="6" s="1"/>
  <c r="O91" i="6"/>
  <c r="P91" i="6" s="1"/>
  <c r="O92" i="6"/>
  <c r="P92" i="6" s="1"/>
  <c r="O93" i="6"/>
  <c r="P93" i="6" s="1"/>
  <c r="O94" i="6"/>
  <c r="O95" i="6"/>
  <c r="P95" i="6" s="1"/>
  <c r="O96" i="6"/>
  <c r="P96" i="6" s="1"/>
  <c r="O97" i="6"/>
  <c r="P97" i="6" s="1"/>
  <c r="O98" i="6"/>
  <c r="P98" i="6" s="1"/>
  <c r="O99" i="6"/>
  <c r="P99" i="6" s="1"/>
  <c r="O100" i="6"/>
  <c r="P100" i="6" s="1"/>
  <c r="O101" i="6"/>
  <c r="P101" i="6" s="1"/>
  <c r="O102" i="6"/>
  <c r="O103" i="6"/>
  <c r="P103" i="6" s="1"/>
  <c r="O104" i="6"/>
  <c r="P104" i="6" s="1"/>
  <c r="O105" i="6"/>
  <c r="P105" i="6" s="1"/>
  <c r="O106" i="6"/>
  <c r="P106" i="6" s="1"/>
  <c r="O107" i="6"/>
  <c r="P107" i="6" s="1"/>
  <c r="O108" i="6"/>
  <c r="P108" i="6" s="1"/>
  <c r="O109" i="6"/>
  <c r="P109" i="6" s="1"/>
  <c r="O110" i="6"/>
  <c r="O111" i="6"/>
  <c r="P111" i="6" s="1"/>
  <c r="O112" i="6"/>
  <c r="P112" i="6" s="1"/>
  <c r="O113" i="6"/>
  <c r="P113" i="6" s="1"/>
  <c r="O114" i="6"/>
  <c r="P114" i="6" s="1"/>
  <c r="O115" i="6"/>
  <c r="P115" i="6" s="1"/>
  <c r="O116" i="6"/>
  <c r="P116" i="6" s="1"/>
  <c r="O117" i="6"/>
  <c r="P117" i="6" s="1"/>
  <c r="O118" i="6"/>
  <c r="O119" i="6"/>
  <c r="P119" i="6" s="1"/>
  <c r="O120" i="6"/>
  <c r="P120" i="6" s="1"/>
  <c r="O121" i="6"/>
  <c r="P121" i="6" s="1"/>
  <c r="O122" i="6"/>
  <c r="P122" i="6" s="1"/>
  <c r="O123" i="6"/>
  <c r="P123" i="6" s="1"/>
  <c r="O124" i="6"/>
  <c r="P124" i="6" s="1"/>
  <c r="O125" i="6"/>
  <c r="P125" i="6" s="1"/>
  <c r="O126" i="6"/>
  <c r="O127" i="6"/>
  <c r="P127" i="6" s="1"/>
  <c r="O128" i="6"/>
  <c r="P128" i="6" s="1"/>
  <c r="O129" i="6"/>
  <c r="P129" i="6" s="1"/>
  <c r="O130" i="6"/>
  <c r="P130" i="6" s="1"/>
  <c r="O131" i="6"/>
  <c r="P131" i="6" s="1"/>
  <c r="O132" i="6"/>
  <c r="P132" i="6" s="1"/>
  <c r="O133" i="6"/>
  <c r="P133" i="6" s="1"/>
  <c r="O134" i="6"/>
  <c r="O135" i="6"/>
  <c r="P135" i="6" s="1"/>
  <c r="O136" i="6"/>
  <c r="P136" i="6" s="1"/>
  <c r="O137" i="6"/>
  <c r="P137" i="6" s="1"/>
  <c r="O138" i="6"/>
  <c r="P138" i="6" s="1"/>
  <c r="O139" i="6"/>
  <c r="P139" i="6" s="1"/>
  <c r="O140" i="6"/>
  <c r="P140" i="6" s="1"/>
  <c r="O141" i="6"/>
  <c r="P141" i="6" s="1"/>
  <c r="O142" i="6"/>
  <c r="O143" i="6"/>
  <c r="P143" i="6" s="1"/>
  <c r="O144" i="6"/>
  <c r="P144" i="6" s="1"/>
  <c r="O145" i="6"/>
  <c r="P145" i="6" s="1"/>
  <c r="O146" i="6"/>
  <c r="P146" i="6" s="1"/>
  <c r="O147" i="6"/>
  <c r="P147" i="6" s="1"/>
  <c r="O148" i="6"/>
  <c r="P148" i="6" s="1"/>
  <c r="O149" i="6"/>
  <c r="P149" i="6" s="1"/>
  <c r="O150" i="6"/>
  <c r="O151" i="6"/>
  <c r="P151" i="6" s="1"/>
  <c r="O152" i="6"/>
  <c r="P152" i="6" s="1"/>
  <c r="O153" i="6"/>
  <c r="P153" i="6" s="1"/>
  <c r="O154" i="6"/>
  <c r="P154" i="6" s="1"/>
  <c r="O155" i="6"/>
  <c r="P155" i="6" s="1"/>
  <c r="O156" i="6"/>
  <c r="P156" i="6" s="1"/>
  <c r="O157" i="6"/>
  <c r="P157" i="6" s="1"/>
  <c r="O158" i="6"/>
  <c r="O159" i="6"/>
  <c r="P159" i="6" s="1"/>
  <c r="O160" i="6"/>
  <c r="P160" i="6" s="1"/>
  <c r="O161" i="6"/>
  <c r="P161" i="6" s="1"/>
  <c r="O162" i="6"/>
  <c r="P162" i="6" s="1"/>
  <c r="O163" i="6"/>
  <c r="P163" i="6" s="1"/>
  <c r="O164" i="6"/>
  <c r="P164" i="6" s="1"/>
  <c r="O165" i="6"/>
  <c r="P165" i="6" s="1"/>
  <c r="O166" i="6"/>
  <c r="O167" i="6"/>
  <c r="P167" i="6" s="1"/>
  <c r="O168" i="6"/>
  <c r="P168" i="6" s="1"/>
  <c r="O169" i="6"/>
  <c r="P169" i="6" s="1"/>
  <c r="O170" i="6"/>
  <c r="P170" i="6" s="1"/>
  <c r="O171" i="6"/>
  <c r="P171" i="6" s="1"/>
  <c r="O172" i="6"/>
  <c r="P172" i="6" s="1"/>
  <c r="O173" i="6"/>
  <c r="P173" i="6" s="1"/>
  <c r="O174" i="6"/>
  <c r="O175" i="6"/>
  <c r="P175" i="6" s="1"/>
  <c r="O176" i="6"/>
  <c r="P176" i="6" s="1"/>
  <c r="O177" i="6"/>
  <c r="P177" i="6" s="1"/>
  <c r="O178" i="6"/>
  <c r="P178" i="6" s="1"/>
  <c r="O179" i="6"/>
  <c r="P179" i="6" s="1"/>
  <c r="O180" i="6"/>
  <c r="P180" i="6" s="1"/>
  <c r="O181" i="6"/>
  <c r="P181" i="6" s="1"/>
  <c r="O182" i="6"/>
  <c r="O183" i="6"/>
  <c r="P183" i="6" s="1"/>
  <c r="O184" i="6"/>
  <c r="P184" i="6" s="1"/>
  <c r="O185" i="6"/>
  <c r="P185" i="6" s="1"/>
  <c r="O186" i="6"/>
  <c r="P186" i="6" s="1"/>
  <c r="O187" i="6"/>
  <c r="P187" i="6" s="1"/>
  <c r="O188" i="6"/>
  <c r="P188" i="6" s="1"/>
  <c r="O189" i="6"/>
  <c r="P189" i="6" s="1"/>
  <c r="O190" i="6"/>
  <c r="O191" i="6"/>
  <c r="P191" i="6" s="1"/>
  <c r="O192" i="6"/>
  <c r="P192" i="6" s="1"/>
  <c r="O193" i="6"/>
  <c r="P193" i="6" s="1"/>
  <c r="O194" i="6"/>
  <c r="P194" i="6" s="1"/>
  <c r="O195" i="6"/>
  <c r="P195" i="6" s="1"/>
  <c r="O196" i="6"/>
  <c r="P196" i="6" s="1"/>
  <c r="O197" i="6"/>
  <c r="P197" i="6" s="1"/>
  <c r="O198" i="6"/>
  <c r="O199" i="6"/>
  <c r="P199" i="6" s="1"/>
  <c r="O200" i="6"/>
  <c r="P200" i="6" s="1"/>
  <c r="O201" i="6"/>
  <c r="P201" i="6" s="1"/>
  <c r="O202" i="6"/>
  <c r="P202" i="6" s="1"/>
  <c r="O203" i="6"/>
  <c r="P203" i="6" s="1"/>
  <c r="O204" i="6"/>
  <c r="P204" i="6" s="1"/>
  <c r="O205" i="6"/>
  <c r="P205" i="6" s="1"/>
  <c r="O206" i="6"/>
  <c r="O207" i="6"/>
  <c r="P207" i="6" s="1"/>
  <c r="O208" i="6"/>
  <c r="P208" i="6" s="1"/>
  <c r="O209" i="6"/>
  <c r="P209" i="6" s="1"/>
  <c r="O210" i="6"/>
  <c r="P210" i="6" s="1"/>
  <c r="O211" i="6"/>
  <c r="P211" i="6" s="1"/>
  <c r="O212" i="6"/>
  <c r="P212" i="6" s="1"/>
  <c r="O213" i="6"/>
  <c r="P213" i="6" s="1"/>
  <c r="O214" i="6"/>
  <c r="O215" i="6"/>
  <c r="P215" i="6" s="1"/>
  <c r="O216" i="6"/>
  <c r="P216" i="6" s="1"/>
  <c r="O217" i="6"/>
  <c r="P217" i="6" s="1"/>
  <c r="O218" i="6"/>
  <c r="P218" i="6" s="1"/>
  <c r="O219" i="6"/>
  <c r="P219" i="6" s="1"/>
  <c r="O220" i="6"/>
  <c r="P220" i="6" s="1"/>
  <c r="O221" i="6"/>
  <c r="P221" i="6" s="1"/>
  <c r="O222" i="6"/>
  <c r="O223" i="6"/>
  <c r="P223" i="6" s="1"/>
  <c r="O224" i="6"/>
  <c r="P224" i="6" s="1"/>
  <c r="O225" i="6"/>
  <c r="P225" i="6" s="1"/>
  <c r="O226" i="6"/>
  <c r="P226" i="6" s="1"/>
  <c r="O227" i="6"/>
  <c r="P227" i="6" s="1"/>
  <c r="O228" i="6"/>
  <c r="P228" i="6" s="1"/>
  <c r="O229" i="6"/>
  <c r="P229" i="6" s="1"/>
  <c r="O230" i="6"/>
  <c r="O231" i="6"/>
  <c r="P231" i="6" s="1"/>
  <c r="O232" i="6"/>
  <c r="P232" i="6" s="1"/>
  <c r="O233" i="6"/>
  <c r="P233" i="6" s="1"/>
  <c r="O234" i="6"/>
  <c r="P234" i="6" s="1"/>
  <c r="O235" i="6"/>
  <c r="P235" i="6" s="1"/>
  <c r="O236" i="6"/>
  <c r="P236" i="6" s="1"/>
  <c r="O237" i="6"/>
  <c r="P237" i="6" s="1"/>
  <c r="O238" i="6"/>
  <c r="O239" i="6"/>
  <c r="P239" i="6" s="1"/>
  <c r="O240" i="6"/>
  <c r="P240" i="6" s="1"/>
  <c r="O241" i="6"/>
  <c r="P241" i="6" s="1"/>
  <c r="O242" i="6"/>
  <c r="P242" i="6" s="1"/>
  <c r="O243" i="6"/>
  <c r="P243" i="6" s="1"/>
  <c r="O244" i="6"/>
  <c r="P244" i="6" s="1"/>
  <c r="O245" i="6"/>
  <c r="P245" i="6" s="1"/>
  <c r="O246" i="6"/>
  <c r="O247" i="6"/>
  <c r="P247" i="6" s="1"/>
  <c r="O248" i="6"/>
  <c r="P248" i="6" s="1"/>
  <c r="O249" i="6"/>
  <c r="P249" i="6" s="1"/>
  <c r="O250" i="6"/>
  <c r="P250" i="6" s="1"/>
  <c r="O251" i="6"/>
  <c r="P251" i="6" s="1"/>
  <c r="O252" i="6"/>
  <c r="P252" i="6" s="1"/>
  <c r="O253" i="6"/>
  <c r="P253" i="6" s="1"/>
  <c r="O254" i="6"/>
  <c r="O255" i="6"/>
  <c r="P255" i="6" s="1"/>
  <c r="O256" i="6"/>
  <c r="P256" i="6" s="1"/>
  <c r="O257" i="6"/>
  <c r="P257" i="6" s="1"/>
  <c r="O258" i="6"/>
  <c r="P258" i="6" s="1"/>
  <c r="O259" i="6"/>
  <c r="P259" i="6" s="1"/>
  <c r="O260" i="6"/>
  <c r="P260" i="6" s="1"/>
  <c r="O261" i="6"/>
  <c r="P261" i="6" s="1"/>
  <c r="O262" i="6"/>
  <c r="O263" i="6"/>
  <c r="P263" i="6" s="1"/>
  <c r="O264" i="6"/>
  <c r="P264" i="6" s="1"/>
  <c r="O265" i="6"/>
  <c r="P265" i="6" s="1"/>
  <c r="O266" i="6"/>
  <c r="P266" i="6" s="1"/>
  <c r="O267" i="6"/>
  <c r="P267" i="6" s="1"/>
  <c r="O268" i="6"/>
  <c r="P268" i="6" s="1"/>
  <c r="O269" i="6"/>
  <c r="P269" i="6" s="1"/>
  <c r="O270" i="6"/>
  <c r="O271" i="6"/>
  <c r="P271" i="6" s="1"/>
  <c r="O272" i="6"/>
  <c r="P272" i="6" s="1"/>
  <c r="O273" i="6"/>
  <c r="P273" i="6" s="1"/>
  <c r="O274" i="6"/>
  <c r="P274" i="6" s="1"/>
  <c r="O275" i="6"/>
  <c r="P275" i="6" s="1"/>
  <c r="O276" i="6"/>
  <c r="P276" i="6" s="1"/>
  <c r="O277" i="6"/>
  <c r="P277" i="6" s="1"/>
  <c r="O278" i="6"/>
  <c r="O279" i="6"/>
  <c r="P279" i="6" s="1"/>
  <c r="O280" i="6"/>
  <c r="P280" i="6" s="1"/>
  <c r="O281" i="6"/>
  <c r="P281" i="6" s="1"/>
  <c r="O282" i="6"/>
  <c r="P282" i="6" s="1"/>
  <c r="O283" i="6"/>
  <c r="P283" i="6" s="1"/>
  <c r="O284" i="6"/>
  <c r="P284" i="6" s="1"/>
  <c r="O285" i="6"/>
  <c r="P285" i="6" s="1"/>
  <c r="O286" i="6"/>
  <c r="O287" i="6"/>
  <c r="P287" i="6" s="1"/>
  <c r="O288" i="6"/>
  <c r="P288" i="6" s="1"/>
  <c r="O289" i="6"/>
  <c r="P289" i="6" s="1"/>
  <c r="O290" i="6"/>
  <c r="P290" i="6" s="1"/>
  <c r="O291" i="6"/>
  <c r="P291" i="6" s="1"/>
  <c r="O292" i="6"/>
  <c r="P292" i="6" s="1"/>
  <c r="O293" i="6"/>
  <c r="P293" i="6" s="1"/>
  <c r="O294" i="6"/>
  <c r="O295" i="6"/>
  <c r="P295" i="6" s="1"/>
  <c r="O296" i="6"/>
  <c r="P296" i="6" s="1"/>
  <c r="O297" i="6"/>
  <c r="P297" i="6" s="1"/>
  <c r="O298" i="6"/>
  <c r="P298" i="6" s="1"/>
  <c r="O299" i="6"/>
  <c r="P299" i="6" s="1"/>
  <c r="O300" i="6"/>
  <c r="P300" i="6" s="1"/>
  <c r="O301" i="6"/>
  <c r="P301" i="6" s="1"/>
  <c r="O302" i="6"/>
  <c r="O303" i="6"/>
  <c r="P303" i="6" s="1"/>
  <c r="O304" i="6"/>
  <c r="O305" i="6"/>
  <c r="P305" i="6" s="1"/>
  <c r="O306" i="6"/>
  <c r="P306" i="6" s="1"/>
  <c r="O307" i="6"/>
  <c r="P307" i="6" s="1"/>
  <c r="O308" i="6"/>
  <c r="P308" i="6" s="1"/>
  <c r="O309" i="6"/>
  <c r="P309" i="6" s="1"/>
  <c r="O310" i="6"/>
  <c r="O311" i="6"/>
  <c r="P311" i="6" s="1"/>
  <c r="O312" i="6"/>
  <c r="O313" i="6"/>
  <c r="P313" i="6" s="1"/>
  <c r="O314" i="6"/>
  <c r="O315" i="6"/>
  <c r="P315" i="6" s="1"/>
  <c r="O316" i="6"/>
  <c r="P316" i="6" s="1"/>
  <c r="O317" i="6"/>
  <c r="P317" i="6" s="1"/>
  <c r="O318" i="6"/>
  <c r="O319" i="6"/>
  <c r="P319" i="6" s="1"/>
  <c r="O320" i="6"/>
  <c r="O321" i="6"/>
  <c r="P321" i="6" s="1"/>
  <c r="O322" i="6"/>
  <c r="P322" i="6" s="1"/>
  <c r="O323" i="6"/>
  <c r="P323" i="6" s="1"/>
  <c r="O324" i="6"/>
  <c r="P324" i="6" s="1"/>
  <c r="O325" i="6"/>
  <c r="P325" i="6" s="1"/>
  <c r="O326" i="6"/>
  <c r="O327" i="6"/>
  <c r="P327" i="6" s="1"/>
  <c r="O328" i="6"/>
  <c r="O329" i="6"/>
  <c r="P329" i="6" s="1"/>
  <c r="O330" i="6"/>
  <c r="O331" i="6"/>
  <c r="P331" i="6" s="1"/>
  <c r="O332" i="6"/>
  <c r="P332" i="6" s="1"/>
  <c r="O333" i="6"/>
  <c r="P333" i="6" s="1"/>
  <c r="O334" i="6"/>
  <c r="O335" i="6"/>
  <c r="P335" i="6" s="1"/>
  <c r="O336" i="6"/>
  <c r="O337" i="6"/>
  <c r="P337" i="6" s="1"/>
  <c r="O338" i="6"/>
  <c r="O339" i="6"/>
  <c r="P339" i="6" s="1"/>
  <c r="O340" i="6"/>
  <c r="P340" i="6" s="1"/>
  <c r="O341" i="6"/>
  <c r="P341" i="6" s="1"/>
  <c r="O342" i="6"/>
  <c r="O343" i="6"/>
  <c r="P343" i="6" s="1"/>
  <c r="O344" i="6"/>
  <c r="O345" i="6"/>
  <c r="P345" i="6" s="1"/>
  <c r="O346" i="6"/>
  <c r="O347" i="6"/>
  <c r="P347" i="6" s="1"/>
  <c r="O348" i="6"/>
  <c r="P348" i="6" s="1"/>
  <c r="O349" i="6"/>
  <c r="P349" i="6" s="1"/>
  <c r="O350" i="6"/>
  <c r="O351" i="6"/>
  <c r="P351" i="6" s="1"/>
  <c r="O352" i="6"/>
  <c r="O353" i="6"/>
  <c r="P353" i="6" s="1"/>
  <c r="O354" i="6"/>
  <c r="O355" i="6"/>
  <c r="P355" i="6" s="1"/>
  <c r="O356" i="6"/>
  <c r="P356" i="6" s="1"/>
  <c r="O357" i="6"/>
  <c r="P357" i="6" s="1"/>
  <c r="O358" i="6"/>
  <c r="O359" i="6"/>
  <c r="P359" i="6" s="1"/>
  <c r="O360" i="6"/>
  <c r="O361" i="6"/>
  <c r="P361" i="6" s="1"/>
  <c r="O362" i="6"/>
  <c r="O363" i="6"/>
  <c r="P363" i="6" s="1"/>
  <c r="O364" i="6"/>
  <c r="P364" i="6" s="1"/>
  <c r="O365" i="6"/>
  <c r="P365" i="6" s="1"/>
  <c r="O366" i="6"/>
  <c r="O367" i="6"/>
  <c r="P367" i="6" s="1"/>
  <c r="O368" i="6"/>
  <c r="O369" i="6"/>
  <c r="P369" i="6" s="1"/>
  <c r="O370" i="6"/>
  <c r="O371" i="6"/>
  <c r="P371" i="6" s="1"/>
  <c r="O372" i="6"/>
  <c r="P372" i="6" s="1"/>
  <c r="O373" i="6"/>
  <c r="P373" i="6" s="1"/>
  <c r="O374" i="6"/>
  <c r="O375" i="6"/>
  <c r="P375" i="6" s="1"/>
  <c r="O376" i="6"/>
  <c r="O377" i="6"/>
  <c r="P377" i="6" s="1"/>
  <c r="O378" i="6"/>
  <c r="O379" i="6"/>
  <c r="P379" i="6" s="1"/>
  <c r="O380" i="6"/>
  <c r="P380" i="6" s="1"/>
  <c r="O381" i="6"/>
  <c r="P381" i="6" s="1"/>
  <c r="O382" i="6"/>
  <c r="O383" i="6"/>
  <c r="P383" i="6" s="1"/>
  <c r="O384" i="6"/>
  <c r="O385" i="6"/>
  <c r="P385" i="6" s="1"/>
  <c r="O386" i="6"/>
  <c r="O387" i="6"/>
  <c r="P387" i="6" s="1"/>
  <c r="O388" i="6"/>
  <c r="P388" i="6" s="1"/>
  <c r="O389" i="6"/>
  <c r="P389" i="6" s="1"/>
  <c r="O390" i="6"/>
  <c r="O391" i="6"/>
  <c r="P391" i="6" s="1"/>
  <c r="O392" i="6"/>
  <c r="O393" i="6"/>
  <c r="P393" i="6" s="1"/>
  <c r="O394" i="6"/>
  <c r="O395" i="6"/>
  <c r="P395" i="6" s="1"/>
  <c r="O396" i="6"/>
  <c r="P396" i="6" s="1"/>
  <c r="O397" i="6"/>
  <c r="P397" i="6" s="1"/>
  <c r="O398" i="6"/>
  <c r="O399" i="6"/>
  <c r="P399" i="6" s="1"/>
  <c r="O400" i="6"/>
  <c r="O401" i="6"/>
  <c r="P401" i="6" s="1"/>
  <c r="O402" i="6"/>
  <c r="O403" i="6"/>
  <c r="P403" i="6" s="1"/>
  <c r="O404" i="6"/>
  <c r="P404" i="6" s="1"/>
  <c r="O405" i="6"/>
  <c r="P405" i="6" s="1"/>
  <c r="O406" i="6"/>
  <c r="O407" i="6"/>
  <c r="P407" i="6" s="1"/>
  <c r="O408" i="6"/>
  <c r="O409" i="6"/>
  <c r="P409" i="6" s="1"/>
  <c r="O410" i="6"/>
  <c r="O411" i="6"/>
  <c r="P411" i="6" s="1"/>
  <c r="O412" i="6"/>
  <c r="P412" i="6" s="1"/>
  <c r="O413" i="6"/>
  <c r="P413" i="6" s="1"/>
  <c r="O414" i="6"/>
  <c r="O415" i="6"/>
  <c r="P415" i="6" s="1"/>
  <c r="O416" i="6"/>
  <c r="O417" i="6"/>
  <c r="P417" i="6" s="1"/>
  <c r="O418" i="6"/>
  <c r="O419" i="6"/>
  <c r="P419" i="6" s="1"/>
  <c r="O420" i="6"/>
  <c r="P420" i="6" s="1"/>
  <c r="O421" i="6"/>
  <c r="P421" i="6" s="1"/>
  <c r="O422" i="6"/>
  <c r="O423" i="6"/>
  <c r="P423" i="6" s="1"/>
  <c r="O424" i="6"/>
  <c r="O425" i="6"/>
  <c r="P425" i="6" s="1"/>
  <c r="O426" i="6"/>
  <c r="O427" i="6"/>
  <c r="P427" i="6" s="1"/>
  <c r="O428" i="6"/>
  <c r="O429" i="6"/>
  <c r="P429" i="6" s="1"/>
  <c r="O430" i="6"/>
  <c r="O431" i="6"/>
  <c r="P431" i="6" s="1"/>
  <c r="O432" i="6"/>
  <c r="O433" i="6"/>
  <c r="P433" i="6" s="1"/>
  <c r="O434" i="6"/>
  <c r="O435" i="6"/>
  <c r="P435" i="6" s="1"/>
  <c r="O436" i="6"/>
  <c r="O437" i="6"/>
  <c r="P437" i="6" s="1"/>
  <c r="O438" i="6"/>
  <c r="O439" i="6"/>
  <c r="P439" i="6" s="1"/>
  <c r="O440" i="6"/>
  <c r="O441" i="6"/>
  <c r="P441" i="6" s="1"/>
  <c r="O442" i="6"/>
  <c r="O443" i="6"/>
  <c r="P443" i="6" s="1"/>
  <c r="O444" i="6"/>
  <c r="O445" i="6"/>
  <c r="P445" i="6" s="1"/>
  <c r="O446" i="6"/>
  <c r="O447" i="6"/>
  <c r="P447" i="6" s="1"/>
  <c r="O448" i="6"/>
  <c r="O449" i="6"/>
  <c r="P449" i="6" s="1"/>
  <c r="O450" i="6"/>
  <c r="O451" i="6"/>
  <c r="P451" i="6" s="1"/>
  <c r="O452" i="6"/>
  <c r="O453" i="6"/>
  <c r="P453" i="6" s="1"/>
  <c r="O454" i="6"/>
  <c r="O455" i="6"/>
  <c r="P455" i="6" s="1"/>
  <c r="O456" i="6"/>
  <c r="O457" i="6"/>
  <c r="P457" i="6" s="1"/>
  <c r="O458" i="6"/>
  <c r="O459" i="6"/>
  <c r="P459" i="6" s="1"/>
  <c r="O460" i="6"/>
  <c r="O461" i="6"/>
  <c r="P461" i="6" s="1"/>
  <c r="O462" i="6"/>
  <c r="O463" i="6"/>
  <c r="P463" i="6" s="1"/>
  <c r="O464" i="6"/>
  <c r="O465" i="6"/>
  <c r="P465" i="6" s="1"/>
  <c r="O466" i="6"/>
  <c r="O467" i="6"/>
  <c r="P467" i="6" s="1"/>
  <c r="O468" i="6"/>
  <c r="O469" i="6"/>
  <c r="P469" i="6" s="1"/>
  <c r="O470" i="6"/>
  <c r="O471" i="6"/>
  <c r="P471" i="6" s="1"/>
  <c r="O472" i="6"/>
  <c r="O473" i="6"/>
  <c r="P473" i="6" s="1"/>
  <c r="O474" i="6"/>
  <c r="O475" i="6"/>
  <c r="P475" i="6" s="1"/>
  <c r="O476" i="6"/>
  <c r="O477" i="6"/>
  <c r="P477" i="6" s="1"/>
  <c r="O478" i="6"/>
  <c r="O479" i="6"/>
  <c r="P479" i="6" s="1"/>
  <c r="O480" i="6"/>
  <c r="O481" i="6"/>
  <c r="P481" i="6" s="1"/>
  <c r="O482" i="6"/>
  <c r="O483" i="6"/>
  <c r="P483" i="6" s="1"/>
  <c r="O484" i="6"/>
  <c r="O485" i="6"/>
  <c r="P485" i="6" s="1"/>
  <c r="O486" i="6"/>
  <c r="O487" i="6"/>
  <c r="P487" i="6" s="1"/>
  <c r="O488" i="6"/>
  <c r="O489" i="6"/>
  <c r="P489" i="6" s="1"/>
  <c r="O490" i="6"/>
  <c r="O491" i="6"/>
  <c r="P491" i="6" s="1"/>
  <c r="O492" i="6"/>
  <c r="O493" i="6"/>
  <c r="P493" i="6" s="1"/>
  <c r="O494" i="6"/>
  <c r="O495" i="6"/>
  <c r="P495" i="6" s="1"/>
  <c r="O496" i="6"/>
  <c r="O497" i="6"/>
  <c r="P497" i="6" s="1"/>
  <c r="O498" i="6"/>
  <c r="O499" i="6"/>
  <c r="P499" i="6" s="1"/>
  <c r="O500" i="6"/>
  <c r="O501" i="6"/>
  <c r="P501" i="6" s="1"/>
  <c r="O502" i="6"/>
  <c r="O503" i="6"/>
  <c r="P503" i="6" s="1"/>
  <c r="O504" i="6"/>
  <c r="O505" i="6"/>
  <c r="P505" i="6" s="1"/>
  <c r="O506" i="6"/>
  <c r="O507" i="6"/>
  <c r="P507" i="6" s="1"/>
  <c r="O508" i="6"/>
  <c r="O509" i="6"/>
  <c r="P509" i="6" s="1"/>
  <c r="O510" i="6"/>
  <c r="O511" i="6"/>
  <c r="P511" i="6" s="1"/>
  <c r="O512" i="6"/>
  <c r="O513" i="6"/>
  <c r="P513" i="6" s="1"/>
  <c r="O514" i="6"/>
  <c r="O515" i="6"/>
  <c r="P515" i="6" s="1"/>
  <c r="O516" i="6"/>
  <c r="O517" i="6"/>
  <c r="O518" i="6"/>
  <c r="O519" i="6"/>
  <c r="P519" i="6" s="1"/>
  <c r="O520" i="6"/>
  <c r="O521" i="6"/>
  <c r="P521" i="6" s="1"/>
  <c r="O522" i="6"/>
  <c r="O523" i="6"/>
  <c r="O524" i="6"/>
  <c r="O525" i="6"/>
  <c r="O526" i="6"/>
  <c r="O527" i="6"/>
  <c r="P527" i="6" s="1"/>
  <c r="O528" i="6"/>
  <c r="O529" i="6"/>
  <c r="P529" i="6" s="1"/>
  <c r="O530" i="6"/>
  <c r="P530" i="6" s="1"/>
  <c r="O531" i="6"/>
  <c r="P531" i="6" s="1"/>
  <c r="O532" i="6"/>
  <c r="P532" i="6" s="1"/>
  <c r="O533" i="6"/>
  <c r="P533" i="6" s="1"/>
  <c r="O16" i="6"/>
  <c r="O17" i="5"/>
  <c r="P17" i="5" s="1"/>
  <c r="O18" i="5"/>
  <c r="P18" i="5" s="1"/>
  <c r="O19" i="5"/>
  <c r="P19" i="5" s="1"/>
  <c r="O20" i="5"/>
  <c r="P20" i="5" s="1"/>
  <c r="O21" i="5"/>
  <c r="P21" i="5" s="1"/>
  <c r="O22" i="5"/>
  <c r="P22" i="5" s="1"/>
  <c r="O23" i="5"/>
  <c r="P23" i="5" s="1"/>
  <c r="O24" i="5"/>
  <c r="P24" i="5" s="1"/>
  <c r="O25" i="5"/>
  <c r="P25" i="5" s="1"/>
  <c r="O26" i="5"/>
  <c r="P26" i="5" s="1"/>
  <c r="O27" i="5"/>
  <c r="P27" i="5" s="1"/>
  <c r="O28" i="5"/>
  <c r="P28" i="5" s="1"/>
  <c r="O29" i="5"/>
  <c r="P29" i="5" s="1"/>
  <c r="O30" i="5"/>
  <c r="P30" i="5" s="1"/>
  <c r="O31" i="5"/>
  <c r="P31" i="5" s="1"/>
  <c r="O32" i="5"/>
  <c r="P32" i="5" s="1"/>
  <c r="O33" i="5"/>
  <c r="P33" i="5" s="1"/>
  <c r="O34" i="5"/>
  <c r="P34" i="5" s="1"/>
  <c r="O35" i="5"/>
  <c r="P35" i="5" s="1"/>
  <c r="O36" i="5"/>
  <c r="P36" i="5" s="1"/>
  <c r="O37" i="5"/>
  <c r="P37" i="5" s="1"/>
  <c r="O38" i="5"/>
  <c r="P38" i="5" s="1"/>
  <c r="O39" i="5"/>
  <c r="P39" i="5" s="1"/>
  <c r="O40" i="5"/>
  <c r="P40" i="5" s="1"/>
  <c r="O41" i="5"/>
  <c r="P41" i="5" s="1"/>
  <c r="O42" i="5"/>
  <c r="P42" i="5" s="1"/>
  <c r="O43" i="5"/>
  <c r="P43" i="5" s="1"/>
  <c r="O44" i="5"/>
  <c r="P44" i="5" s="1"/>
  <c r="O45" i="5"/>
  <c r="P45" i="5" s="1"/>
  <c r="O46" i="5"/>
  <c r="P46" i="5" s="1"/>
  <c r="O47" i="5"/>
  <c r="P47" i="5" s="1"/>
  <c r="O48" i="5"/>
  <c r="P48" i="5" s="1"/>
  <c r="O49" i="5"/>
  <c r="P49" i="5" s="1"/>
  <c r="O50" i="5"/>
  <c r="P50" i="5" s="1"/>
  <c r="O51" i="5"/>
  <c r="P51" i="5" s="1"/>
  <c r="O52" i="5"/>
  <c r="P52" i="5" s="1"/>
  <c r="O53" i="5"/>
  <c r="P53" i="5" s="1"/>
  <c r="O54" i="5"/>
  <c r="P54" i="5" s="1"/>
  <c r="O55" i="5"/>
  <c r="P55" i="5" s="1"/>
  <c r="O56" i="5"/>
  <c r="P56" i="5" s="1"/>
  <c r="O57" i="5"/>
  <c r="P57" i="5" s="1"/>
  <c r="O58" i="5"/>
  <c r="P58" i="5" s="1"/>
  <c r="O59" i="5"/>
  <c r="P59" i="5" s="1"/>
  <c r="O60" i="5"/>
  <c r="P60" i="5" s="1"/>
  <c r="O61" i="5"/>
  <c r="P61" i="5" s="1"/>
  <c r="O62" i="5"/>
  <c r="P62" i="5" s="1"/>
  <c r="O63" i="5"/>
  <c r="P63" i="5" s="1"/>
  <c r="O64" i="5"/>
  <c r="P64" i="5" s="1"/>
  <c r="O65" i="5"/>
  <c r="P65" i="5" s="1"/>
  <c r="O66" i="5"/>
  <c r="P66" i="5" s="1"/>
  <c r="O67" i="5"/>
  <c r="P67" i="5" s="1"/>
  <c r="O68" i="5"/>
  <c r="P68" i="5" s="1"/>
  <c r="O69" i="5"/>
  <c r="P69" i="5" s="1"/>
  <c r="O70" i="5"/>
  <c r="P70" i="5" s="1"/>
  <c r="O71" i="5"/>
  <c r="P71" i="5" s="1"/>
  <c r="O72" i="5"/>
  <c r="P72" i="5" s="1"/>
  <c r="O73" i="5"/>
  <c r="P73" i="5" s="1"/>
  <c r="O74" i="5"/>
  <c r="P74" i="5" s="1"/>
  <c r="O75" i="5"/>
  <c r="P75" i="5" s="1"/>
  <c r="O76" i="5"/>
  <c r="P76" i="5" s="1"/>
  <c r="O77" i="5"/>
  <c r="P77" i="5" s="1"/>
  <c r="O78" i="5"/>
  <c r="P78" i="5" s="1"/>
  <c r="O79" i="5"/>
  <c r="P79" i="5" s="1"/>
  <c r="O80" i="5"/>
  <c r="P80" i="5" s="1"/>
  <c r="O81" i="5"/>
  <c r="P81" i="5" s="1"/>
  <c r="O82" i="5"/>
  <c r="P82" i="5" s="1"/>
  <c r="O83" i="5"/>
  <c r="P83" i="5" s="1"/>
  <c r="O84" i="5"/>
  <c r="P84" i="5" s="1"/>
  <c r="O85" i="5"/>
  <c r="P85" i="5" s="1"/>
  <c r="O86" i="5"/>
  <c r="P86" i="5" s="1"/>
  <c r="O87" i="5"/>
  <c r="P87" i="5" s="1"/>
  <c r="O88" i="5"/>
  <c r="P88" i="5" s="1"/>
  <c r="O89" i="5"/>
  <c r="P89" i="5" s="1"/>
  <c r="O90" i="5"/>
  <c r="P90" i="5" s="1"/>
  <c r="O91" i="5"/>
  <c r="P91" i="5" s="1"/>
  <c r="O92" i="5"/>
  <c r="P92" i="5" s="1"/>
  <c r="O93" i="5"/>
  <c r="P93" i="5" s="1"/>
  <c r="O94" i="5"/>
  <c r="P94" i="5" s="1"/>
  <c r="O95" i="5"/>
  <c r="P95" i="5" s="1"/>
  <c r="O96" i="5"/>
  <c r="P96" i="5" s="1"/>
  <c r="O97" i="5"/>
  <c r="P97" i="5" s="1"/>
  <c r="O98" i="5"/>
  <c r="P98" i="5" s="1"/>
  <c r="O99" i="5"/>
  <c r="P99" i="5" s="1"/>
  <c r="O100" i="5"/>
  <c r="P100" i="5" s="1"/>
  <c r="O101" i="5"/>
  <c r="P101" i="5" s="1"/>
  <c r="O102" i="5"/>
  <c r="P102" i="5" s="1"/>
  <c r="O103" i="5"/>
  <c r="P103" i="5" s="1"/>
  <c r="O104" i="5"/>
  <c r="P104" i="5" s="1"/>
  <c r="O105" i="5"/>
  <c r="P105" i="5" s="1"/>
  <c r="O106" i="5"/>
  <c r="P106" i="5" s="1"/>
  <c r="O107" i="5"/>
  <c r="P107" i="5" s="1"/>
  <c r="O108" i="5"/>
  <c r="P108" i="5" s="1"/>
  <c r="O109" i="5"/>
  <c r="P109" i="5" s="1"/>
  <c r="O110" i="5"/>
  <c r="P110" i="5" s="1"/>
  <c r="O111" i="5"/>
  <c r="P111" i="5" s="1"/>
  <c r="O112" i="5"/>
  <c r="P112" i="5" s="1"/>
  <c r="O113" i="5"/>
  <c r="P113" i="5" s="1"/>
  <c r="O114" i="5"/>
  <c r="P114" i="5" s="1"/>
  <c r="O115" i="5"/>
  <c r="P115" i="5" s="1"/>
  <c r="O116" i="5"/>
  <c r="P116" i="5" s="1"/>
  <c r="O117" i="5"/>
  <c r="P117" i="5" s="1"/>
  <c r="O118" i="5"/>
  <c r="P118" i="5" s="1"/>
  <c r="O119" i="5"/>
  <c r="P119" i="5" s="1"/>
  <c r="O120" i="5"/>
  <c r="P120" i="5" s="1"/>
  <c r="O121" i="5"/>
  <c r="P121" i="5" s="1"/>
  <c r="O122" i="5"/>
  <c r="P122" i="5" s="1"/>
  <c r="O123" i="5"/>
  <c r="P123" i="5" s="1"/>
  <c r="O124" i="5"/>
  <c r="P124" i="5" s="1"/>
  <c r="O125" i="5"/>
  <c r="P125" i="5" s="1"/>
  <c r="O126" i="5"/>
  <c r="P126" i="5" s="1"/>
  <c r="O127" i="5"/>
  <c r="P127" i="5" s="1"/>
  <c r="O128" i="5"/>
  <c r="P128" i="5" s="1"/>
  <c r="O129" i="5"/>
  <c r="P129" i="5" s="1"/>
  <c r="O130" i="5"/>
  <c r="P130" i="5" s="1"/>
  <c r="O131" i="5"/>
  <c r="P131" i="5" s="1"/>
  <c r="O132" i="5"/>
  <c r="P132" i="5" s="1"/>
  <c r="O133" i="5"/>
  <c r="P133" i="5" s="1"/>
  <c r="O134" i="5"/>
  <c r="P134" i="5" s="1"/>
  <c r="O135" i="5"/>
  <c r="P135" i="5" s="1"/>
  <c r="O136" i="5"/>
  <c r="P136" i="5" s="1"/>
  <c r="O137" i="5"/>
  <c r="P137" i="5" s="1"/>
  <c r="O138" i="5"/>
  <c r="P138" i="5" s="1"/>
  <c r="O139" i="5"/>
  <c r="P139" i="5" s="1"/>
  <c r="O140" i="5"/>
  <c r="P140" i="5" s="1"/>
  <c r="O141" i="5"/>
  <c r="P141" i="5" s="1"/>
  <c r="O142" i="5"/>
  <c r="P142" i="5" s="1"/>
  <c r="O143" i="5"/>
  <c r="P143" i="5" s="1"/>
  <c r="O144" i="5"/>
  <c r="P144" i="5" s="1"/>
  <c r="O145" i="5"/>
  <c r="P145" i="5" s="1"/>
  <c r="O146" i="5"/>
  <c r="P146" i="5" s="1"/>
  <c r="O147" i="5"/>
  <c r="P147" i="5" s="1"/>
  <c r="O148" i="5"/>
  <c r="P148" i="5" s="1"/>
  <c r="O149" i="5"/>
  <c r="P149" i="5" s="1"/>
  <c r="O150" i="5"/>
  <c r="P150" i="5" s="1"/>
  <c r="O151" i="5"/>
  <c r="P151" i="5" s="1"/>
  <c r="O152" i="5"/>
  <c r="P152" i="5" s="1"/>
  <c r="O153" i="5"/>
  <c r="P153" i="5" s="1"/>
  <c r="O154" i="5"/>
  <c r="P154" i="5" s="1"/>
  <c r="O155" i="5"/>
  <c r="P155" i="5" s="1"/>
  <c r="O156" i="5"/>
  <c r="P156" i="5" s="1"/>
  <c r="O157" i="5"/>
  <c r="P157" i="5" s="1"/>
  <c r="O158" i="5"/>
  <c r="P158" i="5" s="1"/>
  <c r="O159" i="5"/>
  <c r="P159" i="5" s="1"/>
  <c r="O160" i="5"/>
  <c r="P160" i="5" s="1"/>
  <c r="O161" i="5"/>
  <c r="P161" i="5" s="1"/>
  <c r="O162" i="5"/>
  <c r="P162" i="5" s="1"/>
  <c r="O163" i="5"/>
  <c r="P163" i="5" s="1"/>
  <c r="O164" i="5"/>
  <c r="P164" i="5" s="1"/>
  <c r="O165" i="5"/>
  <c r="P165" i="5" s="1"/>
  <c r="O166" i="5"/>
  <c r="P166" i="5" s="1"/>
  <c r="O167" i="5"/>
  <c r="P167" i="5" s="1"/>
  <c r="O168" i="5"/>
  <c r="O169" i="5"/>
  <c r="P169" i="5" s="1"/>
  <c r="O170" i="5"/>
  <c r="P170" i="5" s="1"/>
  <c r="O171" i="5"/>
  <c r="P171" i="5" s="1"/>
  <c r="O172" i="5"/>
  <c r="P172" i="5" s="1"/>
  <c r="O173" i="5"/>
  <c r="P173" i="5" s="1"/>
  <c r="O174" i="5"/>
  <c r="P174" i="5" s="1"/>
  <c r="O175" i="5"/>
  <c r="P175" i="5" s="1"/>
  <c r="O176" i="5"/>
  <c r="O177" i="5"/>
  <c r="P177" i="5" s="1"/>
  <c r="O178" i="5"/>
  <c r="P178" i="5" s="1"/>
  <c r="O179" i="5"/>
  <c r="P179" i="5" s="1"/>
  <c r="O180" i="5"/>
  <c r="P180" i="5" s="1"/>
  <c r="O181" i="5"/>
  <c r="P181" i="5" s="1"/>
  <c r="O182" i="5"/>
  <c r="P182" i="5" s="1"/>
  <c r="O183" i="5"/>
  <c r="P183" i="5" s="1"/>
  <c r="O184" i="5"/>
  <c r="O185" i="5"/>
  <c r="P185" i="5" s="1"/>
  <c r="O186" i="5"/>
  <c r="P186" i="5" s="1"/>
  <c r="O187" i="5"/>
  <c r="P187" i="5" s="1"/>
  <c r="O188" i="5"/>
  <c r="P188" i="5" s="1"/>
  <c r="O189" i="5"/>
  <c r="P189" i="5" s="1"/>
  <c r="O190" i="5"/>
  <c r="P190" i="5" s="1"/>
  <c r="O191" i="5"/>
  <c r="P191" i="5" s="1"/>
  <c r="O192" i="5"/>
  <c r="O193" i="5"/>
  <c r="P193" i="5" s="1"/>
  <c r="O194" i="5"/>
  <c r="P194" i="5" s="1"/>
  <c r="O195" i="5"/>
  <c r="P195" i="5" s="1"/>
  <c r="O196" i="5"/>
  <c r="P196" i="5" s="1"/>
  <c r="O197" i="5"/>
  <c r="P197" i="5" s="1"/>
  <c r="O198" i="5"/>
  <c r="P198" i="5" s="1"/>
  <c r="O199" i="5"/>
  <c r="P199" i="5" s="1"/>
  <c r="O200" i="5"/>
  <c r="O201" i="5"/>
  <c r="P201" i="5" s="1"/>
  <c r="O202" i="5"/>
  <c r="P202" i="5" s="1"/>
  <c r="O203" i="5"/>
  <c r="P203" i="5" s="1"/>
  <c r="O204" i="5"/>
  <c r="P204" i="5" s="1"/>
  <c r="O205" i="5"/>
  <c r="P205" i="5" s="1"/>
  <c r="O206" i="5"/>
  <c r="P206" i="5" s="1"/>
  <c r="O207" i="5"/>
  <c r="P207" i="5" s="1"/>
  <c r="O208" i="5"/>
  <c r="O209" i="5"/>
  <c r="P209" i="5" s="1"/>
  <c r="O210" i="5"/>
  <c r="P210" i="5" s="1"/>
  <c r="O211" i="5"/>
  <c r="P211" i="5" s="1"/>
  <c r="O212" i="5"/>
  <c r="P212" i="5" s="1"/>
  <c r="O213" i="5"/>
  <c r="P213" i="5" s="1"/>
  <c r="O214" i="5"/>
  <c r="P214" i="5" s="1"/>
  <c r="O215" i="5"/>
  <c r="P215" i="5" s="1"/>
  <c r="O216" i="5"/>
  <c r="O217" i="5"/>
  <c r="P217" i="5" s="1"/>
  <c r="O218" i="5"/>
  <c r="P218" i="5" s="1"/>
  <c r="O219" i="5"/>
  <c r="P219" i="5" s="1"/>
  <c r="O220" i="5"/>
  <c r="P220" i="5" s="1"/>
  <c r="O221" i="5"/>
  <c r="P221" i="5" s="1"/>
  <c r="O222" i="5"/>
  <c r="P222" i="5" s="1"/>
  <c r="O223" i="5"/>
  <c r="P223" i="5" s="1"/>
  <c r="O224" i="5"/>
  <c r="O225" i="5"/>
  <c r="P225" i="5" s="1"/>
  <c r="O226" i="5"/>
  <c r="P226" i="5" s="1"/>
  <c r="O227" i="5"/>
  <c r="P227" i="5" s="1"/>
  <c r="O228" i="5"/>
  <c r="P228" i="5" s="1"/>
  <c r="O229" i="5"/>
  <c r="P229" i="5" s="1"/>
  <c r="O230" i="5"/>
  <c r="P230" i="5" s="1"/>
  <c r="O231" i="5"/>
  <c r="P231" i="5" s="1"/>
  <c r="O232" i="5"/>
  <c r="O233" i="5"/>
  <c r="P233" i="5" s="1"/>
  <c r="O234" i="5"/>
  <c r="P234" i="5" s="1"/>
  <c r="O235" i="5"/>
  <c r="P235" i="5" s="1"/>
  <c r="O236" i="5"/>
  <c r="P236" i="5" s="1"/>
  <c r="O237" i="5"/>
  <c r="P237" i="5" s="1"/>
  <c r="O238" i="5"/>
  <c r="P238" i="5" s="1"/>
  <c r="O239" i="5"/>
  <c r="P239" i="5" s="1"/>
  <c r="O240" i="5"/>
  <c r="O241" i="5"/>
  <c r="P241" i="5" s="1"/>
  <c r="O242" i="5"/>
  <c r="P242" i="5" s="1"/>
  <c r="O243" i="5"/>
  <c r="P243" i="5" s="1"/>
  <c r="O244" i="5"/>
  <c r="P244" i="5" s="1"/>
  <c r="O245" i="5"/>
  <c r="P245" i="5" s="1"/>
  <c r="O246" i="5"/>
  <c r="P246" i="5" s="1"/>
  <c r="O247" i="5"/>
  <c r="P247" i="5" s="1"/>
  <c r="O248" i="5"/>
  <c r="O249" i="5"/>
  <c r="P249" i="5" s="1"/>
  <c r="O250" i="5"/>
  <c r="P250" i="5" s="1"/>
  <c r="O251" i="5"/>
  <c r="P251" i="5" s="1"/>
  <c r="O252" i="5"/>
  <c r="P252" i="5" s="1"/>
  <c r="O253" i="5"/>
  <c r="P253" i="5" s="1"/>
  <c r="O254" i="5"/>
  <c r="P254" i="5" s="1"/>
  <c r="O255" i="5"/>
  <c r="P255" i="5" s="1"/>
  <c r="O256" i="5"/>
  <c r="O257" i="5"/>
  <c r="P257" i="5" s="1"/>
  <c r="O258" i="5"/>
  <c r="P258" i="5" s="1"/>
  <c r="O259" i="5"/>
  <c r="P259" i="5" s="1"/>
  <c r="O260" i="5"/>
  <c r="P260" i="5" s="1"/>
  <c r="O261" i="5"/>
  <c r="P261" i="5" s="1"/>
  <c r="O262" i="5"/>
  <c r="P262" i="5" s="1"/>
  <c r="O263" i="5"/>
  <c r="P263" i="5" s="1"/>
  <c r="O264" i="5"/>
  <c r="O265" i="5"/>
  <c r="P265" i="5" s="1"/>
  <c r="O266" i="5"/>
  <c r="P266" i="5" s="1"/>
  <c r="O267" i="5"/>
  <c r="P267" i="5" s="1"/>
  <c r="O268" i="5"/>
  <c r="P268" i="5" s="1"/>
  <c r="O269" i="5"/>
  <c r="P269" i="5" s="1"/>
  <c r="O270" i="5"/>
  <c r="P270" i="5" s="1"/>
  <c r="O271" i="5"/>
  <c r="P271" i="5" s="1"/>
  <c r="O272" i="5"/>
  <c r="O273" i="5"/>
  <c r="P273" i="5" s="1"/>
  <c r="O274" i="5"/>
  <c r="P274" i="5" s="1"/>
  <c r="O275" i="5"/>
  <c r="P275" i="5" s="1"/>
  <c r="O276" i="5"/>
  <c r="P276" i="5" s="1"/>
  <c r="O277" i="5"/>
  <c r="P277" i="5" s="1"/>
  <c r="O278" i="5"/>
  <c r="P278" i="5" s="1"/>
  <c r="O279" i="5"/>
  <c r="P279" i="5" s="1"/>
  <c r="O280" i="5"/>
  <c r="O281" i="5"/>
  <c r="P281" i="5" s="1"/>
  <c r="O282" i="5"/>
  <c r="P282" i="5" s="1"/>
  <c r="O283" i="5"/>
  <c r="P283" i="5" s="1"/>
  <c r="O284" i="5"/>
  <c r="P284" i="5" s="1"/>
  <c r="O285" i="5"/>
  <c r="P285" i="5" s="1"/>
  <c r="O286" i="5"/>
  <c r="P286" i="5" s="1"/>
  <c r="O287" i="5"/>
  <c r="P287" i="5" s="1"/>
  <c r="O288" i="5"/>
  <c r="O289" i="5"/>
  <c r="P289" i="5" s="1"/>
  <c r="O290" i="5"/>
  <c r="P290" i="5" s="1"/>
  <c r="O291" i="5"/>
  <c r="P291" i="5" s="1"/>
  <c r="O292" i="5"/>
  <c r="P292" i="5" s="1"/>
  <c r="O293" i="5"/>
  <c r="P293" i="5" s="1"/>
  <c r="O294" i="5"/>
  <c r="P294" i="5" s="1"/>
  <c r="O295" i="5"/>
  <c r="P295" i="5" s="1"/>
  <c r="O296" i="5"/>
  <c r="O297" i="5"/>
  <c r="P297" i="5" s="1"/>
  <c r="O298" i="5"/>
  <c r="P298" i="5" s="1"/>
  <c r="O299" i="5"/>
  <c r="P299" i="5" s="1"/>
  <c r="O300" i="5"/>
  <c r="P300" i="5" s="1"/>
  <c r="O301" i="5"/>
  <c r="P301" i="5" s="1"/>
  <c r="O302" i="5"/>
  <c r="P302" i="5" s="1"/>
  <c r="O303" i="5"/>
  <c r="P303" i="5" s="1"/>
  <c r="O304" i="5"/>
  <c r="O305" i="5"/>
  <c r="P305" i="5" s="1"/>
  <c r="O306" i="5"/>
  <c r="P306" i="5" s="1"/>
  <c r="O307" i="5"/>
  <c r="P307" i="5" s="1"/>
  <c r="O308" i="5"/>
  <c r="P308" i="5" s="1"/>
  <c r="O309" i="5"/>
  <c r="P309" i="5" s="1"/>
  <c r="O310" i="5"/>
  <c r="O311" i="5"/>
  <c r="P311" i="5" s="1"/>
  <c r="O312" i="5"/>
  <c r="O313" i="5"/>
  <c r="P313" i="5" s="1"/>
  <c r="O314" i="5"/>
  <c r="P314" i="5" s="1"/>
  <c r="O315" i="5"/>
  <c r="P315" i="5" s="1"/>
  <c r="O316" i="5"/>
  <c r="P316" i="5" s="1"/>
  <c r="O317" i="5"/>
  <c r="P317" i="5" s="1"/>
  <c r="O318" i="5"/>
  <c r="O319" i="5"/>
  <c r="P319" i="5" s="1"/>
  <c r="O320" i="5"/>
  <c r="O321" i="5"/>
  <c r="P321" i="5" s="1"/>
  <c r="O322" i="5"/>
  <c r="P322" i="5" s="1"/>
  <c r="O323" i="5"/>
  <c r="P323" i="5" s="1"/>
  <c r="O324" i="5"/>
  <c r="P324" i="5" s="1"/>
  <c r="O325" i="5"/>
  <c r="P325" i="5" s="1"/>
  <c r="O326" i="5"/>
  <c r="O327" i="5"/>
  <c r="P327" i="5" s="1"/>
  <c r="O328" i="5"/>
  <c r="O329" i="5"/>
  <c r="P329" i="5" s="1"/>
  <c r="O330" i="5"/>
  <c r="P330" i="5" s="1"/>
  <c r="O331" i="5"/>
  <c r="P331" i="5" s="1"/>
  <c r="O332" i="5"/>
  <c r="P332" i="5" s="1"/>
  <c r="O333" i="5"/>
  <c r="P333" i="5" s="1"/>
  <c r="O334" i="5"/>
  <c r="O335" i="5"/>
  <c r="P335" i="5" s="1"/>
  <c r="O336" i="5"/>
  <c r="O337" i="5"/>
  <c r="P337" i="5" s="1"/>
  <c r="O338" i="5"/>
  <c r="P338" i="5" s="1"/>
  <c r="O339" i="5"/>
  <c r="P339" i="5" s="1"/>
  <c r="O340" i="5"/>
  <c r="P340" i="5" s="1"/>
  <c r="O341" i="5"/>
  <c r="P341" i="5" s="1"/>
  <c r="O342" i="5"/>
  <c r="O343" i="5"/>
  <c r="P343" i="5" s="1"/>
  <c r="O344" i="5"/>
  <c r="O345" i="5"/>
  <c r="P345" i="5" s="1"/>
  <c r="O346" i="5"/>
  <c r="P346" i="5" s="1"/>
  <c r="O347" i="5"/>
  <c r="P347" i="5" s="1"/>
  <c r="O348" i="5"/>
  <c r="P348" i="5" s="1"/>
  <c r="O349" i="5"/>
  <c r="P349" i="5" s="1"/>
  <c r="O350" i="5"/>
  <c r="O351" i="5"/>
  <c r="P351" i="5" s="1"/>
  <c r="O352" i="5"/>
  <c r="O353" i="5"/>
  <c r="P353" i="5" s="1"/>
  <c r="O354" i="5"/>
  <c r="P354" i="5" s="1"/>
  <c r="O355" i="5"/>
  <c r="P355" i="5" s="1"/>
  <c r="O356" i="5"/>
  <c r="P356" i="5" s="1"/>
  <c r="O357" i="5"/>
  <c r="P357" i="5" s="1"/>
  <c r="O358" i="5"/>
  <c r="O359" i="5"/>
  <c r="P359" i="5" s="1"/>
  <c r="O360" i="5"/>
  <c r="O361" i="5"/>
  <c r="P361" i="5" s="1"/>
  <c r="O362" i="5"/>
  <c r="P362" i="5" s="1"/>
  <c r="O363" i="5"/>
  <c r="P363" i="5" s="1"/>
  <c r="O364" i="5"/>
  <c r="P364" i="5" s="1"/>
  <c r="O365" i="5"/>
  <c r="P365" i="5" s="1"/>
  <c r="O366" i="5"/>
  <c r="O367" i="5"/>
  <c r="O368" i="5"/>
  <c r="O369" i="5"/>
  <c r="P369" i="5" s="1"/>
  <c r="O370" i="5"/>
  <c r="P370" i="5" s="1"/>
  <c r="O371" i="5"/>
  <c r="P371" i="5" s="1"/>
  <c r="O372" i="5"/>
  <c r="P372" i="5" s="1"/>
  <c r="O373" i="5"/>
  <c r="P373" i="5" s="1"/>
  <c r="O374" i="5"/>
  <c r="O375" i="5"/>
  <c r="O376" i="5"/>
  <c r="O377" i="5"/>
  <c r="P377" i="5" s="1"/>
  <c r="O378" i="5"/>
  <c r="P378" i="5" s="1"/>
  <c r="O379" i="5"/>
  <c r="P379" i="5" s="1"/>
  <c r="O380" i="5"/>
  <c r="P380" i="5" s="1"/>
  <c r="O381" i="5"/>
  <c r="P381" i="5" s="1"/>
  <c r="O382" i="5"/>
  <c r="O383" i="5"/>
  <c r="O384" i="5"/>
  <c r="O385" i="5"/>
  <c r="P385" i="5" s="1"/>
  <c r="O386" i="5"/>
  <c r="P386" i="5" s="1"/>
  <c r="O387" i="5"/>
  <c r="O388" i="5"/>
  <c r="P388" i="5" s="1"/>
  <c r="O389" i="5"/>
  <c r="P389" i="5" s="1"/>
  <c r="O390" i="5"/>
  <c r="O391" i="5"/>
  <c r="O392" i="5"/>
  <c r="O393" i="5"/>
  <c r="P393" i="5" s="1"/>
  <c r="O394" i="5"/>
  <c r="P394" i="5" s="1"/>
  <c r="O395" i="5"/>
  <c r="O396" i="5"/>
  <c r="P396" i="5" s="1"/>
  <c r="O397" i="5"/>
  <c r="P397" i="5" s="1"/>
  <c r="O398" i="5"/>
  <c r="O399" i="5"/>
  <c r="O400" i="5"/>
  <c r="O401" i="5"/>
  <c r="P401" i="5" s="1"/>
  <c r="O402" i="5"/>
  <c r="P402" i="5" s="1"/>
  <c r="O403" i="5"/>
  <c r="O404" i="5"/>
  <c r="P404" i="5" s="1"/>
  <c r="O405" i="5"/>
  <c r="P405" i="5" s="1"/>
  <c r="O406" i="5"/>
  <c r="O407" i="5"/>
  <c r="O408" i="5"/>
  <c r="O409" i="5"/>
  <c r="P409" i="5" s="1"/>
  <c r="O410" i="5"/>
  <c r="P410" i="5" s="1"/>
  <c r="O411" i="5"/>
  <c r="O412" i="5"/>
  <c r="P412" i="5" s="1"/>
  <c r="O413" i="5"/>
  <c r="P413" i="5" s="1"/>
  <c r="O414" i="5"/>
  <c r="O415" i="5"/>
  <c r="O416" i="5"/>
  <c r="O417" i="5"/>
  <c r="P417" i="5" s="1"/>
  <c r="O418" i="5"/>
  <c r="P418" i="5" s="1"/>
  <c r="O419" i="5"/>
  <c r="O420" i="5"/>
  <c r="P420" i="5" s="1"/>
  <c r="O421" i="5"/>
  <c r="P421" i="5" s="1"/>
  <c r="O422" i="5"/>
  <c r="O423" i="5"/>
  <c r="O424" i="5"/>
  <c r="O425" i="5"/>
  <c r="P425" i="5" s="1"/>
  <c r="O426" i="5"/>
  <c r="P426" i="5" s="1"/>
  <c r="O427" i="5"/>
  <c r="O428" i="5"/>
  <c r="P428" i="5" s="1"/>
  <c r="O429" i="5"/>
  <c r="P429" i="5" s="1"/>
  <c r="O430" i="5"/>
  <c r="O431" i="5"/>
  <c r="O432" i="5"/>
  <c r="O433" i="5"/>
  <c r="P433" i="5" s="1"/>
  <c r="O434" i="5"/>
  <c r="P434" i="5" s="1"/>
  <c r="O435" i="5"/>
  <c r="O436" i="5"/>
  <c r="P436" i="5" s="1"/>
  <c r="O437" i="5"/>
  <c r="P437" i="5" s="1"/>
  <c r="O438" i="5"/>
  <c r="O439" i="5"/>
  <c r="O440" i="5"/>
  <c r="O441" i="5"/>
  <c r="P441" i="5" s="1"/>
  <c r="O442" i="5"/>
  <c r="P442" i="5" s="1"/>
  <c r="O443" i="5"/>
  <c r="O444" i="5"/>
  <c r="P444" i="5" s="1"/>
  <c r="O445" i="5"/>
  <c r="P445" i="5" s="1"/>
  <c r="O446" i="5"/>
  <c r="O447" i="5"/>
  <c r="O448" i="5"/>
  <c r="O449" i="5"/>
  <c r="P449" i="5" s="1"/>
  <c r="O450" i="5"/>
  <c r="P450" i="5" s="1"/>
  <c r="O451" i="5"/>
  <c r="O452" i="5"/>
  <c r="P452" i="5" s="1"/>
  <c r="O453" i="5"/>
  <c r="P453" i="5" s="1"/>
  <c r="O454" i="5"/>
  <c r="O455" i="5"/>
  <c r="O456" i="5"/>
  <c r="O457" i="5"/>
  <c r="P457" i="5" s="1"/>
  <c r="O458" i="5"/>
  <c r="O459" i="5"/>
  <c r="O460" i="5"/>
  <c r="P460" i="5" s="1"/>
  <c r="O461" i="5"/>
  <c r="P461" i="5" s="1"/>
  <c r="O462" i="5"/>
  <c r="O463" i="5"/>
  <c r="O464" i="5"/>
  <c r="O465" i="5"/>
  <c r="P465" i="5" s="1"/>
  <c r="O466" i="5"/>
  <c r="O467" i="5"/>
  <c r="O468" i="5"/>
  <c r="P468" i="5" s="1"/>
  <c r="O469" i="5"/>
  <c r="P469" i="5" s="1"/>
  <c r="O470" i="5"/>
  <c r="O471" i="5"/>
  <c r="O472" i="5"/>
  <c r="O473" i="5"/>
  <c r="P473" i="5" s="1"/>
  <c r="O474" i="5"/>
  <c r="O475" i="5"/>
  <c r="O476" i="5"/>
  <c r="P476" i="5" s="1"/>
  <c r="O477" i="5"/>
  <c r="P477" i="5" s="1"/>
  <c r="O478" i="5"/>
  <c r="O479" i="5"/>
  <c r="O480" i="5"/>
  <c r="O481" i="5"/>
  <c r="P481" i="5" s="1"/>
  <c r="O482" i="5"/>
  <c r="O483" i="5"/>
  <c r="O484" i="5"/>
  <c r="P484" i="5" s="1"/>
  <c r="O485" i="5"/>
  <c r="P485" i="5" s="1"/>
  <c r="O486" i="5"/>
  <c r="O487" i="5"/>
  <c r="O488" i="5"/>
  <c r="O489" i="5"/>
  <c r="P489" i="5" s="1"/>
  <c r="O490" i="5"/>
  <c r="O491" i="5"/>
  <c r="O492" i="5"/>
  <c r="P492" i="5" s="1"/>
  <c r="O493" i="5"/>
  <c r="P493" i="5" s="1"/>
  <c r="O494" i="5"/>
  <c r="O495" i="5"/>
  <c r="O496" i="5"/>
  <c r="O497" i="5"/>
  <c r="P497" i="5" s="1"/>
  <c r="O498" i="5"/>
  <c r="O499" i="5"/>
  <c r="O500" i="5"/>
  <c r="P500" i="5" s="1"/>
  <c r="O501" i="5"/>
  <c r="O502" i="5"/>
  <c r="O503" i="5"/>
  <c r="O504" i="5"/>
  <c r="O505" i="5"/>
  <c r="P505" i="5" s="1"/>
  <c r="O506" i="5"/>
  <c r="O507" i="5"/>
  <c r="O508" i="5"/>
  <c r="P508" i="5" s="1"/>
  <c r="O509" i="5"/>
  <c r="O510" i="5"/>
  <c r="O511" i="5"/>
  <c r="O512" i="5"/>
  <c r="O513" i="5"/>
  <c r="P513" i="5" s="1"/>
  <c r="O514" i="5"/>
  <c r="O515" i="5"/>
  <c r="O516" i="5"/>
  <c r="P516" i="5" s="1"/>
  <c r="O517" i="5"/>
  <c r="O518" i="5"/>
  <c r="O519" i="5"/>
  <c r="O520" i="5"/>
  <c r="O521" i="5"/>
  <c r="P521" i="5" s="1"/>
  <c r="O522" i="5"/>
  <c r="O523" i="5"/>
  <c r="O524" i="5"/>
  <c r="P524" i="5" s="1"/>
  <c r="O525" i="5"/>
  <c r="O526" i="5"/>
  <c r="O527" i="5"/>
  <c r="O528" i="5"/>
  <c r="O529" i="5"/>
  <c r="P529" i="5" s="1"/>
  <c r="O530" i="5"/>
  <c r="P530" i="5" s="1"/>
  <c r="O531" i="5"/>
  <c r="P531" i="5" s="1"/>
  <c r="O532" i="5"/>
  <c r="P532" i="5" s="1"/>
  <c r="O533" i="5"/>
  <c r="P533" i="5" s="1"/>
  <c r="O534" i="5"/>
  <c r="P534" i="5" s="1"/>
  <c r="O535" i="5"/>
  <c r="P535" i="5" s="1"/>
  <c r="O16" i="5"/>
  <c r="O17" i="4"/>
  <c r="P17" i="4" s="1"/>
  <c r="O18" i="4"/>
  <c r="P18" i="4" s="1"/>
  <c r="O19" i="4"/>
  <c r="P19" i="4" s="1"/>
  <c r="O20" i="4"/>
  <c r="P20" i="4" s="1"/>
  <c r="O21" i="4"/>
  <c r="P21" i="4" s="1"/>
  <c r="O22" i="4"/>
  <c r="P22" i="4" s="1"/>
  <c r="O23" i="4"/>
  <c r="P23" i="4" s="1"/>
  <c r="O24" i="4"/>
  <c r="O25" i="4"/>
  <c r="P25" i="4" s="1"/>
  <c r="O26" i="4"/>
  <c r="P26" i="4" s="1"/>
  <c r="O27" i="4"/>
  <c r="P27" i="4" s="1"/>
  <c r="O28" i="4"/>
  <c r="P28" i="4" s="1"/>
  <c r="O29" i="4"/>
  <c r="P29" i="4" s="1"/>
  <c r="O30" i="4"/>
  <c r="P30" i="4" s="1"/>
  <c r="O31" i="4"/>
  <c r="P31" i="4" s="1"/>
  <c r="O32" i="4"/>
  <c r="O33" i="4"/>
  <c r="P33" i="4" s="1"/>
  <c r="O34" i="4"/>
  <c r="P34" i="4" s="1"/>
  <c r="O35" i="4"/>
  <c r="P35" i="4" s="1"/>
  <c r="O36" i="4"/>
  <c r="P36" i="4" s="1"/>
  <c r="O37" i="4"/>
  <c r="P37" i="4" s="1"/>
  <c r="O38" i="4"/>
  <c r="P38" i="4" s="1"/>
  <c r="O39" i="4"/>
  <c r="P39" i="4" s="1"/>
  <c r="O40" i="4"/>
  <c r="O41" i="4"/>
  <c r="P41" i="4" s="1"/>
  <c r="O42" i="4"/>
  <c r="P42" i="4" s="1"/>
  <c r="O43" i="4"/>
  <c r="P43" i="4" s="1"/>
  <c r="O44" i="4"/>
  <c r="P44" i="4" s="1"/>
  <c r="O45" i="4"/>
  <c r="P45" i="4" s="1"/>
  <c r="O46" i="4"/>
  <c r="P46" i="4" s="1"/>
  <c r="O47" i="4"/>
  <c r="P47" i="4" s="1"/>
  <c r="O48" i="4"/>
  <c r="O49" i="4"/>
  <c r="P49" i="4" s="1"/>
  <c r="O50" i="4"/>
  <c r="P50" i="4" s="1"/>
  <c r="O51" i="4"/>
  <c r="P51" i="4" s="1"/>
  <c r="O52" i="4"/>
  <c r="P52" i="4" s="1"/>
  <c r="O53" i="4"/>
  <c r="P53" i="4" s="1"/>
  <c r="O54" i="4"/>
  <c r="P54" i="4" s="1"/>
  <c r="O55" i="4"/>
  <c r="P55" i="4" s="1"/>
  <c r="O56" i="4"/>
  <c r="O57" i="4"/>
  <c r="P57" i="4" s="1"/>
  <c r="O58" i="4"/>
  <c r="P58" i="4" s="1"/>
  <c r="O59" i="4"/>
  <c r="P59" i="4" s="1"/>
  <c r="O60" i="4"/>
  <c r="P60" i="4" s="1"/>
  <c r="O61" i="4"/>
  <c r="P61" i="4" s="1"/>
  <c r="O62" i="4"/>
  <c r="P62" i="4" s="1"/>
  <c r="O63" i="4"/>
  <c r="P63" i="4" s="1"/>
  <c r="O64" i="4"/>
  <c r="O65" i="4"/>
  <c r="P65" i="4" s="1"/>
  <c r="O66" i="4"/>
  <c r="P66" i="4" s="1"/>
  <c r="O67" i="4"/>
  <c r="P67" i="4" s="1"/>
  <c r="O68" i="4"/>
  <c r="P68" i="4" s="1"/>
  <c r="O69" i="4"/>
  <c r="P69" i="4" s="1"/>
  <c r="O70" i="4"/>
  <c r="P70" i="4" s="1"/>
  <c r="O71" i="4"/>
  <c r="P71" i="4" s="1"/>
  <c r="O72" i="4"/>
  <c r="O73" i="4"/>
  <c r="P73" i="4" s="1"/>
  <c r="O74" i="4"/>
  <c r="P74" i="4" s="1"/>
  <c r="O75" i="4"/>
  <c r="P75" i="4" s="1"/>
  <c r="O76" i="4"/>
  <c r="P76" i="4" s="1"/>
  <c r="O77" i="4"/>
  <c r="P77" i="4" s="1"/>
  <c r="O78" i="4"/>
  <c r="P78" i="4" s="1"/>
  <c r="O79" i="4"/>
  <c r="P79" i="4" s="1"/>
  <c r="O80" i="4"/>
  <c r="O81" i="4"/>
  <c r="P81" i="4" s="1"/>
  <c r="O82" i="4"/>
  <c r="P82" i="4" s="1"/>
  <c r="O83" i="4"/>
  <c r="P83" i="4" s="1"/>
  <c r="O84" i="4"/>
  <c r="P84" i="4" s="1"/>
  <c r="O85" i="4"/>
  <c r="P85" i="4" s="1"/>
  <c r="O86" i="4"/>
  <c r="P86" i="4" s="1"/>
  <c r="O87" i="4"/>
  <c r="P87" i="4" s="1"/>
  <c r="O88" i="4"/>
  <c r="O89" i="4"/>
  <c r="P89" i="4" s="1"/>
  <c r="O90" i="4"/>
  <c r="P90" i="4" s="1"/>
  <c r="O91" i="4"/>
  <c r="P91" i="4" s="1"/>
  <c r="O92" i="4"/>
  <c r="P92" i="4" s="1"/>
  <c r="O93" i="4"/>
  <c r="P93" i="4" s="1"/>
  <c r="O94" i="4"/>
  <c r="P94" i="4" s="1"/>
  <c r="O95" i="4"/>
  <c r="P95" i="4" s="1"/>
  <c r="O96" i="4"/>
  <c r="O97" i="4"/>
  <c r="P97" i="4" s="1"/>
  <c r="O98" i="4"/>
  <c r="P98" i="4" s="1"/>
  <c r="O99" i="4"/>
  <c r="P99" i="4" s="1"/>
  <c r="O100" i="4"/>
  <c r="P100" i="4" s="1"/>
  <c r="O101" i="4"/>
  <c r="P101" i="4" s="1"/>
  <c r="O102" i="4"/>
  <c r="P102" i="4" s="1"/>
  <c r="O103" i="4"/>
  <c r="P103" i="4" s="1"/>
  <c r="O104" i="4"/>
  <c r="O105" i="4"/>
  <c r="P105" i="4" s="1"/>
  <c r="O106" i="4"/>
  <c r="P106" i="4" s="1"/>
  <c r="O107" i="4"/>
  <c r="P107" i="4" s="1"/>
  <c r="O108" i="4"/>
  <c r="P108" i="4" s="1"/>
  <c r="O109" i="4"/>
  <c r="P109" i="4" s="1"/>
  <c r="O110" i="4"/>
  <c r="P110" i="4" s="1"/>
  <c r="O111" i="4"/>
  <c r="P111" i="4" s="1"/>
  <c r="O112" i="4"/>
  <c r="O113" i="4"/>
  <c r="P113" i="4" s="1"/>
  <c r="O114" i="4"/>
  <c r="P114" i="4" s="1"/>
  <c r="O115" i="4"/>
  <c r="P115" i="4" s="1"/>
  <c r="O116" i="4"/>
  <c r="P116" i="4" s="1"/>
  <c r="O117" i="4"/>
  <c r="P117" i="4" s="1"/>
  <c r="O118" i="4"/>
  <c r="P118" i="4" s="1"/>
  <c r="O119" i="4"/>
  <c r="P119" i="4" s="1"/>
  <c r="O120" i="4"/>
  <c r="O121" i="4"/>
  <c r="P121" i="4" s="1"/>
  <c r="O122" i="4"/>
  <c r="P122" i="4" s="1"/>
  <c r="O123" i="4"/>
  <c r="P123" i="4" s="1"/>
  <c r="O124" i="4"/>
  <c r="P124" i="4" s="1"/>
  <c r="O125" i="4"/>
  <c r="P125" i="4" s="1"/>
  <c r="O126" i="4"/>
  <c r="P126" i="4" s="1"/>
  <c r="O127" i="4"/>
  <c r="P127" i="4" s="1"/>
  <c r="O128" i="4"/>
  <c r="O129" i="4"/>
  <c r="P129" i="4" s="1"/>
  <c r="O130" i="4"/>
  <c r="P130" i="4" s="1"/>
  <c r="O131" i="4"/>
  <c r="P131" i="4" s="1"/>
  <c r="O132" i="4"/>
  <c r="P132" i="4" s="1"/>
  <c r="O133" i="4"/>
  <c r="P133" i="4" s="1"/>
  <c r="O134" i="4"/>
  <c r="P134" i="4" s="1"/>
  <c r="O135" i="4"/>
  <c r="P135" i="4" s="1"/>
  <c r="O136" i="4"/>
  <c r="O137" i="4"/>
  <c r="P137" i="4" s="1"/>
  <c r="O138" i="4"/>
  <c r="P138" i="4" s="1"/>
  <c r="O139" i="4"/>
  <c r="P139" i="4" s="1"/>
  <c r="O140" i="4"/>
  <c r="P140" i="4" s="1"/>
  <c r="O141" i="4"/>
  <c r="P141" i="4" s="1"/>
  <c r="O142" i="4"/>
  <c r="P142" i="4" s="1"/>
  <c r="O143" i="4"/>
  <c r="P143" i="4" s="1"/>
  <c r="O144" i="4"/>
  <c r="O145" i="4"/>
  <c r="P145" i="4" s="1"/>
  <c r="O146" i="4"/>
  <c r="P146" i="4" s="1"/>
  <c r="O147" i="4"/>
  <c r="P147" i="4" s="1"/>
  <c r="O148" i="4"/>
  <c r="P148" i="4" s="1"/>
  <c r="O149" i="4"/>
  <c r="P149" i="4" s="1"/>
  <c r="O150" i="4"/>
  <c r="P150" i="4" s="1"/>
  <c r="O151" i="4"/>
  <c r="P151" i="4" s="1"/>
  <c r="O152" i="4"/>
  <c r="O153" i="4"/>
  <c r="P153" i="4" s="1"/>
  <c r="O154" i="4"/>
  <c r="P154" i="4" s="1"/>
  <c r="O155" i="4"/>
  <c r="P155" i="4" s="1"/>
  <c r="O156" i="4"/>
  <c r="P156" i="4" s="1"/>
  <c r="O157" i="4"/>
  <c r="P157" i="4" s="1"/>
  <c r="O158" i="4"/>
  <c r="P158" i="4" s="1"/>
  <c r="O159" i="4"/>
  <c r="P159" i="4" s="1"/>
  <c r="O160" i="4"/>
  <c r="O161" i="4"/>
  <c r="P161" i="4" s="1"/>
  <c r="O162" i="4"/>
  <c r="P162" i="4" s="1"/>
  <c r="O163" i="4"/>
  <c r="P163" i="4" s="1"/>
  <c r="O164" i="4"/>
  <c r="P164" i="4" s="1"/>
  <c r="O165" i="4"/>
  <c r="P165" i="4" s="1"/>
  <c r="O166" i="4"/>
  <c r="P166" i="4" s="1"/>
  <c r="O167" i="4"/>
  <c r="P167" i="4" s="1"/>
  <c r="O168" i="4"/>
  <c r="O169" i="4"/>
  <c r="P169" i="4" s="1"/>
  <c r="O170" i="4"/>
  <c r="P170" i="4" s="1"/>
  <c r="O171" i="4"/>
  <c r="P171" i="4" s="1"/>
  <c r="O172" i="4"/>
  <c r="P172" i="4" s="1"/>
  <c r="O173" i="4"/>
  <c r="P173" i="4" s="1"/>
  <c r="O174" i="4"/>
  <c r="P174" i="4" s="1"/>
  <c r="O175" i="4"/>
  <c r="P175" i="4" s="1"/>
  <c r="O176" i="4"/>
  <c r="O177" i="4"/>
  <c r="P177" i="4" s="1"/>
  <c r="O178" i="4"/>
  <c r="P178" i="4" s="1"/>
  <c r="O179" i="4"/>
  <c r="P179" i="4" s="1"/>
  <c r="O180" i="4"/>
  <c r="P180" i="4" s="1"/>
  <c r="O181" i="4"/>
  <c r="P181" i="4" s="1"/>
  <c r="O182" i="4"/>
  <c r="P182" i="4" s="1"/>
  <c r="O183" i="4"/>
  <c r="P183" i="4" s="1"/>
  <c r="O184" i="4"/>
  <c r="O185" i="4"/>
  <c r="P185" i="4" s="1"/>
  <c r="O186" i="4"/>
  <c r="P186" i="4" s="1"/>
  <c r="O187" i="4"/>
  <c r="P187" i="4" s="1"/>
  <c r="O188" i="4"/>
  <c r="P188" i="4" s="1"/>
  <c r="O189" i="4"/>
  <c r="P189" i="4" s="1"/>
  <c r="O190" i="4"/>
  <c r="P190" i="4" s="1"/>
  <c r="O191" i="4"/>
  <c r="P191" i="4" s="1"/>
  <c r="O192" i="4"/>
  <c r="O193" i="4"/>
  <c r="P193" i="4" s="1"/>
  <c r="O194" i="4"/>
  <c r="P194" i="4" s="1"/>
  <c r="O195" i="4"/>
  <c r="P195" i="4" s="1"/>
  <c r="O196" i="4"/>
  <c r="P196" i="4" s="1"/>
  <c r="O197" i="4"/>
  <c r="P197" i="4" s="1"/>
  <c r="O198" i="4"/>
  <c r="P198" i="4" s="1"/>
  <c r="O199" i="4"/>
  <c r="P199" i="4" s="1"/>
  <c r="O200" i="4"/>
  <c r="O201" i="4"/>
  <c r="P201" i="4" s="1"/>
  <c r="O202" i="4"/>
  <c r="P202" i="4" s="1"/>
  <c r="O203" i="4"/>
  <c r="P203" i="4" s="1"/>
  <c r="O204" i="4"/>
  <c r="P204" i="4" s="1"/>
  <c r="O205" i="4"/>
  <c r="P205" i="4" s="1"/>
  <c r="O206" i="4"/>
  <c r="P206" i="4" s="1"/>
  <c r="O207" i="4"/>
  <c r="O208" i="4"/>
  <c r="O209" i="4"/>
  <c r="P209" i="4" s="1"/>
  <c r="O210" i="4"/>
  <c r="P210" i="4" s="1"/>
  <c r="O211" i="4"/>
  <c r="P211" i="4" s="1"/>
  <c r="O212" i="4"/>
  <c r="P212" i="4" s="1"/>
  <c r="O213" i="4"/>
  <c r="P213" i="4" s="1"/>
  <c r="O214" i="4"/>
  <c r="P214" i="4" s="1"/>
  <c r="O215" i="4"/>
  <c r="O216" i="4"/>
  <c r="O217" i="4"/>
  <c r="P217" i="4" s="1"/>
  <c r="O218" i="4"/>
  <c r="P218" i="4" s="1"/>
  <c r="O219" i="4"/>
  <c r="P219" i="4" s="1"/>
  <c r="O220" i="4"/>
  <c r="P220" i="4" s="1"/>
  <c r="O221" i="4"/>
  <c r="P221" i="4" s="1"/>
  <c r="O222" i="4"/>
  <c r="P222" i="4" s="1"/>
  <c r="O223" i="4"/>
  <c r="O224" i="4"/>
  <c r="O225" i="4"/>
  <c r="P225" i="4" s="1"/>
  <c r="O226" i="4"/>
  <c r="P226" i="4" s="1"/>
  <c r="O227" i="4"/>
  <c r="P227" i="4" s="1"/>
  <c r="O228" i="4"/>
  <c r="P228" i="4" s="1"/>
  <c r="O229" i="4"/>
  <c r="P229" i="4" s="1"/>
  <c r="O230" i="4"/>
  <c r="P230" i="4" s="1"/>
  <c r="O231" i="4"/>
  <c r="O232" i="4"/>
  <c r="O233" i="4"/>
  <c r="P233" i="4" s="1"/>
  <c r="O234" i="4"/>
  <c r="P234" i="4" s="1"/>
  <c r="O235" i="4"/>
  <c r="P235" i="4" s="1"/>
  <c r="O236" i="4"/>
  <c r="P236" i="4" s="1"/>
  <c r="O237" i="4"/>
  <c r="P237" i="4" s="1"/>
  <c r="O238" i="4"/>
  <c r="P238" i="4" s="1"/>
  <c r="O239" i="4"/>
  <c r="O240" i="4"/>
  <c r="O241" i="4"/>
  <c r="P241" i="4" s="1"/>
  <c r="O242" i="4"/>
  <c r="P242" i="4" s="1"/>
  <c r="O243" i="4"/>
  <c r="P243" i="4" s="1"/>
  <c r="O244" i="4"/>
  <c r="P244" i="4" s="1"/>
  <c r="O245" i="4"/>
  <c r="P245" i="4" s="1"/>
  <c r="O246" i="4"/>
  <c r="P246" i="4" s="1"/>
  <c r="O247" i="4"/>
  <c r="O248" i="4"/>
  <c r="O249" i="4"/>
  <c r="P249" i="4" s="1"/>
  <c r="O250" i="4"/>
  <c r="P250" i="4" s="1"/>
  <c r="O251" i="4"/>
  <c r="P251" i="4" s="1"/>
  <c r="O252" i="4"/>
  <c r="P252" i="4" s="1"/>
  <c r="O253" i="4"/>
  <c r="P253" i="4" s="1"/>
  <c r="O254" i="4"/>
  <c r="P254" i="4" s="1"/>
  <c r="O255" i="4"/>
  <c r="O256" i="4"/>
  <c r="O257" i="4"/>
  <c r="P257" i="4" s="1"/>
  <c r="O258" i="4"/>
  <c r="P258" i="4" s="1"/>
  <c r="O259" i="4"/>
  <c r="P259" i="4" s="1"/>
  <c r="O260" i="4"/>
  <c r="P260" i="4" s="1"/>
  <c r="O261" i="4"/>
  <c r="P261" i="4" s="1"/>
  <c r="O262" i="4"/>
  <c r="P262" i="4" s="1"/>
  <c r="O263" i="4"/>
  <c r="O264" i="4"/>
  <c r="O265" i="4"/>
  <c r="P265" i="4" s="1"/>
  <c r="O266" i="4"/>
  <c r="P266" i="4" s="1"/>
  <c r="O267" i="4"/>
  <c r="P267" i="4" s="1"/>
  <c r="O268" i="4"/>
  <c r="P268" i="4" s="1"/>
  <c r="O269" i="4"/>
  <c r="P269" i="4" s="1"/>
  <c r="O270" i="4"/>
  <c r="P270" i="4" s="1"/>
  <c r="O271" i="4"/>
  <c r="O272" i="4"/>
  <c r="O273" i="4"/>
  <c r="P273" i="4" s="1"/>
  <c r="O274" i="4"/>
  <c r="P274" i="4" s="1"/>
  <c r="O275" i="4"/>
  <c r="P275" i="4" s="1"/>
  <c r="O276" i="4"/>
  <c r="P276" i="4" s="1"/>
  <c r="O277" i="4"/>
  <c r="P277" i="4" s="1"/>
  <c r="O278" i="4"/>
  <c r="P278" i="4" s="1"/>
  <c r="O279" i="4"/>
  <c r="O280" i="4"/>
  <c r="O281" i="4"/>
  <c r="P281" i="4" s="1"/>
  <c r="O282" i="4"/>
  <c r="P282" i="4" s="1"/>
  <c r="O283" i="4"/>
  <c r="P283" i="4" s="1"/>
  <c r="O284" i="4"/>
  <c r="P284" i="4" s="1"/>
  <c r="O285" i="4"/>
  <c r="P285" i="4" s="1"/>
  <c r="O286" i="4"/>
  <c r="P286" i="4" s="1"/>
  <c r="O287" i="4"/>
  <c r="O288" i="4"/>
  <c r="O289" i="4"/>
  <c r="P289" i="4" s="1"/>
  <c r="O290" i="4"/>
  <c r="P290" i="4" s="1"/>
  <c r="O291" i="4"/>
  <c r="P291" i="4" s="1"/>
  <c r="O292" i="4"/>
  <c r="P292" i="4" s="1"/>
  <c r="O293" i="4"/>
  <c r="P293" i="4" s="1"/>
  <c r="O294" i="4"/>
  <c r="O295" i="4"/>
  <c r="O296" i="4"/>
  <c r="O297" i="4"/>
  <c r="P297" i="4" s="1"/>
  <c r="O298" i="4"/>
  <c r="P298" i="4" s="1"/>
  <c r="O299" i="4"/>
  <c r="P299" i="4" s="1"/>
  <c r="O300" i="4"/>
  <c r="P300" i="4" s="1"/>
  <c r="O301" i="4"/>
  <c r="P301" i="4" s="1"/>
  <c r="O302" i="4"/>
  <c r="O303" i="4"/>
  <c r="O304" i="4"/>
  <c r="O305" i="4"/>
  <c r="P305" i="4" s="1"/>
  <c r="O306" i="4"/>
  <c r="P306" i="4" s="1"/>
  <c r="O307" i="4"/>
  <c r="P307" i="4" s="1"/>
  <c r="O308" i="4"/>
  <c r="P308" i="4" s="1"/>
  <c r="O309" i="4"/>
  <c r="P309" i="4" s="1"/>
  <c r="O310" i="4"/>
  <c r="O311" i="4"/>
  <c r="O312" i="4"/>
  <c r="O313" i="4"/>
  <c r="P313" i="4" s="1"/>
  <c r="O314" i="4"/>
  <c r="P314" i="4" s="1"/>
  <c r="O315" i="4"/>
  <c r="P315" i="4" s="1"/>
  <c r="O316" i="4"/>
  <c r="P316" i="4" s="1"/>
  <c r="O317" i="4"/>
  <c r="P317" i="4" s="1"/>
  <c r="O318" i="4"/>
  <c r="O319" i="4"/>
  <c r="O320" i="4"/>
  <c r="O321" i="4"/>
  <c r="P321" i="4" s="1"/>
  <c r="O322" i="4"/>
  <c r="P322" i="4" s="1"/>
  <c r="O323" i="4"/>
  <c r="P323" i="4" s="1"/>
  <c r="O324" i="4"/>
  <c r="P324" i="4" s="1"/>
  <c r="O325" i="4"/>
  <c r="P325" i="4" s="1"/>
  <c r="O326" i="4"/>
  <c r="O327" i="4"/>
  <c r="O328" i="4"/>
  <c r="O329" i="4"/>
  <c r="P329" i="4" s="1"/>
  <c r="O330" i="4"/>
  <c r="P330" i="4" s="1"/>
  <c r="O331" i="4"/>
  <c r="P331" i="4" s="1"/>
  <c r="O332" i="4"/>
  <c r="P332" i="4" s="1"/>
  <c r="O333" i="4"/>
  <c r="P333" i="4" s="1"/>
  <c r="O334" i="4"/>
  <c r="O335" i="4"/>
  <c r="O336" i="4"/>
  <c r="O337" i="4"/>
  <c r="P337" i="4" s="1"/>
  <c r="O338" i="4"/>
  <c r="P338" i="4" s="1"/>
  <c r="O339" i="4"/>
  <c r="P339" i="4" s="1"/>
  <c r="O340" i="4"/>
  <c r="P340" i="4" s="1"/>
  <c r="O341" i="4"/>
  <c r="P341" i="4" s="1"/>
  <c r="O342" i="4"/>
  <c r="O343" i="4"/>
  <c r="O344" i="4"/>
  <c r="O345" i="4"/>
  <c r="P345" i="4" s="1"/>
  <c r="O346" i="4"/>
  <c r="P346" i="4" s="1"/>
  <c r="O347" i="4"/>
  <c r="P347" i="4" s="1"/>
  <c r="O348" i="4"/>
  <c r="P348" i="4" s="1"/>
  <c r="O349" i="4"/>
  <c r="P349" i="4" s="1"/>
  <c r="O350" i="4"/>
  <c r="O351" i="4"/>
  <c r="O352" i="4"/>
  <c r="O353" i="4"/>
  <c r="P353" i="4" s="1"/>
  <c r="O354" i="4"/>
  <c r="P354" i="4" s="1"/>
  <c r="O355" i="4"/>
  <c r="P355" i="4" s="1"/>
  <c r="O356" i="4"/>
  <c r="P356" i="4" s="1"/>
  <c r="O357" i="4"/>
  <c r="P357" i="4" s="1"/>
  <c r="O358" i="4"/>
  <c r="O359" i="4"/>
  <c r="O360" i="4"/>
  <c r="O361" i="4"/>
  <c r="P361" i="4" s="1"/>
  <c r="O362" i="4"/>
  <c r="P362" i="4" s="1"/>
  <c r="O363" i="4"/>
  <c r="P363" i="4" s="1"/>
  <c r="O364" i="4"/>
  <c r="P364" i="4" s="1"/>
  <c r="O365" i="4"/>
  <c r="P365" i="4" s="1"/>
  <c r="O366" i="4"/>
  <c r="O367" i="4"/>
  <c r="O368" i="4"/>
  <c r="O369" i="4"/>
  <c r="P369" i="4" s="1"/>
  <c r="O370" i="4"/>
  <c r="P370" i="4" s="1"/>
  <c r="O371" i="4"/>
  <c r="P371" i="4" s="1"/>
  <c r="O372" i="4"/>
  <c r="P372" i="4" s="1"/>
  <c r="O373" i="4"/>
  <c r="P373" i="4" s="1"/>
  <c r="O374" i="4"/>
  <c r="O375" i="4"/>
  <c r="O376" i="4"/>
  <c r="O377" i="4"/>
  <c r="P377" i="4" s="1"/>
  <c r="O378" i="4"/>
  <c r="P378" i="4" s="1"/>
  <c r="O379" i="4"/>
  <c r="P379" i="4" s="1"/>
  <c r="O380" i="4"/>
  <c r="P380" i="4" s="1"/>
  <c r="O381" i="4"/>
  <c r="P381" i="4" s="1"/>
  <c r="O382" i="4"/>
  <c r="O383" i="4"/>
  <c r="O384" i="4"/>
  <c r="O385" i="4"/>
  <c r="P385" i="4" s="1"/>
  <c r="O386" i="4"/>
  <c r="P386" i="4" s="1"/>
  <c r="O387" i="4"/>
  <c r="P387" i="4" s="1"/>
  <c r="O388" i="4"/>
  <c r="P388" i="4" s="1"/>
  <c r="O389" i="4"/>
  <c r="P389" i="4" s="1"/>
  <c r="O390" i="4"/>
  <c r="O391" i="4"/>
  <c r="O392" i="4"/>
  <c r="O393" i="4"/>
  <c r="P393" i="4" s="1"/>
  <c r="O394" i="4"/>
  <c r="P394" i="4" s="1"/>
  <c r="O395" i="4"/>
  <c r="P395" i="4" s="1"/>
  <c r="O396" i="4"/>
  <c r="P396" i="4" s="1"/>
  <c r="O397" i="4"/>
  <c r="P397" i="4" s="1"/>
  <c r="O398" i="4"/>
  <c r="O399" i="4"/>
  <c r="O400" i="4"/>
  <c r="O401" i="4"/>
  <c r="P401" i="4" s="1"/>
  <c r="O402" i="4"/>
  <c r="P402" i="4" s="1"/>
  <c r="O403" i="4"/>
  <c r="P403" i="4" s="1"/>
  <c r="O404" i="4"/>
  <c r="P404" i="4" s="1"/>
  <c r="O405" i="4"/>
  <c r="P405" i="4" s="1"/>
  <c r="O406" i="4"/>
  <c r="O407" i="4"/>
  <c r="O408" i="4"/>
  <c r="O409" i="4"/>
  <c r="P409" i="4" s="1"/>
  <c r="O410" i="4"/>
  <c r="P410" i="4" s="1"/>
  <c r="O411" i="4"/>
  <c r="P411" i="4" s="1"/>
  <c r="O412" i="4"/>
  <c r="P412" i="4" s="1"/>
  <c r="O413" i="4"/>
  <c r="P413" i="4" s="1"/>
  <c r="O414" i="4"/>
  <c r="O415" i="4"/>
  <c r="O416" i="4"/>
  <c r="O417" i="4"/>
  <c r="P417" i="4" s="1"/>
  <c r="O418" i="4"/>
  <c r="P418" i="4" s="1"/>
  <c r="O419" i="4"/>
  <c r="P419" i="4" s="1"/>
  <c r="O420" i="4"/>
  <c r="P420" i="4" s="1"/>
  <c r="O421" i="4"/>
  <c r="P421" i="4" s="1"/>
  <c r="O422" i="4"/>
  <c r="O423" i="4"/>
  <c r="O424" i="4"/>
  <c r="O425" i="4"/>
  <c r="P425" i="4" s="1"/>
  <c r="O426" i="4"/>
  <c r="P426" i="4" s="1"/>
  <c r="O427" i="4"/>
  <c r="P427" i="4" s="1"/>
  <c r="O428" i="4"/>
  <c r="P428" i="4" s="1"/>
  <c r="O429" i="4"/>
  <c r="P429" i="4" s="1"/>
  <c r="O430" i="4"/>
  <c r="O431" i="4"/>
  <c r="O432" i="4"/>
  <c r="O433" i="4"/>
  <c r="P433" i="4" s="1"/>
  <c r="O434" i="4"/>
  <c r="P434" i="4" s="1"/>
  <c r="O435" i="4"/>
  <c r="P435" i="4" s="1"/>
  <c r="O436" i="4"/>
  <c r="P436" i="4" s="1"/>
  <c r="O437" i="4"/>
  <c r="P437" i="4" s="1"/>
  <c r="O438" i="4"/>
  <c r="O439" i="4"/>
  <c r="O440" i="4"/>
  <c r="O441" i="4"/>
  <c r="P441" i="4" s="1"/>
  <c r="O442" i="4"/>
  <c r="P442" i="4" s="1"/>
  <c r="O443" i="4"/>
  <c r="P443" i="4" s="1"/>
  <c r="O444" i="4"/>
  <c r="O445" i="4"/>
  <c r="P445" i="4" s="1"/>
  <c r="O446" i="4"/>
  <c r="O447" i="4"/>
  <c r="O448" i="4"/>
  <c r="O449" i="4"/>
  <c r="P449" i="4" s="1"/>
  <c r="O450" i="4"/>
  <c r="P450" i="4" s="1"/>
  <c r="O451" i="4"/>
  <c r="P451" i="4" s="1"/>
  <c r="O452" i="4"/>
  <c r="O453" i="4"/>
  <c r="P453" i="4" s="1"/>
  <c r="O454" i="4"/>
  <c r="O455" i="4"/>
  <c r="O456" i="4"/>
  <c r="O457" i="4"/>
  <c r="P457" i="4" s="1"/>
  <c r="O458" i="4"/>
  <c r="P458" i="4" s="1"/>
  <c r="O459" i="4"/>
  <c r="P459" i="4" s="1"/>
  <c r="O460" i="4"/>
  <c r="O461" i="4"/>
  <c r="P461" i="4" s="1"/>
  <c r="O462" i="4"/>
  <c r="O463" i="4"/>
  <c r="O464" i="4"/>
  <c r="O465" i="4"/>
  <c r="P465" i="4" s="1"/>
  <c r="O466" i="4"/>
  <c r="P466" i="4" s="1"/>
  <c r="O467" i="4"/>
  <c r="P467" i="4" s="1"/>
  <c r="O468" i="4"/>
  <c r="O469" i="4"/>
  <c r="P469" i="4" s="1"/>
  <c r="O470" i="4"/>
  <c r="O471" i="4"/>
  <c r="O472" i="4"/>
  <c r="O473" i="4"/>
  <c r="P473" i="4" s="1"/>
  <c r="O474" i="4"/>
  <c r="P474" i="4" s="1"/>
  <c r="O475" i="4"/>
  <c r="P475" i="4" s="1"/>
  <c r="O476" i="4"/>
  <c r="O477" i="4"/>
  <c r="P477" i="4" s="1"/>
  <c r="O478" i="4"/>
  <c r="O479" i="4"/>
  <c r="O480" i="4"/>
  <c r="O481" i="4"/>
  <c r="P481" i="4" s="1"/>
  <c r="O482" i="4"/>
  <c r="P482" i="4" s="1"/>
  <c r="O483" i="4"/>
  <c r="P483" i="4" s="1"/>
  <c r="O484" i="4"/>
  <c r="O485" i="4"/>
  <c r="P485" i="4" s="1"/>
  <c r="O486" i="4"/>
  <c r="O487" i="4"/>
  <c r="O488" i="4"/>
  <c r="O489" i="4"/>
  <c r="P489" i="4" s="1"/>
  <c r="O490" i="4"/>
  <c r="P490" i="4" s="1"/>
  <c r="O491" i="4"/>
  <c r="P491" i="4" s="1"/>
  <c r="O492" i="4"/>
  <c r="O493" i="4"/>
  <c r="P493" i="4" s="1"/>
  <c r="O494" i="4"/>
  <c r="O495" i="4"/>
  <c r="O496" i="4"/>
  <c r="O497" i="4"/>
  <c r="P497" i="4" s="1"/>
  <c r="O498" i="4"/>
  <c r="P498" i="4" s="1"/>
  <c r="O499" i="4"/>
  <c r="P499" i="4" s="1"/>
  <c r="O500" i="4"/>
  <c r="O501" i="4"/>
  <c r="P501" i="4" s="1"/>
  <c r="O502" i="4"/>
  <c r="O503" i="4"/>
  <c r="O504" i="4"/>
  <c r="O505" i="4"/>
  <c r="P505" i="4" s="1"/>
  <c r="O506" i="4"/>
  <c r="P506" i="4" s="1"/>
  <c r="O507" i="4"/>
  <c r="P507" i="4" s="1"/>
  <c r="O508" i="4"/>
  <c r="O509" i="4"/>
  <c r="P509" i="4" s="1"/>
  <c r="O510" i="4"/>
  <c r="O511" i="4"/>
  <c r="O512" i="4"/>
  <c r="O513" i="4"/>
  <c r="P513" i="4" s="1"/>
  <c r="O514" i="4"/>
  <c r="P514" i="4" s="1"/>
  <c r="O515" i="4"/>
  <c r="P515" i="4" s="1"/>
  <c r="O516" i="4"/>
  <c r="O517" i="4"/>
  <c r="P517" i="4" s="1"/>
  <c r="O518" i="4"/>
  <c r="O519" i="4"/>
  <c r="O520" i="4"/>
  <c r="O521" i="4"/>
  <c r="P521" i="4" s="1"/>
  <c r="O522" i="4"/>
  <c r="P522" i="4" s="1"/>
  <c r="O523" i="4"/>
  <c r="O524" i="4"/>
  <c r="O525" i="4"/>
  <c r="P525" i="4" s="1"/>
  <c r="O526" i="4"/>
  <c r="O527" i="4"/>
  <c r="O528" i="4"/>
  <c r="O529" i="4"/>
  <c r="P529" i="4" s="1"/>
  <c r="O530" i="4"/>
  <c r="P530" i="4" s="1"/>
  <c r="O531" i="4"/>
  <c r="P531" i="4" s="1"/>
  <c r="O532" i="4"/>
  <c r="P532" i="4" s="1"/>
  <c r="O533" i="4"/>
  <c r="P533" i="4" s="1"/>
  <c r="O534" i="4"/>
  <c r="P534" i="4" s="1"/>
  <c r="O16" i="4"/>
  <c r="O16" i="1"/>
  <c r="P16" i="1" s="1"/>
  <c r="O17" i="1"/>
  <c r="P17" i="1" s="1"/>
  <c r="O18" i="1"/>
  <c r="P18" i="1" s="1"/>
  <c r="O19" i="1"/>
  <c r="P19" i="1" s="1"/>
  <c r="O20" i="1"/>
  <c r="P20" i="1" s="1"/>
  <c r="O21" i="1"/>
  <c r="P21" i="1" s="1"/>
  <c r="O22" i="1"/>
  <c r="O23" i="1"/>
  <c r="P23" i="1" s="1"/>
  <c r="O16" i="8"/>
  <c r="P16" i="8" s="1"/>
  <c r="O17" i="8"/>
  <c r="P17" i="8" s="1"/>
  <c r="O18" i="8"/>
  <c r="P18" i="8" s="1"/>
  <c r="O19" i="8"/>
  <c r="P19" i="8" s="1"/>
  <c r="O20" i="8"/>
  <c r="P20" i="8" s="1"/>
  <c r="O21" i="8"/>
  <c r="O22" i="8"/>
  <c r="P22" i="8" s="1"/>
  <c r="O23" i="8"/>
  <c r="P23" i="8" s="1"/>
  <c r="O24" i="8"/>
  <c r="P24" i="8" s="1"/>
  <c r="O25" i="8"/>
  <c r="P25" i="8" s="1"/>
  <c r="O26" i="8"/>
  <c r="P26" i="8" s="1"/>
  <c r="O27" i="8"/>
  <c r="P27" i="8" s="1"/>
  <c r="O28" i="8"/>
  <c r="P28" i="8" s="1"/>
  <c r="O29" i="8"/>
  <c r="O30" i="8"/>
  <c r="P30" i="8" s="1"/>
  <c r="O31" i="8"/>
  <c r="P31" i="8" s="1"/>
  <c r="O32" i="8"/>
  <c r="P32" i="8" s="1"/>
  <c r="O33" i="8"/>
  <c r="P33" i="8" s="1"/>
  <c r="O34" i="8"/>
  <c r="P34" i="8" s="1"/>
  <c r="O35" i="8"/>
  <c r="P35" i="8" s="1"/>
  <c r="O36" i="8"/>
  <c r="P36" i="8" s="1"/>
  <c r="O37" i="8"/>
  <c r="P37" i="8" s="1"/>
  <c r="O38" i="8"/>
  <c r="P38" i="8" s="1"/>
  <c r="O39" i="8"/>
  <c r="P39" i="8" s="1"/>
  <c r="O40" i="8"/>
  <c r="P40" i="8" s="1"/>
  <c r="O41" i="8"/>
  <c r="P41" i="8" s="1"/>
  <c r="O42" i="8"/>
  <c r="P42" i="8" s="1"/>
  <c r="O43" i="8"/>
  <c r="P43" i="8" s="1"/>
  <c r="O44" i="8"/>
  <c r="P44" i="8" s="1"/>
  <c r="O45" i="8"/>
  <c r="O46" i="8"/>
  <c r="P46" i="8" s="1"/>
  <c r="O47" i="8"/>
  <c r="P47" i="8" s="1"/>
  <c r="O48" i="8"/>
  <c r="P48" i="8" s="1"/>
  <c r="O49" i="8"/>
  <c r="P49" i="8" s="1"/>
  <c r="O50" i="8"/>
  <c r="P50" i="8" s="1"/>
  <c r="O51" i="8"/>
  <c r="P51" i="8" s="1"/>
  <c r="O52" i="8"/>
  <c r="P52" i="8" s="1"/>
  <c r="O53" i="8"/>
  <c r="O54" i="8"/>
  <c r="P54" i="8" s="1"/>
  <c r="O55" i="8"/>
  <c r="P55" i="8" s="1"/>
  <c r="O56" i="8"/>
  <c r="P56" i="8" s="1"/>
  <c r="O57" i="8"/>
  <c r="P57" i="8" s="1"/>
  <c r="O58" i="8"/>
  <c r="P58" i="8" s="1"/>
  <c r="O59" i="8"/>
  <c r="P59" i="8" s="1"/>
  <c r="O60" i="8"/>
  <c r="P60" i="8" s="1"/>
  <c r="O61" i="8"/>
  <c r="P61" i="8" s="1"/>
  <c r="O62" i="8"/>
  <c r="P62" i="8" s="1"/>
  <c r="O63" i="8"/>
  <c r="P63" i="8" s="1"/>
  <c r="O64" i="8"/>
  <c r="P64" i="8" s="1"/>
  <c r="O65" i="8"/>
  <c r="P65" i="8" s="1"/>
  <c r="O66" i="8"/>
  <c r="P66" i="8" s="1"/>
  <c r="O67" i="8"/>
  <c r="P67" i="8" s="1"/>
  <c r="O68" i="8"/>
  <c r="P68" i="8" s="1"/>
  <c r="O69" i="8"/>
  <c r="P69" i="8" s="1"/>
  <c r="O70" i="8"/>
  <c r="P70" i="8" s="1"/>
  <c r="O71" i="8"/>
  <c r="P71" i="8" s="1"/>
  <c r="O72" i="8"/>
  <c r="P72" i="8" s="1"/>
  <c r="O73" i="8"/>
  <c r="P73" i="8" s="1"/>
  <c r="O74" i="8"/>
  <c r="P74" i="8" s="1"/>
  <c r="O75" i="8"/>
  <c r="P75" i="8" s="1"/>
  <c r="O76" i="8"/>
  <c r="P76" i="8" s="1"/>
  <c r="O77" i="8"/>
  <c r="P77" i="8" s="1"/>
  <c r="O78" i="8"/>
  <c r="P78" i="8" s="1"/>
  <c r="O79" i="8"/>
  <c r="P79" i="8" s="1"/>
  <c r="O80" i="8"/>
  <c r="P80" i="8" s="1"/>
  <c r="O81" i="8"/>
  <c r="P81" i="8" s="1"/>
  <c r="O82" i="8"/>
  <c r="P82" i="8" s="1"/>
  <c r="O83" i="8"/>
  <c r="P83" i="8" s="1"/>
  <c r="O84" i="8"/>
  <c r="P84" i="8" s="1"/>
  <c r="O85" i="8"/>
  <c r="O86" i="8"/>
  <c r="P86" i="8" s="1"/>
  <c r="O87" i="8"/>
  <c r="P87" i="8" s="1"/>
  <c r="O88" i="8"/>
  <c r="P88" i="8" s="1"/>
  <c r="O89" i="8"/>
  <c r="P89" i="8" s="1"/>
  <c r="O90" i="8"/>
  <c r="P90" i="8" s="1"/>
  <c r="O91" i="8"/>
  <c r="P91" i="8" s="1"/>
  <c r="O92" i="8"/>
  <c r="P92" i="8" s="1"/>
  <c r="O93" i="8"/>
  <c r="O94" i="8"/>
  <c r="P94" i="8" s="1"/>
  <c r="O95" i="8"/>
  <c r="P95" i="8" s="1"/>
  <c r="O96" i="8"/>
  <c r="P96" i="8" s="1"/>
  <c r="O97" i="8"/>
  <c r="P97" i="8" s="1"/>
  <c r="O98" i="8"/>
  <c r="P98" i="8" s="1"/>
  <c r="O99" i="8"/>
  <c r="P99" i="8" s="1"/>
  <c r="O100" i="8"/>
  <c r="P100" i="8" s="1"/>
  <c r="O101" i="8"/>
  <c r="P101" i="8" s="1"/>
  <c r="O102" i="8"/>
  <c r="P102" i="8" s="1"/>
  <c r="O103" i="8"/>
  <c r="P103" i="8" s="1"/>
  <c r="O104" i="8"/>
  <c r="P104" i="8" s="1"/>
  <c r="O105" i="8"/>
  <c r="P105" i="8" s="1"/>
  <c r="O106" i="8"/>
  <c r="P106" i="8" s="1"/>
  <c r="O107" i="8"/>
  <c r="P107" i="8" s="1"/>
  <c r="O108" i="8"/>
  <c r="P108" i="8" s="1"/>
  <c r="O109" i="8"/>
  <c r="O110" i="8"/>
  <c r="P110" i="8" s="1"/>
  <c r="O111" i="8"/>
  <c r="P111" i="8" s="1"/>
  <c r="O112" i="8"/>
  <c r="P112" i="8" s="1"/>
  <c r="O113" i="8"/>
  <c r="P113" i="8" s="1"/>
  <c r="O114" i="8"/>
  <c r="P114" i="8" s="1"/>
  <c r="O115" i="8"/>
  <c r="P115" i="8" s="1"/>
  <c r="O116" i="8"/>
  <c r="P116" i="8" s="1"/>
  <c r="O117" i="8"/>
  <c r="P117" i="8" s="1"/>
  <c r="O118" i="8"/>
  <c r="P118" i="8" s="1"/>
  <c r="O119" i="8"/>
  <c r="P119" i="8" s="1"/>
  <c r="O120" i="8"/>
  <c r="O121" i="8"/>
  <c r="P121" i="8" s="1"/>
  <c r="O122" i="8"/>
  <c r="P122" i="8" s="1"/>
  <c r="O123" i="8"/>
  <c r="P123" i="8" s="1"/>
  <c r="O124" i="8"/>
  <c r="P124" i="8" s="1"/>
  <c r="O125" i="8"/>
  <c r="P125" i="8" s="1"/>
  <c r="O126" i="8"/>
  <c r="P126" i="8" s="1"/>
  <c r="O127" i="8"/>
  <c r="P127" i="8" s="1"/>
  <c r="O128" i="8"/>
  <c r="P128" i="8" s="1"/>
  <c r="O129" i="8"/>
  <c r="P129" i="8" s="1"/>
  <c r="O130" i="8"/>
  <c r="P130" i="8" s="1"/>
  <c r="O131" i="8"/>
  <c r="P131" i="8" s="1"/>
  <c r="O132" i="8"/>
  <c r="P132" i="8" s="1"/>
  <c r="O133" i="8"/>
  <c r="P133" i="8" s="1"/>
  <c r="O134" i="8"/>
  <c r="P134" i="8" s="1"/>
  <c r="O135" i="8"/>
  <c r="P135" i="8" s="1"/>
  <c r="O136" i="8"/>
  <c r="P136" i="8" s="1"/>
  <c r="O137" i="8"/>
  <c r="P137" i="8" s="1"/>
  <c r="O138" i="8"/>
  <c r="P138" i="8" s="1"/>
  <c r="O139" i="8"/>
  <c r="P139" i="8" s="1"/>
  <c r="O140" i="8"/>
  <c r="P140" i="8" s="1"/>
  <c r="O141" i="8"/>
  <c r="P141" i="8" s="1"/>
  <c r="O142" i="8"/>
  <c r="P142" i="8" s="1"/>
  <c r="O143" i="8"/>
  <c r="P143" i="8" s="1"/>
  <c r="O144" i="8"/>
  <c r="P144" i="8" s="1"/>
  <c r="O145" i="8"/>
  <c r="P145" i="8" s="1"/>
  <c r="O146" i="8"/>
  <c r="P146" i="8" s="1"/>
  <c r="O147" i="8"/>
  <c r="P147" i="8" s="1"/>
  <c r="O148" i="8"/>
  <c r="P148" i="8" s="1"/>
  <c r="O149" i="8"/>
  <c r="P149" i="8" s="1"/>
  <c r="O150" i="8"/>
  <c r="P150" i="8" s="1"/>
  <c r="O151" i="8"/>
  <c r="P151" i="8" s="1"/>
  <c r="O152" i="8"/>
  <c r="P152" i="8" s="1"/>
  <c r="O153" i="8"/>
  <c r="P153" i="8" s="1"/>
  <c r="O154" i="8"/>
  <c r="P154" i="8" s="1"/>
  <c r="O155" i="8"/>
  <c r="P155" i="8" s="1"/>
  <c r="O156" i="8"/>
  <c r="P156" i="8" s="1"/>
  <c r="O157" i="8"/>
  <c r="P157" i="8" s="1"/>
  <c r="O158" i="8"/>
  <c r="P158" i="8" s="1"/>
  <c r="O159" i="8"/>
  <c r="P159" i="8" s="1"/>
  <c r="O160" i="8"/>
  <c r="P160" i="8" s="1"/>
  <c r="O161" i="8"/>
  <c r="P161" i="8" s="1"/>
  <c r="O162" i="8"/>
  <c r="P162" i="8" s="1"/>
  <c r="O163" i="8"/>
  <c r="P163" i="8" s="1"/>
  <c r="O164" i="8"/>
  <c r="P164" i="8" s="1"/>
  <c r="O165" i="8"/>
  <c r="P165" i="8" s="1"/>
  <c r="O166" i="8"/>
  <c r="P166" i="8" s="1"/>
  <c r="O167" i="8"/>
  <c r="P167" i="8" s="1"/>
  <c r="O168" i="8"/>
  <c r="P168" i="8" s="1"/>
  <c r="O169" i="8"/>
  <c r="O170" i="8"/>
  <c r="P170" i="8" s="1"/>
  <c r="O171" i="8"/>
  <c r="P171" i="8" s="1"/>
  <c r="O172" i="8"/>
  <c r="P172" i="8" s="1"/>
  <c r="O173" i="8"/>
  <c r="P173" i="8" s="1"/>
  <c r="O174" i="8"/>
  <c r="P174" i="8" s="1"/>
  <c r="O175" i="8"/>
  <c r="P175" i="8" s="1"/>
  <c r="O176" i="8"/>
  <c r="P176" i="8" s="1"/>
  <c r="O177" i="8"/>
  <c r="P177" i="8" s="1"/>
  <c r="O178" i="8"/>
  <c r="P178" i="8" s="1"/>
  <c r="O179" i="8"/>
  <c r="P179" i="8" s="1"/>
  <c r="O180" i="8"/>
  <c r="P180" i="8" s="1"/>
  <c r="O181" i="8"/>
  <c r="P181" i="8" s="1"/>
  <c r="O182" i="8"/>
  <c r="P182" i="8" s="1"/>
  <c r="O183" i="8"/>
  <c r="P183" i="8" s="1"/>
  <c r="O184" i="8"/>
  <c r="P184" i="8" s="1"/>
  <c r="O185" i="8"/>
  <c r="P185" i="8" s="1"/>
  <c r="O186" i="8"/>
  <c r="P186" i="8" s="1"/>
  <c r="O187" i="8"/>
  <c r="P187" i="8" s="1"/>
  <c r="O188" i="8"/>
  <c r="P188" i="8" s="1"/>
  <c r="O189" i="8"/>
  <c r="P189" i="8" s="1"/>
  <c r="O190" i="8"/>
  <c r="P190" i="8" s="1"/>
  <c r="O191" i="8"/>
  <c r="P191" i="8" s="1"/>
  <c r="O192" i="8"/>
  <c r="P192" i="8" s="1"/>
  <c r="O193" i="8"/>
  <c r="P193" i="8" s="1"/>
  <c r="O194" i="8"/>
  <c r="P194" i="8" s="1"/>
  <c r="O195" i="8"/>
  <c r="P195" i="8" s="1"/>
  <c r="O196" i="8"/>
  <c r="P196" i="8" s="1"/>
  <c r="O197" i="8"/>
  <c r="P197" i="8" s="1"/>
  <c r="O198" i="8"/>
  <c r="P198" i="8" s="1"/>
  <c r="O199" i="8"/>
  <c r="P199" i="8" s="1"/>
  <c r="O200" i="8"/>
  <c r="P200" i="8" s="1"/>
  <c r="O201" i="8"/>
  <c r="P201" i="8" s="1"/>
  <c r="O202" i="8"/>
  <c r="P202" i="8" s="1"/>
  <c r="O203" i="8"/>
  <c r="P203" i="8" s="1"/>
  <c r="O204" i="8"/>
  <c r="P204" i="8" s="1"/>
  <c r="O205" i="8"/>
  <c r="O206" i="8"/>
  <c r="P206" i="8" s="1"/>
  <c r="O207" i="8"/>
  <c r="P207" i="8" s="1"/>
  <c r="O208" i="8"/>
  <c r="O209" i="8"/>
  <c r="P209" i="8" s="1"/>
  <c r="O210" i="8"/>
  <c r="P210" i="8" s="1"/>
  <c r="O211" i="8"/>
  <c r="P211" i="8" s="1"/>
  <c r="O212" i="8"/>
  <c r="P212" i="8" s="1"/>
  <c r="O213" i="8"/>
  <c r="P213" i="8" s="1"/>
  <c r="O214" i="8"/>
  <c r="P214" i="8" s="1"/>
  <c r="O215" i="8"/>
  <c r="P215" i="8" s="1"/>
  <c r="O216" i="8"/>
  <c r="P216" i="8" s="1"/>
  <c r="O217" i="8"/>
  <c r="P217" i="8" s="1"/>
  <c r="O218" i="8"/>
  <c r="P218" i="8" s="1"/>
  <c r="O219" i="8"/>
  <c r="P219" i="8" s="1"/>
  <c r="O220" i="8"/>
  <c r="P220" i="8" s="1"/>
  <c r="O221" i="8"/>
  <c r="O222" i="8"/>
  <c r="P222" i="8" s="1"/>
  <c r="O223" i="8"/>
  <c r="P223" i="8" s="1"/>
  <c r="O224" i="8"/>
  <c r="P224" i="8" s="1"/>
  <c r="O225" i="8"/>
  <c r="P225" i="8" s="1"/>
  <c r="O226" i="8"/>
  <c r="P226" i="8" s="1"/>
  <c r="O227" i="8"/>
  <c r="P227" i="8" s="1"/>
  <c r="O228" i="8"/>
  <c r="P228" i="8" s="1"/>
  <c r="O229" i="8"/>
  <c r="P229" i="8" s="1"/>
  <c r="O230" i="8"/>
  <c r="P230" i="8" s="1"/>
  <c r="O231" i="8"/>
  <c r="P231" i="8" s="1"/>
  <c r="O232" i="8"/>
  <c r="P232" i="8" s="1"/>
  <c r="O233" i="8"/>
  <c r="P233" i="8" s="1"/>
  <c r="O234" i="8"/>
  <c r="P234" i="8" s="1"/>
  <c r="O235" i="8"/>
  <c r="P235" i="8" s="1"/>
  <c r="O236" i="8"/>
  <c r="P236" i="8" s="1"/>
  <c r="O237" i="8"/>
  <c r="P237" i="8" s="1"/>
  <c r="O238" i="8"/>
  <c r="P238" i="8" s="1"/>
  <c r="O239" i="8"/>
  <c r="P239" i="8" s="1"/>
  <c r="O240" i="8"/>
  <c r="P240" i="8" s="1"/>
  <c r="O241" i="8"/>
  <c r="P241" i="8" s="1"/>
  <c r="O242" i="8"/>
  <c r="P242" i="8" s="1"/>
  <c r="O243" i="8"/>
  <c r="P243" i="8" s="1"/>
  <c r="O244" i="8"/>
  <c r="P244" i="8" s="1"/>
  <c r="O245" i="8"/>
  <c r="P245" i="8" s="1"/>
  <c r="O246" i="8"/>
  <c r="P246" i="8" s="1"/>
  <c r="O247" i="8"/>
  <c r="P247" i="8" s="1"/>
  <c r="O248" i="8"/>
  <c r="P248" i="8" s="1"/>
  <c r="O249" i="8"/>
  <c r="P249" i="8" s="1"/>
  <c r="O250" i="8"/>
  <c r="P250" i="8" s="1"/>
  <c r="O251" i="8"/>
  <c r="P251" i="8" s="1"/>
  <c r="O252" i="8"/>
  <c r="P252" i="8" s="1"/>
  <c r="O253" i="8"/>
  <c r="P253" i="8" s="1"/>
  <c r="O254" i="8"/>
  <c r="P254" i="8" s="1"/>
  <c r="O255" i="8"/>
  <c r="P255" i="8" s="1"/>
  <c r="O256" i="8"/>
  <c r="P256" i="8" s="1"/>
  <c r="O257" i="8"/>
  <c r="P257" i="8" s="1"/>
  <c r="O258" i="8"/>
  <c r="P258" i="8" s="1"/>
  <c r="O259" i="8"/>
  <c r="P259" i="8" s="1"/>
  <c r="O260" i="8"/>
  <c r="P260" i="8" s="1"/>
  <c r="O261" i="8"/>
  <c r="P261" i="8" s="1"/>
  <c r="O262" i="8"/>
  <c r="P262" i="8" s="1"/>
  <c r="O263" i="8"/>
  <c r="P263" i="8" s="1"/>
  <c r="O264" i="8"/>
  <c r="P264" i="8" s="1"/>
  <c r="O265" i="8"/>
  <c r="P265" i="8" s="1"/>
  <c r="O266" i="8"/>
  <c r="P266" i="8" s="1"/>
  <c r="O267" i="8"/>
  <c r="P267" i="8" s="1"/>
  <c r="O268" i="8"/>
  <c r="P268" i="8" s="1"/>
  <c r="O269" i="8"/>
  <c r="P269" i="8" s="1"/>
  <c r="O270" i="8"/>
  <c r="P270" i="8" s="1"/>
  <c r="O271" i="8"/>
  <c r="P271" i="8" s="1"/>
  <c r="O272" i="8"/>
  <c r="P272" i="8" s="1"/>
  <c r="O273" i="8"/>
  <c r="P273" i="8" s="1"/>
  <c r="O274" i="8"/>
  <c r="P274" i="8" s="1"/>
  <c r="O275" i="8"/>
  <c r="P275" i="8" s="1"/>
  <c r="O276" i="8"/>
  <c r="P276" i="8" s="1"/>
  <c r="O277" i="8"/>
  <c r="O278" i="8"/>
  <c r="P278" i="8" s="1"/>
  <c r="O279" i="8"/>
  <c r="P279" i="8" s="1"/>
  <c r="O280" i="8"/>
  <c r="O281" i="8"/>
  <c r="P281" i="8" s="1"/>
  <c r="O282" i="8"/>
  <c r="P282" i="8" s="1"/>
  <c r="O283" i="8"/>
  <c r="P283" i="8" s="1"/>
  <c r="O284" i="8"/>
  <c r="P284" i="8" s="1"/>
  <c r="O285" i="8"/>
  <c r="P285" i="8" s="1"/>
  <c r="O286" i="8"/>
  <c r="P286" i="8" s="1"/>
  <c r="O287" i="8"/>
  <c r="P287" i="8" s="1"/>
  <c r="O288" i="8"/>
  <c r="P288" i="8" s="1"/>
  <c r="O289" i="8"/>
  <c r="P289" i="8" s="1"/>
  <c r="O290" i="8"/>
  <c r="P290" i="8" s="1"/>
  <c r="O291" i="8"/>
  <c r="P291" i="8" s="1"/>
  <c r="O292" i="8"/>
  <c r="P292" i="8" s="1"/>
  <c r="O293" i="8"/>
  <c r="O294" i="8"/>
  <c r="P294" i="8" s="1"/>
  <c r="O295" i="8"/>
  <c r="P295" i="8" s="1"/>
  <c r="O296" i="8"/>
  <c r="P296" i="8" s="1"/>
  <c r="O297" i="8"/>
  <c r="P297" i="8" s="1"/>
  <c r="O298" i="8"/>
  <c r="P298" i="8" s="1"/>
  <c r="O299" i="8"/>
  <c r="P299" i="8" s="1"/>
  <c r="O300" i="8"/>
  <c r="P300" i="8" s="1"/>
  <c r="O301" i="8"/>
  <c r="P301" i="8" s="1"/>
  <c r="O302" i="8"/>
  <c r="P302" i="8" s="1"/>
  <c r="O303" i="8"/>
  <c r="P303" i="8" s="1"/>
  <c r="O304" i="8"/>
  <c r="P304" i="8" s="1"/>
  <c r="O305" i="8"/>
  <c r="P305" i="8" s="1"/>
  <c r="O306" i="8"/>
  <c r="P306" i="8" s="1"/>
  <c r="O307" i="8"/>
  <c r="P307" i="8" s="1"/>
  <c r="O308" i="8"/>
  <c r="P308" i="8" s="1"/>
  <c r="O309" i="8"/>
  <c r="P309" i="8" s="1"/>
  <c r="O310" i="8"/>
  <c r="P310" i="8" s="1"/>
  <c r="O311" i="8"/>
  <c r="P311" i="8" s="1"/>
  <c r="O312" i="8"/>
  <c r="P312" i="8" s="1"/>
  <c r="O313" i="8"/>
  <c r="P313" i="8" s="1"/>
  <c r="O314" i="8"/>
  <c r="P314" i="8" s="1"/>
  <c r="O315" i="8"/>
  <c r="P315" i="8" s="1"/>
  <c r="O316" i="8"/>
  <c r="P316" i="8" s="1"/>
  <c r="O317" i="8"/>
  <c r="P317" i="8" s="1"/>
  <c r="O318" i="8"/>
  <c r="P318" i="8" s="1"/>
  <c r="O319" i="8"/>
  <c r="P319" i="8" s="1"/>
  <c r="O320" i="8"/>
  <c r="P320" i="8" s="1"/>
  <c r="O321" i="8"/>
  <c r="P321" i="8" s="1"/>
  <c r="O322" i="8"/>
  <c r="P322" i="8" s="1"/>
  <c r="O323" i="8"/>
  <c r="P323" i="8" s="1"/>
  <c r="O324" i="8"/>
  <c r="P324" i="8" s="1"/>
  <c r="O325" i="8"/>
  <c r="P325" i="8" s="1"/>
  <c r="O326" i="8"/>
  <c r="P326" i="8" s="1"/>
  <c r="O327" i="8"/>
  <c r="P327" i="8" s="1"/>
  <c r="O328" i="8"/>
  <c r="P328" i="8" s="1"/>
  <c r="O329" i="8"/>
  <c r="P329" i="8" s="1"/>
  <c r="O330" i="8"/>
  <c r="P330" i="8" s="1"/>
  <c r="O331" i="8"/>
  <c r="P331" i="8" s="1"/>
  <c r="O332" i="8"/>
  <c r="P332" i="8" s="1"/>
  <c r="O333" i="8"/>
  <c r="P333" i="8" s="1"/>
  <c r="O334" i="8"/>
  <c r="P334" i="8" s="1"/>
  <c r="O335" i="8"/>
  <c r="P335" i="8" s="1"/>
  <c r="O336" i="8"/>
  <c r="P336" i="8" s="1"/>
  <c r="O337" i="8"/>
  <c r="P337" i="8" s="1"/>
  <c r="O338" i="8"/>
  <c r="P338" i="8" s="1"/>
  <c r="O339" i="8"/>
  <c r="P339" i="8" s="1"/>
  <c r="O340" i="8"/>
  <c r="P340" i="8" s="1"/>
  <c r="O341" i="8"/>
  <c r="P341" i="8" s="1"/>
  <c r="O342" i="8"/>
  <c r="P342" i="8" s="1"/>
  <c r="O343" i="8"/>
  <c r="P343" i="8" s="1"/>
  <c r="O344" i="8"/>
  <c r="P344" i="8" s="1"/>
  <c r="O345" i="8"/>
  <c r="P345" i="8" s="1"/>
  <c r="O346" i="8"/>
  <c r="P346" i="8" s="1"/>
  <c r="O347" i="8"/>
  <c r="P347" i="8" s="1"/>
  <c r="P21" i="8"/>
  <c r="P29" i="8"/>
  <c r="P45" i="8"/>
  <c r="P53" i="8"/>
  <c r="P85" i="8"/>
  <c r="P93" i="8"/>
  <c r="P109" i="8"/>
  <c r="P120" i="8"/>
  <c r="P169" i="8"/>
  <c r="P205" i="8"/>
  <c r="P208" i="8"/>
  <c r="P221" i="8"/>
  <c r="P277" i="8"/>
  <c r="P280" i="8"/>
  <c r="P293" i="8"/>
  <c r="P16" i="6" l="1"/>
  <c r="P526" i="6"/>
  <c r="P518" i="6"/>
  <c r="P510" i="6"/>
  <c r="P502" i="6"/>
  <c r="P494" i="6"/>
  <c r="P486" i="6"/>
  <c r="P478" i="6"/>
  <c r="P470" i="6"/>
  <c r="P462" i="6"/>
  <c r="P454" i="6"/>
  <c r="P446" i="6"/>
  <c r="P438" i="6"/>
  <c r="P430" i="6"/>
  <c r="P422" i="6"/>
  <c r="P414" i="6"/>
  <c r="P406" i="6"/>
  <c r="P398" i="6"/>
  <c r="P390" i="6"/>
  <c r="P382" i="6"/>
  <c r="P374" i="6"/>
  <c r="P366" i="6"/>
  <c r="P358" i="6"/>
  <c r="P350" i="6"/>
  <c r="P342" i="6"/>
  <c r="P334" i="6"/>
  <c r="P326" i="6"/>
  <c r="P318" i="6"/>
  <c r="P310" i="6"/>
  <c r="P302" i="6"/>
  <c r="P294" i="6"/>
  <c r="P286" i="6"/>
  <c r="P278" i="6"/>
  <c r="P270" i="6"/>
  <c r="P262" i="6"/>
  <c r="P254" i="6"/>
  <c r="P246" i="6"/>
  <c r="P238" i="6"/>
  <c r="P230" i="6"/>
  <c r="P222" i="6"/>
  <c r="P214" i="6"/>
  <c r="P206" i="6"/>
  <c r="P198" i="6"/>
  <c r="P190" i="6"/>
  <c r="P182" i="6"/>
  <c r="P174" i="6"/>
  <c r="P166" i="6"/>
  <c r="P158" i="6"/>
  <c r="P150" i="6"/>
  <c r="P142" i="6"/>
  <c r="P134" i="6"/>
  <c r="P126" i="6"/>
  <c r="P118" i="6"/>
  <c r="P110" i="6"/>
  <c r="P102" i="6"/>
  <c r="P94" i="6"/>
  <c r="P86" i="6"/>
  <c r="P78" i="6"/>
  <c r="P70" i="6"/>
  <c r="P62" i="6"/>
  <c r="P54" i="6"/>
  <c r="P46" i="6"/>
  <c r="P38" i="6"/>
  <c r="P30" i="6"/>
  <c r="P534" i="6" s="1"/>
  <c r="P22" i="6"/>
  <c r="P524" i="6"/>
  <c r="P516" i="6"/>
  <c r="P508" i="6"/>
  <c r="P500" i="6"/>
  <c r="P492" i="6"/>
  <c r="P484" i="6"/>
  <c r="P476" i="6"/>
  <c r="P468" i="6"/>
  <c r="P460" i="6"/>
  <c r="P452" i="6"/>
  <c r="P444" i="6"/>
  <c r="P436" i="6"/>
  <c r="P428" i="6"/>
  <c r="P514" i="6"/>
  <c r="P506" i="6"/>
  <c r="P498" i="6"/>
  <c r="P490" i="6"/>
  <c r="P482" i="6"/>
  <c r="P474" i="6"/>
  <c r="P466" i="6"/>
  <c r="P458" i="6"/>
  <c r="P450" i="6"/>
  <c r="P442" i="6"/>
  <c r="P434" i="6"/>
  <c r="P426" i="6"/>
  <c r="P418" i="6"/>
  <c r="P410" i="6"/>
  <c r="P402" i="6"/>
  <c r="P394" i="6"/>
  <c r="P386" i="6"/>
  <c r="P378" i="6"/>
  <c r="P370" i="6"/>
  <c r="P362" i="6"/>
  <c r="P354" i="6"/>
  <c r="P346" i="6"/>
  <c r="P338" i="6"/>
  <c r="P330" i="6"/>
  <c r="P314" i="6"/>
  <c r="P525" i="6"/>
  <c r="P517" i="6"/>
  <c r="P523" i="6"/>
  <c r="P522" i="6"/>
  <c r="P528" i="6"/>
  <c r="P520" i="6"/>
  <c r="P512" i="6"/>
  <c r="P504" i="6"/>
  <c r="P496" i="6"/>
  <c r="P488" i="6"/>
  <c r="P480" i="6"/>
  <c r="P472" i="6"/>
  <c r="P464" i="6"/>
  <c r="P456" i="6"/>
  <c r="P448" i="6"/>
  <c r="P440" i="6"/>
  <c r="P432" i="6"/>
  <c r="P424" i="6"/>
  <c r="P416" i="6"/>
  <c r="P408" i="6"/>
  <c r="P400" i="6"/>
  <c r="P392" i="6"/>
  <c r="P384" i="6"/>
  <c r="P376" i="6"/>
  <c r="P368" i="6"/>
  <c r="P360" i="6"/>
  <c r="P352" i="6"/>
  <c r="P344" i="6"/>
  <c r="P336" i="6"/>
  <c r="P328" i="6"/>
  <c r="P320" i="6"/>
  <c r="P312" i="6"/>
  <c r="P304" i="6"/>
  <c r="P503" i="5"/>
  <c r="P487" i="5"/>
  <c r="P471" i="5"/>
  <c r="P455" i="5"/>
  <c r="P439" i="5"/>
  <c r="P431" i="5"/>
  <c r="P415" i="5"/>
  <c r="P399" i="5"/>
  <c r="P383" i="5"/>
  <c r="P375" i="5"/>
  <c r="P511" i="5"/>
  <c r="P495" i="5"/>
  <c r="P479" i="5"/>
  <c r="P463" i="5"/>
  <c r="P447" i="5"/>
  <c r="P423" i="5"/>
  <c r="P407" i="5"/>
  <c r="P391" i="5"/>
  <c r="P367" i="5"/>
  <c r="P515" i="5"/>
  <c r="P507" i="5"/>
  <c r="P499" i="5"/>
  <c r="P491" i="5"/>
  <c r="P483" i="5"/>
  <c r="P475" i="5"/>
  <c r="P467" i="5"/>
  <c r="P459" i="5"/>
  <c r="P451" i="5"/>
  <c r="P443" i="5"/>
  <c r="P435" i="5"/>
  <c r="P427" i="5"/>
  <c r="P419" i="5"/>
  <c r="P411" i="5"/>
  <c r="P403" i="5"/>
  <c r="P395" i="5"/>
  <c r="P387" i="5"/>
  <c r="P528" i="5"/>
  <c r="P512" i="5"/>
  <c r="P496" i="5"/>
  <c r="P480" i="5"/>
  <c r="P464" i="5"/>
  <c r="P448" i="5"/>
  <c r="P432" i="5"/>
  <c r="P416" i="5"/>
  <c r="P400" i="5"/>
  <c r="P384" i="5"/>
  <c r="P368" i="5"/>
  <c r="P352" i="5"/>
  <c r="P336" i="5"/>
  <c r="P320" i="5"/>
  <c r="P304" i="5"/>
  <c r="P288" i="5"/>
  <c r="P272" i="5"/>
  <c r="P256" i="5"/>
  <c r="P240" i="5"/>
  <c r="P216" i="5"/>
  <c r="P200" i="5"/>
  <c r="P184" i="5"/>
  <c r="P168" i="5"/>
  <c r="P520" i="5"/>
  <c r="P504" i="5"/>
  <c r="P488" i="5"/>
  <c r="P472" i="5"/>
  <c r="P456" i="5"/>
  <c r="P440" i="5"/>
  <c r="P424" i="5"/>
  <c r="P408" i="5"/>
  <c r="P392" i="5"/>
  <c r="P376" i="5"/>
  <c r="P360" i="5"/>
  <c r="P344" i="5"/>
  <c r="P328" i="5"/>
  <c r="P312" i="5"/>
  <c r="P296" i="5"/>
  <c r="P280" i="5"/>
  <c r="P264" i="5"/>
  <c r="P248" i="5"/>
  <c r="P232" i="5"/>
  <c r="P224" i="5"/>
  <c r="P208" i="5"/>
  <c r="P192" i="5"/>
  <c r="P176" i="5"/>
  <c r="P527" i="5"/>
  <c r="P519" i="5"/>
  <c r="P525" i="5"/>
  <c r="P517" i="5"/>
  <c r="P509" i="5"/>
  <c r="P501" i="5"/>
  <c r="P522" i="5"/>
  <c r="P514" i="5"/>
  <c r="P506" i="5"/>
  <c r="P498" i="5"/>
  <c r="P490" i="5"/>
  <c r="P482" i="5"/>
  <c r="P474" i="5"/>
  <c r="P466" i="5"/>
  <c r="P458" i="5"/>
  <c r="P526" i="5"/>
  <c r="P518" i="5"/>
  <c r="P510" i="5"/>
  <c r="P502" i="5"/>
  <c r="P494" i="5"/>
  <c r="P486" i="5"/>
  <c r="P478" i="5"/>
  <c r="P470" i="5"/>
  <c r="P462" i="5"/>
  <c r="P454" i="5"/>
  <c r="P438" i="5"/>
  <c r="P430" i="5"/>
  <c r="P422" i="5"/>
  <c r="P414" i="5"/>
  <c r="P406" i="5"/>
  <c r="P398" i="5"/>
  <c r="P390" i="5"/>
  <c r="P382" i="5"/>
  <c r="P374" i="5"/>
  <c r="P366" i="5"/>
  <c r="P358" i="5"/>
  <c r="P350" i="5"/>
  <c r="P342" i="5"/>
  <c r="P334" i="5"/>
  <c r="P326" i="5"/>
  <c r="P318" i="5"/>
  <c r="P310" i="5"/>
  <c r="P446" i="5"/>
  <c r="P523" i="5"/>
  <c r="P520" i="4"/>
  <c r="P504" i="4"/>
  <c r="P488" i="4"/>
  <c r="P472" i="4"/>
  <c r="P448" i="4"/>
  <c r="P432" i="4"/>
  <c r="P416" i="4"/>
  <c r="P384" i="4"/>
  <c r="P528" i="4"/>
  <c r="P512" i="4"/>
  <c r="P496" i="4"/>
  <c r="P480" i="4"/>
  <c r="P464" i="4"/>
  <c r="P456" i="4"/>
  <c r="P440" i="4"/>
  <c r="P424" i="4"/>
  <c r="P408" i="4"/>
  <c r="P400" i="4"/>
  <c r="P392" i="4"/>
  <c r="P376" i="4"/>
  <c r="P368" i="4"/>
  <c r="P360" i="4"/>
  <c r="P352" i="4"/>
  <c r="P344" i="4"/>
  <c r="P336" i="4"/>
  <c r="P328" i="4"/>
  <c r="P320" i="4"/>
  <c r="P312" i="4"/>
  <c r="P304" i="4"/>
  <c r="P296" i="4"/>
  <c r="P288" i="4"/>
  <c r="P280" i="4"/>
  <c r="P272" i="4"/>
  <c r="P264" i="4"/>
  <c r="P256" i="4"/>
  <c r="P248" i="4"/>
  <c r="P240" i="4"/>
  <c r="P232" i="4"/>
  <c r="P224" i="4"/>
  <c r="P216" i="4"/>
  <c r="P208" i="4"/>
  <c r="P200" i="4"/>
  <c r="P192" i="4"/>
  <c r="P184" i="4"/>
  <c r="P176" i="4"/>
  <c r="P168" i="4"/>
  <c r="P160" i="4"/>
  <c r="P152" i="4"/>
  <c r="P144" i="4"/>
  <c r="P136" i="4"/>
  <c r="P128" i="4"/>
  <c r="P120" i="4"/>
  <c r="P112" i="4"/>
  <c r="P104" i="4"/>
  <c r="P96" i="4"/>
  <c r="P88" i="4"/>
  <c r="P80" i="4"/>
  <c r="P72" i="4"/>
  <c r="P64" i="4"/>
  <c r="P56" i="4"/>
  <c r="P48" i="4"/>
  <c r="P40" i="4"/>
  <c r="P32" i="4"/>
  <c r="P24" i="4"/>
  <c r="P527" i="4"/>
  <c r="P519" i="4"/>
  <c r="P511" i="4"/>
  <c r="P503" i="4"/>
  <c r="P495" i="4"/>
  <c r="P487" i="4"/>
  <c r="P479" i="4"/>
  <c r="P471" i="4"/>
  <c r="P463" i="4"/>
  <c r="P455" i="4"/>
  <c r="P447" i="4"/>
  <c r="P439" i="4"/>
  <c r="P431" i="4"/>
  <c r="P423" i="4"/>
  <c r="P415" i="4"/>
  <c r="P407" i="4"/>
  <c r="P399" i="4"/>
  <c r="P391" i="4"/>
  <c r="P383" i="4"/>
  <c r="P375" i="4"/>
  <c r="P367" i="4"/>
  <c r="P359" i="4"/>
  <c r="P351" i="4"/>
  <c r="P343" i="4"/>
  <c r="P335" i="4"/>
  <c r="P327" i="4"/>
  <c r="P319" i="4"/>
  <c r="P311" i="4"/>
  <c r="P303" i="4"/>
  <c r="P295" i="4"/>
  <c r="P287" i="4"/>
  <c r="P279" i="4"/>
  <c r="P271" i="4"/>
  <c r="P263" i="4"/>
  <c r="P255" i="4"/>
  <c r="P247" i="4"/>
  <c r="P239" i="4"/>
  <c r="P231" i="4"/>
  <c r="P223" i="4"/>
  <c r="P215" i="4"/>
  <c r="P207" i="4"/>
  <c r="P524" i="4"/>
  <c r="P516" i="4"/>
  <c r="P508" i="4"/>
  <c r="P500" i="4"/>
  <c r="P492" i="4"/>
  <c r="P484" i="4"/>
  <c r="P476" i="4"/>
  <c r="P468" i="4"/>
  <c r="P460" i="4"/>
  <c r="P452" i="4"/>
  <c r="P444" i="4"/>
  <c r="P526" i="4"/>
  <c r="P518" i="4"/>
  <c r="P510" i="4"/>
  <c r="P502" i="4"/>
  <c r="P494" i="4"/>
  <c r="P486" i="4"/>
  <c r="P478" i="4"/>
  <c r="P470" i="4"/>
  <c r="P462" i="4"/>
  <c r="P454" i="4"/>
  <c r="P446" i="4"/>
  <c r="P438" i="4"/>
  <c r="P430" i="4"/>
  <c r="P422" i="4"/>
  <c r="P414" i="4"/>
  <c r="P406" i="4"/>
  <c r="P398" i="4"/>
  <c r="P390" i="4"/>
  <c r="P382" i="4"/>
  <c r="P374" i="4"/>
  <c r="P366" i="4"/>
  <c r="P358" i="4"/>
  <c r="P350" i="4"/>
  <c r="P342" i="4"/>
  <c r="P334" i="4"/>
  <c r="P326" i="4"/>
  <c r="P318" i="4"/>
  <c r="P310" i="4"/>
  <c r="P302" i="4"/>
  <c r="P294" i="4"/>
  <c r="P523" i="4"/>
  <c r="P16" i="4"/>
  <c r="P22" i="1"/>
  <c r="O536" i="5"/>
  <c r="O535" i="4"/>
  <c r="O534" i="6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65" i="8"/>
  <c r="A66" i="8"/>
  <c r="A67" i="8"/>
  <c r="A68" i="8"/>
  <c r="A69" i="8"/>
  <c r="A70" i="8"/>
  <c r="A71" i="8"/>
  <c r="A72" i="8"/>
  <c r="A73" i="8"/>
  <c r="A74" i="8"/>
  <c r="A75" i="8"/>
  <c r="A76" i="8"/>
  <c r="A77" i="8"/>
  <c r="A78" i="8"/>
  <c r="A79" i="8"/>
  <c r="A80" i="8"/>
  <c r="A81" i="8"/>
  <c r="A82" i="8"/>
  <c r="A83" i="8"/>
  <c r="A84" i="8"/>
  <c r="A85" i="8"/>
  <c r="A86" i="8"/>
  <c r="A87" i="8"/>
  <c r="A88" i="8"/>
  <c r="A89" i="8"/>
  <c r="A90" i="8"/>
  <c r="A91" i="8"/>
  <c r="A92" i="8"/>
  <c r="A93" i="8"/>
  <c r="A94" i="8"/>
  <c r="A95" i="8"/>
  <c r="A96" i="8"/>
  <c r="A97" i="8"/>
  <c r="A98" i="8"/>
  <c r="A99" i="8"/>
  <c r="A100" i="8"/>
  <c r="A101" i="8"/>
  <c r="A102" i="8"/>
  <c r="A103" i="8"/>
  <c r="A104" i="8"/>
  <c r="A105" i="8"/>
  <c r="A106" i="8"/>
  <c r="A107" i="8"/>
  <c r="A108" i="8"/>
  <c r="A109" i="8"/>
  <c r="A110" i="8"/>
  <c r="A111" i="8"/>
  <c r="A112" i="8"/>
  <c r="A113" i="8"/>
  <c r="A114" i="8"/>
  <c r="A115" i="8"/>
  <c r="A116" i="8"/>
  <c r="A117" i="8"/>
  <c r="A118" i="8"/>
  <c r="A119" i="8"/>
  <c r="A120" i="8"/>
  <c r="A121" i="8"/>
  <c r="A122" i="8"/>
  <c r="A123" i="8"/>
  <c r="A124" i="8"/>
  <c r="A125" i="8"/>
  <c r="A126" i="8"/>
  <c r="A127" i="8"/>
  <c r="A128" i="8"/>
  <c r="A129" i="8"/>
  <c r="A130" i="8"/>
  <c r="A131" i="8"/>
  <c r="A132" i="8"/>
  <c r="A133" i="8"/>
  <c r="A134" i="8"/>
  <c r="A135" i="8"/>
  <c r="A136" i="8"/>
  <c r="A137" i="8"/>
  <c r="A138" i="8"/>
  <c r="A139" i="8"/>
  <c r="A140" i="8"/>
  <c r="A141" i="8"/>
  <c r="A142" i="8"/>
  <c r="A143" i="8"/>
  <c r="A144" i="8"/>
  <c r="A145" i="8"/>
  <c r="A146" i="8"/>
  <c r="A147" i="8"/>
  <c r="A148" i="8"/>
  <c r="A149" i="8"/>
  <c r="A150" i="8"/>
  <c r="A151" i="8"/>
  <c r="A152" i="8"/>
  <c r="A153" i="8"/>
  <c r="A154" i="8"/>
  <c r="A155" i="8"/>
  <c r="A156" i="8"/>
  <c r="A157" i="8"/>
  <c r="A158" i="8"/>
  <c r="A159" i="8"/>
  <c r="A160" i="8"/>
  <c r="A161" i="8"/>
  <c r="A162" i="8"/>
  <c r="A163" i="8"/>
  <c r="A164" i="8"/>
  <c r="A165" i="8"/>
  <c r="A166" i="8"/>
  <c r="A167" i="8"/>
  <c r="A168" i="8"/>
  <c r="A169" i="8"/>
  <c r="A170" i="8"/>
  <c r="A171" i="8"/>
  <c r="A172" i="8"/>
  <c r="A173" i="8"/>
  <c r="A174" i="8"/>
  <c r="A175" i="8"/>
  <c r="A176" i="8"/>
  <c r="A177" i="8"/>
  <c r="A178" i="8"/>
  <c r="A179" i="8"/>
  <c r="A180" i="8"/>
  <c r="A181" i="8"/>
  <c r="A182" i="8"/>
  <c r="A183" i="8"/>
  <c r="A184" i="8"/>
  <c r="A185" i="8"/>
  <c r="A186" i="8"/>
  <c r="A187" i="8"/>
  <c r="A188" i="8"/>
  <c r="A189" i="8"/>
  <c r="A190" i="8"/>
  <c r="A191" i="8"/>
  <c r="A192" i="8"/>
  <c r="A193" i="8"/>
  <c r="A194" i="8"/>
  <c r="A195" i="8"/>
  <c r="A196" i="8"/>
  <c r="A197" i="8"/>
  <c r="A198" i="8"/>
  <c r="A199" i="8"/>
  <c r="A200" i="8"/>
  <c r="A201" i="8"/>
  <c r="A202" i="8"/>
  <c r="A203" i="8"/>
  <c r="A204" i="8"/>
  <c r="A205" i="8"/>
  <c r="A206" i="8"/>
  <c r="A207" i="8"/>
  <c r="A208" i="8"/>
  <c r="A209" i="8"/>
  <c r="A210" i="8"/>
  <c r="A211" i="8"/>
  <c r="A212" i="8"/>
  <c r="A213" i="8"/>
  <c r="A214" i="8"/>
  <c r="A215" i="8"/>
  <c r="A216" i="8"/>
  <c r="A217" i="8"/>
  <c r="A218" i="8"/>
  <c r="A219" i="8"/>
  <c r="A220" i="8"/>
  <c r="A221" i="8"/>
  <c r="A222" i="8"/>
  <c r="A223" i="8"/>
  <c r="A224" i="8"/>
  <c r="A225" i="8"/>
  <c r="A226" i="8"/>
  <c r="A227" i="8"/>
  <c r="A228" i="8"/>
  <c r="A229" i="8"/>
  <c r="A230" i="8"/>
  <c r="A231" i="8"/>
  <c r="A232" i="8"/>
  <c r="A233" i="8"/>
  <c r="A234" i="8"/>
  <c r="A235" i="8"/>
  <c r="A236" i="8"/>
  <c r="A237" i="8"/>
  <c r="A238" i="8"/>
  <c r="A239" i="8"/>
  <c r="A240" i="8"/>
  <c r="A241" i="8"/>
  <c r="A242" i="8"/>
  <c r="A243" i="8"/>
  <c r="A244" i="8"/>
  <c r="A245" i="8"/>
  <c r="A246" i="8"/>
  <c r="A247" i="8"/>
  <c r="A248" i="8"/>
  <c r="A249" i="8"/>
  <c r="A250" i="8"/>
  <c r="A251" i="8"/>
  <c r="A252" i="8"/>
  <c r="A253" i="8"/>
  <c r="A254" i="8"/>
  <c r="A255" i="8"/>
  <c r="A256" i="8"/>
  <c r="A257" i="8"/>
  <c r="A258" i="8"/>
  <c r="A259" i="8"/>
  <c r="A260" i="8"/>
  <c r="A261" i="8"/>
  <c r="A262" i="8"/>
  <c r="A263" i="8"/>
  <c r="A264" i="8"/>
  <c r="A265" i="8"/>
  <c r="A266" i="8"/>
  <c r="A267" i="8"/>
  <c r="A268" i="8"/>
  <c r="A269" i="8"/>
  <c r="A270" i="8"/>
  <c r="A271" i="8"/>
  <c r="A272" i="8"/>
  <c r="A273" i="8"/>
  <c r="A274" i="8"/>
  <c r="A275" i="8"/>
  <c r="A276" i="8"/>
  <c r="A277" i="8"/>
  <c r="A278" i="8"/>
  <c r="A279" i="8"/>
  <c r="A280" i="8"/>
  <c r="A281" i="8"/>
  <c r="A282" i="8"/>
  <c r="A283" i="8"/>
  <c r="A284" i="8"/>
  <c r="A285" i="8"/>
  <c r="A286" i="8"/>
  <c r="A287" i="8"/>
  <c r="A288" i="8"/>
  <c r="A289" i="8"/>
  <c r="A290" i="8"/>
  <c r="A291" i="8"/>
  <c r="A292" i="8"/>
  <c r="A293" i="8"/>
  <c r="A294" i="8"/>
  <c r="A295" i="8"/>
  <c r="A296" i="8"/>
  <c r="A297" i="8"/>
  <c r="A298" i="8"/>
  <c r="A299" i="8"/>
  <c r="A300" i="8"/>
  <c r="A301" i="8"/>
  <c r="A302" i="8"/>
  <c r="A303" i="8"/>
  <c r="A304" i="8"/>
  <c r="A305" i="8"/>
  <c r="A306" i="8"/>
  <c r="A307" i="8"/>
  <c r="A308" i="8"/>
  <c r="A309" i="8"/>
  <c r="A310" i="8"/>
  <c r="A311" i="8"/>
  <c r="A312" i="8"/>
  <c r="A313" i="8"/>
  <c r="A314" i="8"/>
  <c r="A315" i="8"/>
  <c r="A316" i="8"/>
  <c r="A317" i="8"/>
  <c r="A318" i="8"/>
  <c r="A319" i="8"/>
  <c r="A320" i="8"/>
  <c r="A321" i="8"/>
  <c r="A322" i="8"/>
  <c r="A323" i="8"/>
  <c r="A324" i="8"/>
  <c r="A325" i="8"/>
  <c r="A326" i="8"/>
  <c r="A327" i="8"/>
  <c r="A328" i="8"/>
  <c r="A329" i="8"/>
  <c r="A330" i="8"/>
  <c r="A331" i="8"/>
  <c r="A332" i="8"/>
  <c r="A333" i="8"/>
  <c r="A334" i="8"/>
  <c r="A335" i="8"/>
  <c r="A336" i="8"/>
  <c r="A337" i="8"/>
  <c r="A338" i="8"/>
  <c r="A339" i="8"/>
  <c r="A340" i="8"/>
  <c r="A341" i="8"/>
  <c r="A342" i="8"/>
  <c r="A343" i="8"/>
  <c r="A344" i="8"/>
  <c r="A345" i="8"/>
  <c r="A346" i="8"/>
  <c r="A347" i="8"/>
  <c r="A16" i="8"/>
  <c r="G5" i="6" l="1"/>
  <c r="G5" i="1"/>
  <c r="G5" i="4"/>
  <c r="P535" i="4"/>
  <c r="Q16" i="8"/>
  <c r="S16" i="8" s="1"/>
  <c r="R16" i="8"/>
  <c r="T16" i="8" s="1"/>
  <c r="Q332" i="8"/>
  <c r="S332" i="8" s="1"/>
  <c r="R332" i="8"/>
  <c r="T332" i="8" s="1"/>
  <c r="R320" i="8"/>
  <c r="T320" i="8" s="1"/>
  <c r="Q320" i="8"/>
  <c r="S320" i="8" s="1"/>
  <c r="Q312" i="8"/>
  <c r="S312" i="8" s="1"/>
  <c r="R312" i="8"/>
  <c r="T312" i="8" s="1"/>
  <c r="Q296" i="8"/>
  <c r="S296" i="8" s="1"/>
  <c r="R296" i="8"/>
  <c r="T296" i="8" s="1"/>
  <c r="Q284" i="8"/>
  <c r="S284" i="8" s="1"/>
  <c r="R284" i="8"/>
  <c r="T284" i="8" s="1"/>
  <c r="Q276" i="8"/>
  <c r="S276" i="8" s="1"/>
  <c r="R276" i="8"/>
  <c r="T276" i="8" s="1"/>
  <c r="Q264" i="8"/>
  <c r="S264" i="8" s="1"/>
  <c r="R264" i="8"/>
  <c r="T264" i="8" s="1"/>
  <c r="R256" i="8"/>
  <c r="T256" i="8" s="1"/>
  <c r="Q256" i="8"/>
  <c r="S256" i="8" s="1"/>
  <c r="Q244" i="8"/>
  <c r="S244" i="8" s="1"/>
  <c r="R244" i="8"/>
  <c r="T244" i="8" s="1"/>
  <c r="Q232" i="8"/>
  <c r="S232" i="8" s="1"/>
  <c r="R232" i="8"/>
  <c r="T232" i="8" s="1"/>
  <c r="Q220" i="8"/>
  <c r="S220" i="8" s="1"/>
  <c r="R220" i="8"/>
  <c r="T220" i="8" s="1"/>
  <c r="Q204" i="8"/>
  <c r="S204" i="8" s="1"/>
  <c r="R204" i="8"/>
  <c r="T204" i="8" s="1"/>
  <c r="Q192" i="8"/>
  <c r="S192" i="8" s="1"/>
  <c r="R192" i="8"/>
  <c r="T192" i="8" s="1"/>
  <c r="Q184" i="8"/>
  <c r="S184" i="8" s="1"/>
  <c r="R184" i="8"/>
  <c r="T184" i="8" s="1"/>
  <c r="Q168" i="8"/>
  <c r="S168" i="8" s="1"/>
  <c r="R168" i="8"/>
  <c r="T168" i="8" s="1"/>
  <c r="Q160" i="8"/>
  <c r="S160" i="8" s="1"/>
  <c r="R160" i="8"/>
  <c r="T160" i="8" s="1"/>
  <c r="Q144" i="8"/>
  <c r="S144" i="8" s="1"/>
  <c r="R144" i="8"/>
  <c r="T144" i="8" s="1"/>
  <c r="Q136" i="8"/>
  <c r="S136" i="8" s="1"/>
  <c r="R136" i="8"/>
  <c r="T136" i="8" s="1"/>
  <c r="Q120" i="8"/>
  <c r="S120" i="8" s="1"/>
  <c r="R120" i="8"/>
  <c r="T120" i="8" s="1"/>
  <c r="Q112" i="8"/>
  <c r="S112" i="8" s="1"/>
  <c r="R112" i="8"/>
  <c r="T112" i="8" s="1"/>
  <c r="Q100" i="8"/>
  <c r="S100" i="8" s="1"/>
  <c r="R100" i="8"/>
  <c r="T100" i="8" s="1"/>
  <c r="Q88" i="8"/>
  <c r="S88" i="8" s="1"/>
  <c r="R88" i="8"/>
  <c r="T88" i="8" s="1"/>
  <c r="Q80" i="8"/>
  <c r="S80" i="8" s="1"/>
  <c r="R80" i="8"/>
  <c r="T80" i="8" s="1"/>
  <c r="Q68" i="8"/>
  <c r="S68" i="8" s="1"/>
  <c r="R68" i="8"/>
  <c r="T68" i="8" s="1"/>
  <c r="Q52" i="8"/>
  <c r="S52" i="8" s="1"/>
  <c r="R52" i="8"/>
  <c r="T52" i="8" s="1"/>
  <c r="Q44" i="8"/>
  <c r="S44" i="8" s="1"/>
  <c r="R44" i="8"/>
  <c r="T44" i="8" s="1"/>
  <c r="Q24" i="8"/>
  <c r="S24" i="8" s="1"/>
  <c r="R24" i="8"/>
  <c r="T24" i="8" s="1"/>
  <c r="Q347" i="8"/>
  <c r="S347" i="8" s="1"/>
  <c r="R347" i="8"/>
  <c r="T347" i="8" s="1"/>
  <c r="Q343" i="8"/>
  <c r="S343" i="8" s="1"/>
  <c r="R343" i="8"/>
  <c r="T343" i="8" s="1"/>
  <c r="Q339" i="8"/>
  <c r="S339" i="8" s="1"/>
  <c r="R339" i="8"/>
  <c r="T339" i="8" s="1"/>
  <c r="Q335" i="8"/>
  <c r="S335" i="8" s="1"/>
  <c r="R335" i="8"/>
  <c r="T335" i="8" s="1"/>
  <c r="Q331" i="8"/>
  <c r="S331" i="8" s="1"/>
  <c r="R331" i="8"/>
  <c r="T331" i="8" s="1"/>
  <c r="Q327" i="8"/>
  <c r="S327" i="8" s="1"/>
  <c r="R327" i="8"/>
  <c r="T327" i="8" s="1"/>
  <c r="Q323" i="8"/>
  <c r="S323" i="8" s="1"/>
  <c r="R323" i="8"/>
  <c r="T323" i="8" s="1"/>
  <c r="Q319" i="8"/>
  <c r="S319" i="8" s="1"/>
  <c r="R319" i="8"/>
  <c r="T319" i="8" s="1"/>
  <c r="Q315" i="8"/>
  <c r="S315" i="8" s="1"/>
  <c r="R315" i="8"/>
  <c r="T315" i="8" s="1"/>
  <c r="Q311" i="8"/>
  <c r="S311" i="8" s="1"/>
  <c r="R311" i="8"/>
  <c r="T311" i="8" s="1"/>
  <c r="Q307" i="8"/>
  <c r="S307" i="8" s="1"/>
  <c r="R307" i="8"/>
  <c r="T307" i="8" s="1"/>
  <c r="Q303" i="8"/>
  <c r="S303" i="8" s="1"/>
  <c r="R303" i="8"/>
  <c r="T303" i="8" s="1"/>
  <c r="Q299" i="8"/>
  <c r="S299" i="8" s="1"/>
  <c r="R299" i="8"/>
  <c r="T299" i="8" s="1"/>
  <c r="Q295" i="8"/>
  <c r="S295" i="8" s="1"/>
  <c r="R295" i="8"/>
  <c r="T295" i="8" s="1"/>
  <c r="Q291" i="8"/>
  <c r="S291" i="8" s="1"/>
  <c r="R291" i="8"/>
  <c r="T291" i="8" s="1"/>
  <c r="Q287" i="8"/>
  <c r="S287" i="8" s="1"/>
  <c r="R287" i="8"/>
  <c r="T287" i="8" s="1"/>
  <c r="Q283" i="8"/>
  <c r="S283" i="8" s="1"/>
  <c r="R283" i="8"/>
  <c r="T283" i="8" s="1"/>
  <c r="Q279" i="8"/>
  <c r="S279" i="8" s="1"/>
  <c r="R279" i="8"/>
  <c r="T279" i="8" s="1"/>
  <c r="Q275" i="8"/>
  <c r="S275" i="8" s="1"/>
  <c r="R275" i="8"/>
  <c r="T275" i="8" s="1"/>
  <c r="Q271" i="8"/>
  <c r="S271" i="8" s="1"/>
  <c r="R271" i="8"/>
  <c r="T271" i="8" s="1"/>
  <c r="Q267" i="8"/>
  <c r="S267" i="8" s="1"/>
  <c r="R267" i="8"/>
  <c r="T267" i="8" s="1"/>
  <c r="Q263" i="8"/>
  <c r="S263" i="8" s="1"/>
  <c r="R263" i="8"/>
  <c r="T263" i="8" s="1"/>
  <c r="Q259" i="8"/>
  <c r="S259" i="8" s="1"/>
  <c r="R259" i="8"/>
  <c r="T259" i="8" s="1"/>
  <c r="Q255" i="8"/>
  <c r="S255" i="8" s="1"/>
  <c r="R255" i="8"/>
  <c r="T255" i="8" s="1"/>
  <c r="Q251" i="8"/>
  <c r="S251" i="8" s="1"/>
  <c r="R251" i="8"/>
  <c r="T251" i="8" s="1"/>
  <c r="Q247" i="8"/>
  <c r="S247" i="8" s="1"/>
  <c r="R247" i="8"/>
  <c r="T247" i="8" s="1"/>
  <c r="Q243" i="8"/>
  <c r="S243" i="8" s="1"/>
  <c r="R243" i="8"/>
  <c r="T243" i="8" s="1"/>
  <c r="Q239" i="8"/>
  <c r="S239" i="8" s="1"/>
  <c r="R239" i="8"/>
  <c r="T239" i="8" s="1"/>
  <c r="Q235" i="8"/>
  <c r="S235" i="8" s="1"/>
  <c r="R235" i="8"/>
  <c r="T235" i="8" s="1"/>
  <c r="Q231" i="8"/>
  <c r="S231" i="8" s="1"/>
  <c r="R231" i="8"/>
  <c r="T231" i="8" s="1"/>
  <c r="Q227" i="8"/>
  <c r="S227" i="8" s="1"/>
  <c r="R227" i="8"/>
  <c r="T227" i="8" s="1"/>
  <c r="Q223" i="8"/>
  <c r="S223" i="8" s="1"/>
  <c r="R223" i="8"/>
  <c r="T223" i="8" s="1"/>
  <c r="Q219" i="8"/>
  <c r="S219" i="8" s="1"/>
  <c r="R219" i="8"/>
  <c r="T219" i="8" s="1"/>
  <c r="Q215" i="8"/>
  <c r="S215" i="8" s="1"/>
  <c r="R215" i="8"/>
  <c r="T215" i="8" s="1"/>
  <c r="Q211" i="8"/>
  <c r="S211" i="8" s="1"/>
  <c r="R211" i="8"/>
  <c r="T211" i="8" s="1"/>
  <c r="R207" i="8"/>
  <c r="T207" i="8" s="1"/>
  <c r="Q207" i="8"/>
  <c r="S207" i="8" s="1"/>
  <c r="R203" i="8"/>
  <c r="T203" i="8" s="1"/>
  <c r="Q203" i="8"/>
  <c r="S203" i="8" s="1"/>
  <c r="Q199" i="8"/>
  <c r="S199" i="8" s="1"/>
  <c r="R199" i="8"/>
  <c r="T199" i="8" s="1"/>
  <c r="Q195" i="8"/>
  <c r="S195" i="8" s="1"/>
  <c r="R195" i="8"/>
  <c r="T195" i="8" s="1"/>
  <c r="R191" i="8"/>
  <c r="T191" i="8" s="1"/>
  <c r="Q191" i="8"/>
  <c r="S191" i="8" s="1"/>
  <c r="R187" i="8"/>
  <c r="T187" i="8" s="1"/>
  <c r="Q187" i="8"/>
  <c r="S187" i="8" s="1"/>
  <c r="Q183" i="8"/>
  <c r="S183" i="8" s="1"/>
  <c r="R183" i="8"/>
  <c r="T183" i="8" s="1"/>
  <c r="Q179" i="8"/>
  <c r="S179" i="8" s="1"/>
  <c r="R179" i="8"/>
  <c r="T179" i="8" s="1"/>
  <c r="R175" i="8"/>
  <c r="T175" i="8" s="1"/>
  <c r="Q175" i="8"/>
  <c r="S175" i="8" s="1"/>
  <c r="R171" i="8"/>
  <c r="T171" i="8" s="1"/>
  <c r="Q171" i="8"/>
  <c r="S171" i="8" s="1"/>
  <c r="Q167" i="8"/>
  <c r="S167" i="8" s="1"/>
  <c r="R167" i="8"/>
  <c r="T167" i="8" s="1"/>
  <c r="Q163" i="8"/>
  <c r="S163" i="8" s="1"/>
  <c r="R163" i="8"/>
  <c r="T163" i="8" s="1"/>
  <c r="R159" i="8"/>
  <c r="T159" i="8" s="1"/>
  <c r="Q159" i="8"/>
  <c r="S159" i="8" s="1"/>
  <c r="R155" i="8"/>
  <c r="T155" i="8" s="1"/>
  <c r="Q155" i="8"/>
  <c r="S155" i="8" s="1"/>
  <c r="Q151" i="8"/>
  <c r="S151" i="8" s="1"/>
  <c r="R151" i="8"/>
  <c r="T151" i="8" s="1"/>
  <c r="Q147" i="8"/>
  <c r="S147" i="8" s="1"/>
  <c r="R147" i="8"/>
  <c r="T147" i="8" s="1"/>
  <c r="R143" i="8"/>
  <c r="T143" i="8" s="1"/>
  <c r="Q143" i="8"/>
  <c r="S143" i="8" s="1"/>
  <c r="R139" i="8"/>
  <c r="T139" i="8" s="1"/>
  <c r="Q139" i="8"/>
  <c r="S139" i="8" s="1"/>
  <c r="Q135" i="8"/>
  <c r="S135" i="8" s="1"/>
  <c r="R135" i="8"/>
  <c r="T135" i="8" s="1"/>
  <c r="Q131" i="8"/>
  <c r="S131" i="8" s="1"/>
  <c r="R131" i="8"/>
  <c r="T131" i="8" s="1"/>
  <c r="R127" i="8"/>
  <c r="T127" i="8" s="1"/>
  <c r="Q127" i="8"/>
  <c r="S127" i="8" s="1"/>
  <c r="R123" i="8"/>
  <c r="T123" i="8" s="1"/>
  <c r="Q123" i="8"/>
  <c r="S123" i="8" s="1"/>
  <c r="Q119" i="8"/>
  <c r="S119" i="8" s="1"/>
  <c r="R119" i="8"/>
  <c r="T119" i="8" s="1"/>
  <c r="Q115" i="8"/>
  <c r="S115" i="8" s="1"/>
  <c r="R115" i="8"/>
  <c r="T115" i="8" s="1"/>
  <c r="R111" i="8"/>
  <c r="T111" i="8" s="1"/>
  <c r="Q111" i="8"/>
  <c r="S111" i="8" s="1"/>
  <c r="R107" i="8"/>
  <c r="T107" i="8" s="1"/>
  <c r="Q107" i="8"/>
  <c r="S107" i="8" s="1"/>
  <c r="Q103" i="8"/>
  <c r="S103" i="8" s="1"/>
  <c r="R103" i="8"/>
  <c r="T103" i="8" s="1"/>
  <c r="Q99" i="8"/>
  <c r="S99" i="8" s="1"/>
  <c r="R99" i="8"/>
  <c r="T99" i="8" s="1"/>
  <c r="R95" i="8"/>
  <c r="T95" i="8" s="1"/>
  <c r="Q95" i="8"/>
  <c r="S95" i="8" s="1"/>
  <c r="R91" i="8"/>
  <c r="T91" i="8" s="1"/>
  <c r="Q91" i="8"/>
  <c r="S91" i="8" s="1"/>
  <c r="Q87" i="8"/>
  <c r="S87" i="8" s="1"/>
  <c r="R87" i="8"/>
  <c r="T87" i="8" s="1"/>
  <c r="Q83" i="8"/>
  <c r="S83" i="8" s="1"/>
  <c r="R83" i="8"/>
  <c r="T83" i="8" s="1"/>
  <c r="R79" i="8"/>
  <c r="T79" i="8" s="1"/>
  <c r="Q79" i="8"/>
  <c r="S79" i="8" s="1"/>
  <c r="R75" i="8"/>
  <c r="T75" i="8" s="1"/>
  <c r="Q75" i="8"/>
  <c r="S75" i="8" s="1"/>
  <c r="Q71" i="8"/>
  <c r="S71" i="8" s="1"/>
  <c r="R71" i="8"/>
  <c r="T71" i="8" s="1"/>
  <c r="Q67" i="8"/>
  <c r="S67" i="8" s="1"/>
  <c r="R67" i="8"/>
  <c r="T67" i="8" s="1"/>
  <c r="R63" i="8"/>
  <c r="T63" i="8" s="1"/>
  <c r="Q63" i="8"/>
  <c r="S63" i="8" s="1"/>
  <c r="R59" i="8"/>
  <c r="T59" i="8" s="1"/>
  <c r="Q59" i="8"/>
  <c r="S59" i="8" s="1"/>
  <c r="Q55" i="8"/>
  <c r="S55" i="8" s="1"/>
  <c r="R55" i="8"/>
  <c r="T55" i="8" s="1"/>
  <c r="Q51" i="8"/>
  <c r="S51" i="8" s="1"/>
  <c r="R51" i="8"/>
  <c r="T51" i="8" s="1"/>
  <c r="R47" i="8"/>
  <c r="T47" i="8" s="1"/>
  <c r="Q47" i="8"/>
  <c r="S47" i="8" s="1"/>
  <c r="R43" i="8"/>
  <c r="T43" i="8" s="1"/>
  <c r="Q43" i="8"/>
  <c r="S43" i="8" s="1"/>
  <c r="Q39" i="8"/>
  <c r="S39" i="8" s="1"/>
  <c r="R39" i="8"/>
  <c r="T39" i="8" s="1"/>
  <c r="Q35" i="8"/>
  <c r="S35" i="8" s="1"/>
  <c r="R35" i="8"/>
  <c r="T35" i="8" s="1"/>
  <c r="R31" i="8"/>
  <c r="T31" i="8" s="1"/>
  <c r="Q31" i="8"/>
  <c r="S31" i="8" s="1"/>
  <c r="R27" i="8"/>
  <c r="T27" i="8" s="1"/>
  <c r="Q27" i="8"/>
  <c r="S27" i="8" s="1"/>
  <c r="Q23" i="8"/>
  <c r="S23" i="8" s="1"/>
  <c r="R23" i="8"/>
  <c r="T23" i="8" s="1"/>
  <c r="Q19" i="8"/>
  <c r="S19" i="8" s="1"/>
  <c r="R19" i="8"/>
  <c r="T19" i="8" s="1"/>
  <c r="Q340" i="8"/>
  <c r="S340" i="8" s="1"/>
  <c r="R340" i="8"/>
  <c r="T340" i="8" s="1"/>
  <c r="Q328" i="8"/>
  <c r="S328" i="8" s="1"/>
  <c r="R328" i="8"/>
  <c r="T328" i="8" s="1"/>
  <c r="Q316" i="8"/>
  <c r="S316" i="8" s="1"/>
  <c r="R316" i="8"/>
  <c r="T316" i="8" s="1"/>
  <c r="R304" i="8"/>
  <c r="T304" i="8" s="1"/>
  <c r="Q304" i="8"/>
  <c r="S304" i="8" s="1"/>
  <c r="Q292" i="8"/>
  <c r="S292" i="8" s="1"/>
  <c r="R292" i="8"/>
  <c r="T292" i="8" s="1"/>
  <c r="Q280" i="8"/>
  <c r="S280" i="8" s="1"/>
  <c r="R280" i="8"/>
  <c r="T280" i="8" s="1"/>
  <c r="Q260" i="8"/>
  <c r="S260" i="8" s="1"/>
  <c r="R260" i="8"/>
  <c r="T260" i="8" s="1"/>
  <c r="Q248" i="8"/>
  <c r="S248" i="8" s="1"/>
  <c r="R248" i="8"/>
  <c r="T248" i="8" s="1"/>
  <c r="Q236" i="8"/>
  <c r="S236" i="8" s="1"/>
  <c r="R236" i="8"/>
  <c r="T236" i="8" s="1"/>
  <c r="Q224" i="8"/>
  <c r="S224" i="8" s="1"/>
  <c r="R224" i="8"/>
  <c r="T224" i="8" s="1"/>
  <c r="Q212" i="8"/>
  <c r="S212" i="8" s="1"/>
  <c r="R212" i="8"/>
  <c r="T212" i="8" s="1"/>
  <c r="Q200" i="8"/>
  <c r="S200" i="8" s="1"/>
  <c r="R200" i="8"/>
  <c r="T200" i="8" s="1"/>
  <c r="Q188" i="8"/>
  <c r="S188" i="8" s="1"/>
  <c r="R188" i="8"/>
  <c r="T188" i="8" s="1"/>
  <c r="Q176" i="8"/>
  <c r="S176" i="8" s="1"/>
  <c r="R176" i="8"/>
  <c r="T176" i="8" s="1"/>
  <c r="Q164" i="8"/>
  <c r="S164" i="8" s="1"/>
  <c r="R164" i="8"/>
  <c r="T164" i="8" s="1"/>
  <c r="Q152" i="8"/>
  <c r="S152" i="8" s="1"/>
  <c r="R152" i="8"/>
  <c r="T152" i="8" s="1"/>
  <c r="Q140" i="8"/>
  <c r="S140" i="8" s="1"/>
  <c r="R140" i="8"/>
  <c r="T140" i="8" s="1"/>
  <c r="Q128" i="8"/>
  <c r="S128" i="8" s="1"/>
  <c r="R128" i="8"/>
  <c r="T128" i="8" s="1"/>
  <c r="Q116" i="8"/>
  <c r="S116" i="8" s="1"/>
  <c r="R116" i="8"/>
  <c r="T116" i="8" s="1"/>
  <c r="Q104" i="8"/>
  <c r="S104" i="8" s="1"/>
  <c r="R104" i="8"/>
  <c r="T104" i="8" s="1"/>
  <c r="Q92" i="8"/>
  <c r="S92" i="8" s="1"/>
  <c r="R92" i="8"/>
  <c r="T92" i="8" s="1"/>
  <c r="Q72" i="8"/>
  <c r="S72" i="8" s="1"/>
  <c r="R72" i="8"/>
  <c r="T72" i="8" s="1"/>
  <c r="Q60" i="8"/>
  <c r="S60" i="8" s="1"/>
  <c r="R60" i="8"/>
  <c r="T60" i="8" s="1"/>
  <c r="Q48" i="8"/>
  <c r="S48" i="8" s="1"/>
  <c r="R48" i="8"/>
  <c r="T48" i="8" s="1"/>
  <c r="Q36" i="8"/>
  <c r="S36" i="8" s="1"/>
  <c r="R36" i="8"/>
  <c r="T36" i="8" s="1"/>
  <c r="Q32" i="8"/>
  <c r="S32" i="8" s="1"/>
  <c r="R32" i="8"/>
  <c r="T32" i="8" s="1"/>
  <c r="Q20" i="8"/>
  <c r="S20" i="8" s="1"/>
  <c r="R20" i="8"/>
  <c r="T20" i="8" s="1"/>
  <c r="Q342" i="8"/>
  <c r="S342" i="8" s="1"/>
  <c r="R342" i="8"/>
  <c r="T342" i="8" s="1"/>
  <c r="Q334" i="8"/>
  <c r="S334" i="8" s="1"/>
  <c r="R334" i="8"/>
  <c r="T334" i="8" s="1"/>
  <c r="Q330" i="8"/>
  <c r="S330" i="8" s="1"/>
  <c r="R330" i="8"/>
  <c r="T330" i="8" s="1"/>
  <c r="Q326" i="8"/>
  <c r="S326" i="8" s="1"/>
  <c r="R326" i="8"/>
  <c r="T326" i="8" s="1"/>
  <c r="Q322" i="8"/>
  <c r="S322" i="8" s="1"/>
  <c r="R322" i="8"/>
  <c r="T322" i="8" s="1"/>
  <c r="Q318" i="8"/>
  <c r="S318" i="8" s="1"/>
  <c r="R318" i="8"/>
  <c r="T318" i="8" s="1"/>
  <c r="Q314" i="8"/>
  <c r="S314" i="8" s="1"/>
  <c r="R314" i="8"/>
  <c r="T314" i="8" s="1"/>
  <c r="Q310" i="8"/>
  <c r="S310" i="8" s="1"/>
  <c r="R310" i="8"/>
  <c r="T310" i="8" s="1"/>
  <c r="Q306" i="8"/>
  <c r="S306" i="8" s="1"/>
  <c r="R306" i="8"/>
  <c r="T306" i="8" s="1"/>
  <c r="Q302" i="8"/>
  <c r="S302" i="8" s="1"/>
  <c r="R302" i="8"/>
  <c r="T302" i="8" s="1"/>
  <c r="Q298" i="8"/>
  <c r="S298" i="8" s="1"/>
  <c r="R298" i="8"/>
  <c r="T298" i="8" s="1"/>
  <c r="Q294" i="8"/>
  <c r="S294" i="8" s="1"/>
  <c r="R294" i="8"/>
  <c r="T294" i="8" s="1"/>
  <c r="Q290" i="8"/>
  <c r="S290" i="8" s="1"/>
  <c r="R290" i="8"/>
  <c r="T290" i="8" s="1"/>
  <c r="Q286" i="8"/>
  <c r="S286" i="8" s="1"/>
  <c r="R286" i="8"/>
  <c r="T286" i="8" s="1"/>
  <c r="Q282" i="8"/>
  <c r="S282" i="8" s="1"/>
  <c r="R282" i="8"/>
  <c r="T282" i="8" s="1"/>
  <c r="Q278" i="8"/>
  <c r="S278" i="8" s="1"/>
  <c r="R278" i="8"/>
  <c r="T278" i="8" s="1"/>
  <c r="Q274" i="8"/>
  <c r="S274" i="8" s="1"/>
  <c r="R274" i="8"/>
  <c r="T274" i="8" s="1"/>
  <c r="Q270" i="8"/>
  <c r="S270" i="8" s="1"/>
  <c r="R270" i="8"/>
  <c r="T270" i="8" s="1"/>
  <c r="Q266" i="8"/>
  <c r="S266" i="8" s="1"/>
  <c r="R266" i="8"/>
  <c r="T266" i="8" s="1"/>
  <c r="Q262" i="8"/>
  <c r="S262" i="8" s="1"/>
  <c r="R262" i="8"/>
  <c r="T262" i="8" s="1"/>
  <c r="Q258" i="8"/>
  <c r="S258" i="8" s="1"/>
  <c r="R258" i="8"/>
  <c r="T258" i="8" s="1"/>
  <c r="Q254" i="8"/>
  <c r="S254" i="8" s="1"/>
  <c r="R254" i="8"/>
  <c r="T254" i="8" s="1"/>
  <c r="Q250" i="8"/>
  <c r="S250" i="8" s="1"/>
  <c r="R250" i="8"/>
  <c r="T250" i="8" s="1"/>
  <c r="Q246" i="8"/>
  <c r="S246" i="8" s="1"/>
  <c r="R246" i="8"/>
  <c r="T246" i="8" s="1"/>
  <c r="Q242" i="8"/>
  <c r="S242" i="8" s="1"/>
  <c r="R242" i="8"/>
  <c r="T242" i="8" s="1"/>
  <c r="Q238" i="8"/>
  <c r="S238" i="8" s="1"/>
  <c r="R238" i="8"/>
  <c r="T238" i="8" s="1"/>
  <c r="Q234" i="8"/>
  <c r="S234" i="8" s="1"/>
  <c r="R234" i="8"/>
  <c r="T234" i="8" s="1"/>
  <c r="Q230" i="8"/>
  <c r="S230" i="8" s="1"/>
  <c r="R230" i="8"/>
  <c r="T230" i="8" s="1"/>
  <c r="Q226" i="8"/>
  <c r="S226" i="8" s="1"/>
  <c r="R226" i="8"/>
  <c r="T226" i="8" s="1"/>
  <c r="Q222" i="8"/>
  <c r="S222" i="8" s="1"/>
  <c r="R222" i="8"/>
  <c r="T222" i="8" s="1"/>
  <c r="Q218" i="8"/>
  <c r="S218" i="8" s="1"/>
  <c r="R218" i="8"/>
  <c r="T218" i="8" s="1"/>
  <c r="Q214" i="8"/>
  <c r="S214" i="8" s="1"/>
  <c r="R214" i="8"/>
  <c r="T214" i="8" s="1"/>
  <c r="Q210" i="8"/>
  <c r="S210" i="8" s="1"/>
  <c r="R210" i="8"/>
  <c r="T210" i="8" s="1"/>
  <c r="Q206" i="8"/>
  <c r="S206" i="8" s="1"/>
  <c r="R206" i="8"/>
  <c r="T206" i="8" s="1"/>
  <c r="Q202" i="8"/>
  <c r="S202" i="8" s="1"/>
  <c r="R202" i="8"/>
  <c r="T202" i="8" s="1"/>
  <c r="Q198" i="8"/>
  <c r="S198" i="8" s="1"/>
  <c r="R198" i="8"/>
  <c r="T198" i="8" s="1"/>
  <c r="Q194" i="8"/>
  <c r="S194" i="8" s="1"/>
  <c r="R194" i="8"/>
  <c r="T194" i="8" s="1"/>
  <c r="Q190" i="8"/>
  <c r="S190" i="8" s="1"/>
  <c r="R190" i="8"/>
  <c r="T190" i="8" s="1"/>
  <c r="Q186" i="8"/>
  <c r="S186" i="8" s="1"/>
  <c r="R186" i="8"/>
  <c r="T186" i="8" s="1"/>
  <c r="Q182" i="8"/>
  <c r="S182" i="8" s="1"/>
  <c r="R182" i="8"/>
  <c r="T182" i="8" s="1"/>
  <c r="Q178" i="8"/>
  <c r="S178" i="8" s="1"/>
  <c r="R178" i="8"/>
  <c r="T178" i="8" s="1"/>
  <c r="Q174" i="8"/>
  <c r="S174" i="8" s="1"/>
  <c r="R174" i="8"/>
  <c r="T174" i="8" s="1"/>
  <c r="Q170" i="8"/>
  <c r="S170" i="8" s="1"/>
  <c r="R170" i="8"/>
  <c r="T170" i="8" s="1"/>
  <c r="Q166" i="8"/>
  <c r="S166" i="8" s="1"/>
  <c r="R166" i="8"/>
  <c r="T166" i="8" s="1"/>
  <c r="Q162" i="8"/>
  <c r="S162" i="8" s="1"/>
  <c r="R162" i="8"/>
  <c r="T162" i="8" s="1"/>
  <c r="Q158" i="8"/>
  <c r="S158" i="8" s="1"/>
  <c r="R158" i="8"/>
  <c r="T158" i="8" s="1"/>
  <c r="Q154" i="8"/>
  <c r="S154" i="8" s="1"/>
  <c r="R154" i="8"/>
  <c r="T154" i="8" s="1"/>
  <c r="Q150" i="8"/>
  <c r="S150" i="8" s="1"/>
  <c r="R150" i="8"/>
  <c r="T150" i="8" s="1"/>
  <c r="Q146" i="8"/>
  <c r="S146" i="8" s="1"/>
  <c r="R146" i="8"/>
  <c r="T146" i="8" s="1"/>
  <c r="Q142" i="8"/>
  <c r="S142" i="8" s="1"/>
  <c r="R142" i="8"/>
  <c r="T142" i="8" s="1"/>
  <c r="Q138" i="8"/>
  <c r="S138" i="8" s="1"/>
  <c r="R138" i="8"/>
  <c r="T138" i="8" s="1"/>
  <c r="Q134" i="8"/>
  <c r="S134" i="8" s="1"/>
  <c r="R134" i="8"/>
  <c r="T134" i="8" s="1"/>
  <c r="Q130" i="8"/>
  <c r="S130" i="8" s="1"/>
  <c r="R130" i="8"/>
  <c r="T130" i="8" s="1"/>
  <c r="Q126" i="8"/>
  <c r="S126" i="8" s="1"/>
  <c r="R126" i="8"/>
  <c r="T126" i="8" s="1"/>
  <c r="Q122" i="8"/>
  <c r="S122" i="8" s="1"/>
  <c r="R122" i="8"/>
  <c r="T122" i="8" s="1"/>
  <c r="Q118" i="8"/>
  <c r="S118" i="8" s="1"/>
  <c r="R118" i="8"/>
  <c r="T118" i="8" s="1"/>
  <c r="Q114" i="8"/>
  <c r="S114" i="8" s="1"/>
  <c r="R114" i="8"/>
  <c r="T114" i="8" s="1"/>
  <c r="Q110" i="8"/>
  <c r="S110" i="8" s="1"/>
  <c r="R110" i="8"/>
  <c r="T110" i="8" s="1"/>
  <c r="Q106" i="8"/>
  <c r="S106" i="8" s="1"/>
  <c r="R106" i="8"/>
  <c r="T106" i="8" s="1"/>
  <c r="Q102" i="8"/>
  <c r="S102" i="8" s="1"/>
  <c r="R102" i="8"/>
  <c r="T102" i="8" s="1"/>
  <c r="Q98" i="8"/>
  <c r="S98" i="8" s="1"/>
  <c r="R98" i="8"/>
  <c r="T98" i="8" s="1"/>
  <c r="Q94" i="8"/>
  <c r="S94" i="8" s="1"/>
  <c r="R94" i="8"/>
  <c r="T94" i="8" s="1"/>
  <c r="Q90" i="8"/>
  <c r="S90" i="8" s="1"/>
  <c r="R90" i="8"/>
  <c r="T90" i="8" s="1"/>
  <c r="Q86" i="8"/>
  <c r="S86" i="8" s="1"/>
  <c r="R86" i="8"/>
  <c r="T86" i="8" s="1"/>
  <c r="Q82" i="8"/>
  <c r="S82" i="8" s="1"/>
  <c r="R82" i="8"/>
  <c r="T82" i="8" s="1"/>
  <c r="Q78" i="8"/>
  <c r="S78" i="8" s="1"/>
  <c r="R78" i="8"/>
  <c r="T78" i="8" s="1"/>
  <c r="Q74" i="8"/>
  <c r="S74" i="8" s="1"/>
  <c r="R74" i="8"/>
  <c r="T74" i="8" s="1"/>
  <c r="Q70" i="8"/>
  <c r="S70" i="8" s="1"/>
  <c r="R70" i="8"/>
  <c r="T70" i="8" s="1"/>
  <c r="Q66" i="8"/>
  <c r="S66" i="8" s="1"/>
  <c r="R66" i="8"/>
  <c r="T66" i="8" s="1"/>
  <c r="Q62" i="8"/>
  <c r="S62" i="8" s="1"/>
  <c r="R62" i="8"/>
  <c r="T62" i="8" s="1"/>
  <c r="Q58" i="8"/>
  <c r="S58" i="8" s="1"/>
  <c r="R58" i="8"/>
  <c r="T58" i="8" s="1"/>
  <c r="Q54" i="8"/>
  <c r="S54" i="8" s="1"/>
  <c r="R54" i="8"/>
  <c r="T54" i="8" s="1"/>
  <c r="Q50" i="8"/>
  <c r="S50" i="8" s="1"/>
  <c r="R50" i="8"/>
  <c r="T50" i="8" s="1"/>
  <c r="Q46" i="8"/>
  <c r="S46" i="8" s="1"/>
  <c r="R46" i="8"/>
  <c r="T46" i="8" s="1"/>
  <c r="Q42" i="8"/>
  <c r="S42" i="8" s="1"/>
  <c r="R42" i="8"/>
  <c r="T42" i="8" s="1"/>
  <c r="Q38" i="8"/>
  <c r="S38" i="8" s="1"/>
  <c r="R38" i="8"/>
  <c r="T38" i="8" s="1"/>
  <c r="Q34" i="8"/>
  <c r="S34" i="8" s="1"/>
  <c r="R34" i="8"/>
  <c r="T34" i="8" s="1"/>
  <c r="Q30" i="8"/>
  <c r="S30" i="8" s="1"/>
  <c r="R30" i="8"/>
  <c r="T30" i="8" s="1"/>
  <c r="Q26" i="8"/>
  <c r="S26" i="8" s="1"/>
  <c r="R26" i="8"/>
  <c r="T26" i="8" s="1"/>
  <c r="Q22" i="8"/>
  <c r="S22" i="8" s="1"/>
  <c r="R22" i="8"/>
  <c r="T22" i="8" s="1"/>
  <c r="Q18" i="8"/>
  <c r="S18" i="8" s="1"/>
  <c r="R18" i="8"/>
  <c r="T18" i="8" s="1"/>
  <c r="Q344" i="8"/>
  <c r="S344" i="8" s="1"/>
  <c r="R344" i="8"/>
  <c r="T344" i="8" s="1"/>
  <c r="R336" i="8"/>
  <c r="T336" i="8" s="1"/>
  <c r="Q336" i="8"/>
  <c r="S336" i="8" s="1"/>
  <c r="Q324" i="8"/>
  <c r="S324" i="8" s="1"/>
  <c r="R324" i="8"/>
  <c r="T324" i="8" s="1"/>
  <c r="Q308" i="8"/>
  <c r="S308" i="8" s="1"/>
  <c r="R308" i="8"/>
  <c r="T308" i="8" s="1"/>
  <c r="Q300" i="8"/>
  <c r="S300" i="8" s="1"/>
  <c r="R300" i="8"/>
  <c r="T300" i="8" s="1"/>
  <c r="Q288" i="8"/>
  <c r="S288" i="8" s="1"/>
  <c r="R288" i="8"/>
  <c r="T288" i="8" s="1"/>
  <c r="R272" i="8"/>
  <c r="T272" i="8" s="1"/>
  <c r="Q272" i="8"/>
  <c r="S272" i="8" s="1"/>
  <c r="Q268" i="8"/>
  <c r="S268" i="8" s="1"/>
  <c r="R268" i="8"/>
  <c r="T268" i="8" s="1"/>
  <c r="Q252" i="8"/>
  <c r="S252" i="8" s="1"/>
  <c r="R252" i="8"/>
  <c r="T252" i="8" s="1"/>
  <c r="R240" i="8"/>
  <c r="T240" i="8" s="1"/>
  <c r="Q240" i="8"/>
  <c r="S240" i="8" s="1"/>
  <c r="Q228" i="8"/>
  <c r="S228" i="8" s="1"/>
  <c r="R228" i="8"/>
  <c r="T228" i="8" s="1"/>
  <c r="Q216" i="8"/>
  <c r="S216" i="8" s="1"/>
  <c r="R216" i="8"/>
  <c r="T216" i="8" s="1"/>
  <c r="Q208" i="8"/>
  <c r="S208" i="8" s="1"/>
  <c r="R208" i="8"/>
  <c r="T208" i="8" s="1"/>
  <c r="Q196" i="8"/>
  <c r="S196" i="8" s="1"/>
  <c r="R196" i="8"/>
  <c r="T196" i="8" s="1"/>
  <c r="Q180" i="8"/>
  <c r="S180" i="8" s="1"/>
  <c r="R180" i="8"/>
  <c r="T180" i="8" s="1"/>
  <c r="Q172" i="8"/>
  <c r="S172" i="8" s="1"/>
  <c r="R172" i="8"/>
  <c r="T172" i="8" s="1"/>
  <c r="Q156" i="8"/>
  <c r="S156" i="8" s="1"/>
  <c r="R156" i="8"/>
  <c r="T156" i="8" s="1"/>
  <c r="Q148" i="8"/>
  <c r="S148" i="8" s="1"/>
  <c r="R148" i="8"/>
  <c r="T148" i="8" s="1"/>
  <c r="Q132" i="8"/>
  <c r="S132" i="8" s="1"/>
  <c r="R132" i="8"/>
  <c r="T132" i="8" s="1"/>
  <c r="Q124" i="8"/>
  <c r="S124" i="8" s="1"/>
  <c r="R124" i="8"/>
  <c r="T124" i="8" s="1"/>
  <c r="Q108" i="8"/>
  <c r="S108" i="8" s="1"/>
  <c r="R108" i="8"/>
  <c r="T108" i="8" s="1"/>
  <c r="Q96" i="8"/>
  <c r="S96" i="8" s="1"/>
  <c r="R96" i="8"/>
  <c r="T96" i="8" s="1"/>
  <c r="Q84" i="8"/>
  <c r="S84" i="8" s="1"/>
  <c r="R84" i="8"/>
  <c r="T84" i="8" s="1"/>
  <c r="Q76" i="8"/>
  <c r="S76" i="8" s="1"/>
  <c r="R76" i="8"/>
  <c r="T76" i="8" s="1"/>
  <c r="Q64" i="8"/>
  <c r="S64" i="8" s="1"/>
  <c r="R64" i="8"/>
  <c r="T64" i="8" s="1"/>
  <c r="Q56" i="8"/>
  <c r="S56" i="8" s="1"/>
  <c r="R56" i="8"/>
  <c r="T56" i="8" s="1"/>
  <c r="Q40" i="8"/>
  <c r="S40" i="8" s="1"/>
  <c r="R40" i="8"/>
  <c r="T40" i="8" s="1"/>
  <c r="Q28" i="8"/>
  <c r="S28" i="8" s="1"/>
  <c r="R28" i="8"/>
  <c r="T28" i="8" s="1"/>
  <c r="Q346" i="8"/>
  <c r="S346" i="8" s="1"/>
  <c r="R346" i="8"/>
  <c r="T346" i="8" s="1"/>
  <c r="Q338" i="8"/>
  <c r="S338" i="8" s="1"/>
  <c r="R338" i="8"/>
  <c r="T338" i="8" s="1"/>
  <c r="Q345" i="8"/>
  <c r="S345" i="8" s="1"/>
  <c r="R345" i="8"/>
  <c r="T345" i="8" s="1"/>
  <c r="R341" i="8"/>
  <c r="T341" i="8" s="1"/>
  <c r="Q341" i="8"/>
  <c r="S341" i="8" s="1"/>
  <c r="Q337" i="8"/>
  <c r="S337" i="8" s="1"/>
  <c r="R337" i="8"/>
  <c r="T337" i="8" s="1"/>
  <c r="Q333" i="8"/>
  <c r="S333" i="8" s="1"/>
  <c r="R333" i="8"/>
  <c r="T333" i="8" s="1"/>
  <c r="Q329" i="8"/>
  <c r="S329" i="8" s="1"/>
  <c r="R329" i="8"/>
  <c r="T329" i="8" s="1"/>
  <c r="R325" i="8"/>
  <c r="T325" i="8" s="1"/>
  <c r="Q325" i="8"/>
  <c r="S325" i="8" s="1"/>
  <c r="Q321" i="8"/>
  <c r="S321" i="8" s="1"/>
  <c r="R321" i="8"/>
  <c r="T321" i="8" s="1"/>
  <c r="Q317" i="8"/>
  <c r="S317" i="8" s="1"/>
  <c r="R317" i="8"/>
  <c r="T317" i="8" s="1"/>
  <c r="Q313" i="8"/>
  <c r="S313" i="8" s="1"/>
  <c r="R313" i="8"/>
  <c r="T313" i="8" s="1"/>
  <c r="Q309" i="8"/>
  <c r="S309" i="8" s="1"/>
  <c r="R309" i="8"/>
  <c r="T309" i="8" s="1"/>
  <c r="Q305" i="8"/>
  <c r="S305" i="8" s="1"/>
  <c r="R305" i="8"/>
  <c r="T305" i="8" s="1"/>
  <c r="Q301" i="8"/>
  <c r="S301" i="8" s="1"/>
  <c r="R301" i="8"/>
  <c r="T301" i="8" s="1"/>
  <c r="Q297" i="8"/>
  <c r="S297" i="8" s="1"/>
  <c r="R297" i="8"/>
  <c r="T297" i="8" s="1"/>
  <c r="Q293" i="8"/>
  <c r="S293" i="8" s="1"/>
  <c r="R293" i="8"/>
  <c r="T293" i="8" s="1"/>
  <c r="Q289" i="8"/>
  <c r="S289" i="8" s="1"/>
  <c r="R289" i="8"/>
  <c r="T289" i="8" s="1"/>
  <c r="Q285" i="8"/>
  <c r="S285" i="8" s="1"/>
  <c r="R285" i="8"/>
  <c r="T285" i="8" s="1"/>
  <c r="Q281" i="8"/>
  <c r="S281" i="8" s="1"/>
  <c r="R281" i="8"/>
  <c r="T281" i="8" s="1"/>
  <c r="R277" i="8"/>
  <c r="T277" i="8" s="1"/>
  <c r="Q277" i="8"/>
  <c r="S277" i="8" s="1"/>
  <c r="Q273" i="8"/>
  <c r="S273" i="8" s="1"/>
  <c r="R273" i="8"/>
  <c r="T273" i="8" s="1"/>
  <c r="Q269" i="8"/>
  <c r="S269" i="8" s="1"/>
  <c r="R269" i="8"/>
  <c r="T269" i="8" s="1"/>
  <c r="Q265" i="8"/>
  <c r="S265" i="8" s="1"/>
  <c r="R265" i="8"/>
  <c r="T265" i="8" s="1"/>
  <c r="R261" i="8"/>
  <c r="T261" i="8" s="1"/>
  <c r="Q261" i="8"/>
  <c r="S261" i="8" s="1"/>
  <c r="Q257" i="8"/>
  <c r="S257" i="8" s="1"/>
  <c r="R257" i="8"/>
  <c r="T257" i="8" s="1"/>
  <c r="Q253" i="8"/>
  <c r="S253" i="8" s="1"/>
  <c r="R253" i="8"/>
  <c r="T253" i="8" s="1"/>
  <c r="Q249" i="8"/>
  <c r="S249" i="8" s="1"/>
  <c r="R249" i="8"/>
  <c r="T249" i="8" s="1"/>
  <c r="Q245" i="8"/>
  <c r="S245" i="8" s="1"/>
  <c r="R245" i="8"/>
  <c r="T245" i="8" s="1"/>
  <c r="Q241" i="8"/>
  <c r="S241" i="8" s="1"/>
  <c r="R241" i="8"/>
  <c r="T241" i="8" s="1"/>
  <c r="Q237" i="8"/>
  <c r="S237" i="8" s="1"/>
  <c r="R237" i="8"/>
  <c r="T237" i="8" s="1"/>
  <c r="Q233" i="8"/>
  <c r="S233" i="8" s="1"/>
  <c r="R233" i="8"/>
  <c r="T233" i="8" s="1"/>
  <c r="Q229" i="8"/>
  <c r="S229" i="8" s="1"/>
  <c r="R229" i="8"/>
  <c r="T229" i="8" s="1"/>
  <c r="Q225" i="8"/>
  <c r="S225" i="8" s="1"/>
  <c r="R225" i="8"/>
  <c r="T225" i="8" s="1"/>
  <c r="Q221" i="8"/>
  <c r="S221" i="8" s="1"/>
  <c r="R221" i="8"/>
  <c r="T221" i="8" s="1"/>
  <c r="Q217" i="8"/>
  <c r="S217" i="8" s="1"/>
  <c r="R217" i="8"/>
  <c r="T217" i="8" s="1"/>
  <c r="Q213" i="8"/>
  <c r="S213" i="8" s="1"/>
  <c r="R213" i="8"/>
  <c r="T213" i="8" s="1"/>
  <c r="Q209" i="8"/>
  <c r="S209" i="8" s="1"/>
  <c r="R209" i="8"/>
  <c r="T209" i="8" s="1"/>
  <c r="Q205" i="8"/>
  <c r="S205" i="8" s="1"/>
  <c r="R205" i="8"/>
  <c r="T205" i="8" s="1"/>
  <c r="Q201" i="8"/>
  <c r="S201" i="8" s="1"/>
  <c r="R201" i="8"/>
  <c r="T201" i="8" s="1"/>
  <c r="Q197" i="8"/>
  <c r="S197" i="8" s="1"/>
  <c r="R197" i="8"/>
  <c r="T197" i="8" s="1"/>
  <c r="Q193" i="8"/>
  <c r="S193" i="8" s="1"/>
  <c r="R193" i="8"/>
  <c r="T193" i="8" s="1"/>
  <c r="Q189" i="8"/>
  <c r="S189" i="8" s="1"/>
  <c r="R189" i="8"/>
  <c r="T189" i="8" s="1"/>
  <c r="Q185" i="8"/>
  <c r="S185" i="8" s="1"/>
  <c r="R185" i="8"/>
  <c r="T185" i="8" s="1"/>
  <c r="Q181" i="8"/>
  <c r="S181" i="8" s="1"/>
  <c r="R181" i="8"/>
  <c r="T181" i="8" s="1"/>
  <c r="Q177" i="8"/>
  <c r="S177" i="8" s="1"/>
  <c r="R177" i="8"/>
  <c r="T177" i="8" s="1"/>
  <c r="Q173" i="8"/>
  <c r="S173" i="8" s="1"/>
  <c r="R173" i="8"/>
  <c r="T173" i="8" s="1"/>
  <c r="Q169" i="8"/>
  <c r="S169" i="8" s="1"/>
  <c r="R169" i="8"/>
  <c r="T169" i="8" s="1"/>
  <c r="Q165" i="8"/>
  <c r="S165" i="8" s="1"/>
  <c r="R165" i="8"/>
  <c r="T165" i="8" s="1"/>
  <c r="Q161" i="8"/>
  <c r="S161" i="8" s="1"/>
  <c r="R161" i="8"/>
  <c r="T161" i="8" s="1"/>
  <c r="Q157" i="8"/>
  <c r="S157" i="8" s="1"/>
  <c r="R157" i="8"/>
  <c r="T157" i="8" s="1"/>
  <c r="Q153" i="8"/>
  <c r="S153" i="8" s="1"/>
  <c r="R153" i="8"/>
  <c r="T153" i="8" s="1"/>
  <c r="Q149" i="8"/>
  <c r="S149" i="8" s="1"/>
  <c r="R149" i="8"/>
  <c r="T149" i="8" s="1"/>
  <c r="Q145" i="8"/>
  <c r="S145" i="8" s="1"/>
  <c r="R145" i="8"/>
  <c r="T145" i="8" s="1"/>
  <c r="Q141" i="8"/>
  <c r="S141" i="8" s="1"/>
  <c r="R141" i="8"/>
  <c r="T141" i="8" s="1"/>
  <c r="Q137" i="8"/>
  <c r="S137" i="8" s="1"/>
  <c r="R137" i="8"/>
  <c r="T137" i="8" s="1"/>
  <c r="Q133" i="8"/>
  <c r="S133" i="8" s="1"/>
  <c r="R133" i="8"/>
  <c r="T133" i="8" s="1"/>
  <c r="Q129" i="8"/>
  <c r="S129" i="8" s="1"/>
  <c r="R129" i="8"/>
  <c r="T129" i="8" s="1"/>
  <c r="Q125" i="8"/>
  <c r="S125" i="8" s="1"/>
  <c r="R125" i="8"/>
  <c r="T125" i="8" s="1"/>
  <c r="Q121" i="8"/>
  <c r="S121" i="8" s="1"/>
  <c r="R121" i="8"/>
  <c r="T121" i="8" s="1"/>
  <c r="Q117" i="8"/>
  <c r="S117" i="8" s="1"/>
  <c r="R117" i="8"/>
  <c r="T117" i="8" s="1"/>
  <c r="Q113" i="8"/>
  <c r="S113" i="8" s="1"/>
  <c r="R113" i="8"/>
  <c r="T113" i="8" s="1"/>
  <c r="Q109" i="8"/>
  <c r="S109" i="8" s="1"/>
  <c r="R109" i="8"/>
  <c r="T109" i="8" s="1"/>
  <c r="Q105" i="8"/>
  <c r="S105" i="8" s="1"/>
  <c r="R105" i="8"/>
  <c r="T105" i="8" s="1"/>
  <c r="Q101" i="8"/>
  <c r="S101" i="8" s="1"/>
  <c r="R101" i="8"/>
  <c r="T101" i="8" s="1"/>
  <c r="Q97" i="8"/>
  <c r="S97" i="8" s="1"/>
  <c r="R97" i="8"/>
  <c r="T97" i="8" s="1"/>
  <c r="Q93" i="8"/>
  <c r="S93" i="8" s="1"/>
  <c r="R93" i="8"/>
  <c r="T93" i="8" s="1"/>
  <c r="Q89" i="8"/>
  <c r="S89" i="8" s="1"/>
  <c r="R89" i="8"/>
  <c r="T89" i="8" s="1"/>
  <c r="Q85" i="8"/>
  <c r="S85" i="8" s="1"/>
  <c r="R85" i="8"/>
  <c r="T85" i="8" s="1"/>
  <c r="Q81" i="8"/>
  <c r="S81" i="8" s="1"/>
  <c r="R81" i="8"/>
  <c r="T81" i="8" s="1"/>
  <c r="Q77" i="8"/>
  <c r="S77" i="8" s="1"/>
  <c r="R77" i="8"/>
  <c r="T77" i="8" s="1"/>
  <c r="Q73" i="8"/>
  <c r="S73" i="8" s="1"/>
  <c r="R73" i="8"/>
  <c r="T73" i="8" s="1"/>
  <c r="Q69" i="8"/>
  <c r="S69" i="8" s="1"/>
  <c r="R69" i="8"/>
  <c r="T69" i="8" s="1"/>
  <c r="Q65" i="8"/>
  <c r="S65" i="8" s="1"/>
  <c r="R65" i="8"/>
  <c r="T65" i="8" s="1"/>
  <c r="Q61" i="8"/>
  <c r="S61" i="8" s="1"/>
  <c r="R61" i="8"/>
  <c r="T61" i="8" s="1"/>
  <c r="Q57" i="8"/>
  <c r="S57" i="8" s="1"/>
  <c r="R57" i="8"/>
  <c r="T57" i="8" s="1"/>
  <c r="Q53" i="8"/>
  <c r="S53" i="8" s="1"/>
  <c r="R53" i="8"/>
  <c r="T53" i="8" s="1"/>
  <c r="Q49" i="8"/>
  <c r="S49" i="8" s="1"/>
  <c r="R49" i="8"/>
  <c r="T49" i="8" s="1"/>
  <c r="Q45" i="8"/>
  <c r="S45" i="8" s="1"/>
  <c r="R45" i="8"/>
  <c r="T45" i="8" s="1"/>
  <c r="Q41" i="8"/>
  <c r="S41" i="8" s="1"/>
  <c r="R41" i="8"/>
  <c r="T41" i="8" s="1"/>
  <c r="Q37" i="8"/>
  <c r="S37" i="8" s="1"/>
  <c r="R37" i="8"/>
  <c r="T37" i="8" s="1"/>
  <c r="Q33" i="8"/>
  <c r="S33" i="8" s="1"/>
  <c r="R33" i="8"/>
  <c r="T33" i="8" s="1"/>
  <c r="Q29" i="8"/>
  <c r="S29" i="8" s="1"/>
  <c r="R29" i="8"/>
  <c r="T29" i="8" s="1"/>
  <c r="Q25" i="8"/>
  <c r="S25" i="8" s="1"/>
  <c r="R25" i="8"/>
  <c r="T25" i="8" s="1"/>
  <c r="Q21" i="8"/>
  <c r="S21" i="8" s="1"/>
  <c r="R21" i="8"/>
  <c r="T21" i="8" s="1"/>
  <c r="Q17" i="8"/>
  <c r="S17" i="8" s="1"/>
  <c r="R17" i="8"/>
  <c r="T17" i="8" s="1"/>
  <c r="B2" i="8"/>
  <c r="G5" i="8" l="1"/>
  <c r="P16" i="5" l="1"/>
  <c r="P536" i="5" l="1"/>
  <c r="G5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abela 22" description="Tabela 22" type="5" refreshedVersion="6" savePassword="1" saveData="1">
    <dbPr connection="Provider=SQLOLEDB.1;Password=Dbviews;Persist Security Info=True;User ID=dbviews;Initial Catalog=DB_VIEWS;Data Source=192.168.9.200;Use Procedure for Prepare=1;Auto Translate=True;Packet Size=4096;Workstation ID=BUSINESS22;Use Encryption for Data=False;Tag with column collation when possible=False" command="DECLARE @DATA_SALDO AS DATE ='20210105'_x000d__x000a_SELECT _x000d__x000a_ LTRIM(RTRIM(A.PRODUTO))             PRODUTO, _x000d__x000a_ LTRIM(RTRIM(B.DESC_PRODUTO))        DESCRIÇÃO, _x000d__x000a_ LTRIM(RTRIM(A.COR_PRODUTO))         COR, _x000d__x000a_ LTRIM(RTRIM(C.DESC_COR_PRODUTO))    [DESCRIÇÃO COR], _x000d__x000a_ CONVERT(MONEY,D.PRECO1)             PREÇO, _x000d__x000a_ LTRIM(RTRIM(GRADE))                 GRADE _x000d__x000a_FROM SOMA.DBO.GS_LOG_SALDO_WEB_WISE A (NOLOCK) _x000d__x000a_ JOIN PRODUTOS B         ON A.PRODUTO=B.PRODUTO _x000d__x000a_ JOIN PRODUTO_CORES C    ON A.PRODUTO=C.PRODUTO AND A.COR_PRODUTO=C.COR_PRODUTO _x000d__x000a_ JOIN PRODUTOS_PRECOS D  ON A.PRODUTO=D.PRODUTO AND D.CODIGO_TAB_PRECO='A' _x000d__x000a_WHERE DATA_SALDO=@DATA_SALDO AND REDE_LOJAS = 1 _x000d__x000a_ _x000d__x000a_ORDER BY PRODUTO, COR"/>
  </connection>
  <connection id="2" xr16:uid="{00000000-0015-0000-FFFF-FFFF01000000}" keepAlive="1" name="Tabela 23" description="Tabela 23" type="5" refreshedVersion="6" savePassword="1" saveData="1">
    <dbPr connection="Provider=SQLOLEDB.1;Password=Dbviews;Persist Security Info=True;User ID=dbviews;Initial Catalog=DB_VIEWS;Data Source=192.168.9.200;Use Procedure for Prepare=1;Auto Translate=True;Packet Size=4096;Workstation ID=BUSINESS22;Use Encryption for Data=False;Tag with column collation when possible=False" command="DECLARE @DATA_SALDO AS DATE ='20210105'_x000d__x000a_SELECT _x000d__x000a_ LTRIM(RTRIM(A.PRODUTO))             PRODUTO, _x000d__x000a_ LTRIM(RTRIM(B.DESC_PRODUTO))        DESCRIÇÃO, _x000d__x000a_ LTRIM(RTRIM(A.COR_PRODUTO))         COR, _x000d__x000a_ LTRIM(RTRIM(C.DESC_COR_PRODUTO))    [DESCRIÇÃO COR], _x000d__x000a_ CONVERT(MONEY,D.PRECO1)             PREÇO, _x000d__x000a_ LTRIM(RTRIM(GRADE))                 GRADE _x000d__x000a_FROM SOMA.DBO.GS_LOG_SALDO_WEB_WISE A (NOLOCK) _x000d__x000a_ JOIN PRODUTOS B         ON A.PRODUTO=B.PRODUTO _x000d__x000a_ JOIN PRODUTO_CORES C    ON A.PRODUTO=C.PRODUTO AND A.COR_PRODUTO=C.COR_PRODUTO _x000d__x000a_ JOIN PRODUTOS_PRECOS D  ON A.PRODUTO=D.PRODUTO AND D.CODIGO_TAB_PRECO='A3' _x000d__x000a_WHERE DATA_SALDO=@DATA_SALDO AND REDE_LOJAS = 1 _x000d__x000a_ _x000d__x000a_ORDER BY PRODUTO, COR"/>
  </connection>
  <connection id="3" xr16:uid="{00000000-0015-0000-FFFF-FFFF02000000}" keepAlive="1" name="Tabela 24" description="Tabela 24" type="5" refreshedVersion="6" savePassword="1" saveData="1">
    <dbPr connection="Provider=SQLOLEDB.1;Password=Dbviews;Persist Security Info=True;User ID=dbviews;Initial Catalog=DB_VIEWS;Data Source=192.168.9.200;Use Procedure for Prepare=1;Auto Translate=True;Packet Size=4096;Workstation ID=BUSINESS22;Use Encryption for Data=False;Tag with column collation when possible=False" command="DECLARE @DATA_SALDO AS DATE ='20210105'_x000d__x000a_SELECT _x000d__x000a_ LTRIM(RTRIM(A.PRODUTO))             PRODUTO, _x000d__x000a_ LTRIM(RTRIM(B.DESC_PRODUTO))        DESCRIÇÃO, _x000d__x000a_ LTRIM(RTRIM(A.COR_PRODUTO))         COR, _x000d__x000a_ LTRIM(RTRIM(C.DESC_COR_PRODUTO))    [DESCRIÇÃO COR], _x000d__x000a_ CONVERT(MONEY,D.PRECO1)             PREÇO, _x000d__x000a_ LTRIM(RTRIM(GRADE))                 GRADE _x000d__x000a_FROM SOMA.DBO.GS_LOG_SALDO_WEB_WISE A (NOLOCK) _x000d__x000a_ JOIN PRODUTOS B         ON A.PRODUTO=B.PRODUTO _x000d__x000a_ JOIN PRODUTO_CORES C    ON A.PRODUTO=C.PRODUTO AND A.COR_PRODUTO=C.COR_PRODUTO _x000d__x000a_ JOIN PRODUTOS_PRECOS D  ON A.PRODUTO=D.PRODUTO AND D.CODIGO_TAB_PRECO='AF' _x000d__x000a_WHERE DATA_SALDO=@DATA_SALDO AND REDE_LOJAS = 1 _x000d__x000a_ _x000d__x000a_ORDER BY PRODUTO, COR"/>
  </connection>
  <connection id="4" xr16:uid="{00000000-0015-0000-FFFF-FFFF03000000}" keepAlive="1" name="Tabela 25" description="Tabela 25" type="5" refreshedVersion="6" savePassword="1" saveData="1">
    <dbPr connection="Provider=SQLOLEDB.1;Password=Dbviews;Persist Security Info=True;User ID=dbviews;Initial Catalog=DB_VIEWS;Data Source=192.168.9.200;Use Procedure for Prepare=1;Auto Translate=True;Packet Size=4096;Workstation ID=BUSINESS22;Use Encryption for Data=False;Tag with column collation when possible=False" command="DECLARE @DATA_SALDO AS DATE ='20210105'_x000d__x000a_SELECT _x000d__x000a_ LTRIM(RTRIM(A.PRODUTO))             PRODUTO, _x000d__x000a_ LTRIM(RTRIM(B.DESC_PRODUTO))        DESCRIÇÃO, _x000d__x000a_ LTRIM(RTRIM(A.COR_PRODUTO))         COR, _x000d__x000a_ LTRIM(RTRIM(C.DESC_COR_PRODUTO))    [DESCRIÇÃO COR], _x000d__x000a_ CONVERT(MONEY,D.PRECO1)             PREÇO, _x000d__x000a_ LTRIM(RTRIM(GRADE))                 GRADE _x000d__x000a_FROM SOMA.DBO.GS_LOG_SALDO_WEB_WISE A (NOLOCK) _x000d__x000a_ JOIN PRODUTOS B         ON A.PRODUTO=B.PRODUTO _x000d__x000a_ JOIN PRODUTO_CORES C    ON A.PRODUTO=C.PRODUTO AND A.COR_PRODUTO=C.COR_PRODUTO _x000d__x000a_ JOIN PRODUTOS_PRECOS D  ON A.PRODUTO=D.PRODUTO AND D.CODIGO_TAB_PRECO='A5' _x000d__x000a_WHERE DATA_SALDO=@DATA_SALDO AND REDE_LOJAS = 1 _x000d__x000a_ _x000d__x000a_ORDER BY PRODUTO, COR"/>
  </connection>
  <connection id="5" xr16:uid="{00000000-0015-0000-FFFF-FFFF05000000}" keepAlive="1" name="Tabela 27" description="Tabela 27" type="5" refreshedVersion="6" savePassword="1" saveData="1">
    <dbPr connection="Provider=SQLOLEDB.1;Password=Dbviews;Persist Security Info=True;User ID=dbviews;Initial Catalog=DB_VIEWS;Data Source=192.168.9.200;Use Procedure for Prepare=1;Auto Translate=True;Packet Size=4096;Workstation ID=BUSINESS22;Use Encryption for Data=False;Tag with column collation when possible=False" command="DECLARE @DATA_SALDO AS DATE ='20210105'_x000d__x000a_SELECT _x000d__x000a_ LTRIM(RTRIM(A.PRODUTO))             PRODUTO, _x000d__x000a_ LTRIM(RTRIM(B.DESC_PRODUTO))        DESCRIÇÃO, _x000d__x000a_ LTRIM(RTRIM(A.COR_PRODUTO))         COR, _x000d__x000a_ LTRIM(RTRIM(C.DESC_COR_PRODUTO))    [DESCRIÇÃO COR], _x000d__x000a_ CONVERT(MONEY,D.PRECO1)             PREÇO, _x000d__x000a_ LTRIM(RTRIM(GRADE))                 GRADE _x000d__x000a_FROM SOMA.DBO.GS_LOG_SALDO_WEB_WISE A (NOLOCK) _x000d__x000a_ JOIN PRODUTOS B         ON A.PRODUTO=B.PRODUTO _x000d__x000a_ JOIN PRODUTO_CORES C    ON A.PRODUTO=C.PRODUTO AND A.COR_PRODUTO=C.COR_PRODUTO _x000d__x000a_ JOIN PRODUTOS_PRECOS D  ON A.PRODUTO=D.PRODUTO AND D.CODIGO_TAB_PRECO='AE' _x000d__x000a_WHERE DATA_SALDO=@DATA_SALDO AND REDE_LOJAS = 1 _x000d__x000a_ _x000d__x000a_ORDER BY PRODUTO, COR"/>
  </connection>
</connections>
</file>

<file path=xl/sharedStrings.xml><?xml version="1.0" encoding="utf-8"?>
<sst xmlns="http://schemas.openxmlformats.org/spreadsheetml/2006/main" count="11623" uniqueCount="2326">
  <si>
    <t>PRODUTO</t>
  </si>
  <si>
    <t>DESCRIÇÃO</t>
  </si>
  <si>
    <t>COR</t>
  </si>
  <si>
    <t>DESCRIÇÃO COR</t>
  </si>
  <si>
    <t>PREÇO</t>
  </si>
  <si>
    <t>GRADE</t>
  </si>
  <si>
    <t>(   )</t>
  </si>
  <si>
    <t>TAMANHOS</t>
  </si>
  <si>
    <t>T1</t>
  </si>
  <si>
    <t>T2</t>
  </si>
  <si>
    <t>T3</t>
  </si>
  <si>
    <t>T4</t>
  </si>
  <si>
    <t>T5</t>
  </si>
  <si>
    <t>T6</t>
  </si>
  <si>
    <t>T7</t>
  </si>
  <si>
    <t>VALOR</t>
  </si>
  <si>
    <t>QTDE</t>
  </si>
  <si>
    <t>U</t>
  </si>
  <si>
    <t>P</t>
  </si>
  <si>
    <t>M</t>
  </si>
  <si>
    <t>G</t>
  </si>
  <si>
    <t>RAZÃO SOCIAL</t>
  </si>
  <si>
    <t>NOME FANTASIA</t>
  </si>
  <si>
    <t>CIDADE</t>
  </si>
  <si>
    <t>CNPJ</t>
  </si>
  <si>
    <t>UF</t>
  </si>
  <si>
    <t>TEL</t>
  </si>
  <si>
    <t>DATA</t>
  </si>
  <si>
    <t>COND PGTO</t>
  </si>
  <si>
    <t>REPRESENTANTE</t>
  </si>
  <si>
    <t>VALOR PEDIDO</t>
  </si>
  <si>
    <t>36-44</t>
  </si>
  <si>
    <t>0005</t>
  </si>
  <si>
    <t>PRETO</t>
  </si>
  <si>
    <t>34-44</t>
  </si>
  <si>
    <t>6223</t>
  </si>
  <si>
    <t>VERDE EDEN</t>
  </si>
  <si>
    <t>6206</t>
  </si>
  <si>
    <t>BEGE KHAKI</t>
  </si>
  <si>
    <t>0300</t>
  </si>
  <si>
    <t>VERDE</t>
  </si>
  <si>
    <t>36-42</t>
  </si>
  <si>
    <t>0003</t>
  </si>
  <si>
    <t>OFF WHITE</t>
  </si>
  <si>
    <t>0002</t>
  </si>
  <si>
    <t>BRANCO</t>
  </si>
  <si>
    <t>04.13.0867</t>
  </si>
  <si>
    <t>6216</t>
  </si>
  <si>
    <t>0105</t>
  </si>
  <si>
    <t>JEANS MEDIO</t>
  </si>
  <si>
    <t>0101</t>
  </si>
  <si>
    <t>JEANS CLARO</t>
  </si>
  <si>
    <t>0109</t>
  </si>
  <si>
    <t>JEANS ESCURO</t>
  </si>
  <si>
    <t>6209</t>
  </si>
  <si>
    <t>CINZA OLIVA</t>
  </si>
  <si>
    <t>P-M-G</t>
  </si>
  <si>
    <t>6222</t>
  </si>
  <si>
    <t>VERDE DEEP</t>
  </si>
  <si>
    <t>07.02.5794</t>
  </si>
  <si>
    <t>MARROM OURO</t>
  </si>
  <si>
    <t>P AO G</t>
  </si>
  <si>
    <t>SAPATOS-34/40</t>
  </si>
  <si>
    <t>0011</t>
  </si>
  <si>
    <t>GRAFITE</t>
  </si>
  <si>
    <t>UNICO</t>
  </si>
  <si>
    <t>PRETO/OFF WHITE</t>
  </si>
  <si>
    <t>0600</t>
  </si>
  <si>
    <t>MARROM</t>
  </si>
  <si>
    <t>P-M-G-GG</t>
  </si>
  <si>
    <t>6202</t>
  </si>
  <si>
    <t>AZUL MARITIME</t>
  </si>
  <si>
    <t>1407</t>
  </si>
  <si>
    <t>MESCLA</t>
  </si>
  <si>
    <t>6228</t>
  </si>
  <si>
    <t>VERMELHO TULIPA</t>
  </si>
  <si>
    <t>CALCA JOGGING BOLSOS</t>
  </si>
  <si>
    <t>6006</t>
  </si>
  <si>
    <t>VESTIDO AMPLO ILHOES</t>
  </si>
  <si>
    <t>03.01.0954</t>
  </si>
  <si>
    <t>JAQUETA PERFECTO BLACK</t>
  </si>
  <si>
    <t>0088</t>
  </si>
  <si>
    <t>BLACK DENIM</t>
  </si>
  <si>
    <t>03.01.0961</t>
  </si>
  <si>
    <t>JAQUETA JEANS OVERSIZED RESPINGOS</t>
  </si>
  <si>
    <t>03.01.0962</t>
  </si>
  <si>
    <t>JAQUETA CLASSIC AMACIADA</t>
  </si>
  <si>
    <t>03.01.0963</t>
  </si>
  <si>
    <t>JAQUETA DE SARJA COM BOTOES</t>
  </si>
  <si>
    <t>01035</t>
  </si>
  <si>
    <t>VERDE MARCHE</t>
  </si>
  <si>
    <t>03.01.0966</t>
  </si>
  <si>
    <t>JAQUETA DE COURO MOTOR BASIC COLOR</t>
  </si>
  <si>
    <t>01024</t>
  </si>
  <si>
    <t>BEGE SAFARI</t>
  </si>
  <si>
    <t>01040</t>
  </si>
  <si>
    <t>VERDE DUFFEL</t>
  </si>
  <si>
    <t>03.01.0972</t>
  </si>
  <si>
    <t>JAQUETA DE COURO MOTOR MIX TEXTURAS</t>
  </si>
  <si>
    <t>03.01.0973</t>
  </si>
  <si>
    <t>JAQUETA DE COURO DETALHE NERVURA</t>
  </si>
  <si>
    <t>03.01.0994</t>
  </si>
  <si>
    <t>JAQUETA DE COURO OVERSIZED BASIC</t>
  </si>
  <si>
    <t>03.01.1014</t>
  </si>
  <si>
    <t>JAQUETA DE COURO CURTA BOTAO VAZADO</t>
  </si>
  <si>
    <t>03.03.0119</t>
  </si>
  <si>
    <t>PARKA NYLON ACQUA GOLA AMPLA SP67W21</t>
  </si>
  <si>
    <t>01016</t>
  </si>
  <si>
    <t>CINZA SEAGRASS</t>
  </si>
  <si>
    <t>03.04.0334</t>
  </si>
  <si>
    <t>BLAZER CREPE</t>
  </si>
  <si>
    <t>03.07.1092</t>
  </si>
  <si>
    <t>CASACO MOLETOM VERMELHO TERROSO</t>
  </si>
  <si>
    <t>01036</t>
  </si>
  <si>
    <t>VERMELHO TERROSO</t>
  </si>
  <si>
    <t>03.07.1094</t>
  </si>
  <si>
    <t>TOP ANML TRICOS PRETO</t>
  </si>
  <si>
    <t>03.14.0088</t>
  </si>
  <si>
    <t>KIMONO PJ POIS LUA PRETO P</t>
  </si>
  <si>
    <t>21092</t>
  </si>
  <si>
    <t>EST POIS LUA PRETO P</t>
  </si>
  <si>
    <t>03.14.0089</t>
  </si>
  <si>
    <t>KIMONO TAPECARIA GEOMETRICO</t>
  </si>
  <si>
    <t>21096</t>
  </si>
  <si>
    <t>EST TAPECARIA GEOMETRICO LARANJA</t>
  </si>
  <si>
    <t>03.61.0060</t>
  </si>
  <si>
    <t>TRENCH COAT LIOCEL BOLSOS SP28W21</t>
  </si>
  <si>
    <t>04.13.0779</t>
  </si>
  <si>
    <t>CALÇA LIKE LEATHER SKINNY COM ZÍPER ZH37</t>
  </si>
  <si>
    <t>04.13.0846</t>
  </si>
  <si>
    <t>CALCA DE COURO BOLSOS METAIS</t>
  </si>
  <si>
    <t>04.13.0851</t>
  </si>
  <si>
    <t>CALCA DE COURO STRETCH RECORTES</t>
  </si>
  <si>
    <t>04.13.0894</t>
  </si>
  <si>
    <t>CALCA PJ LOOSE DRAGAO TATTOO LENNON</t>
  </si>
  <si>
    <t>21011</t>
  </si>
  <si>
    <t>EST DRAGAO TATTOO LENNON M</t>
  </si>
  <si>
    <t>04.13.0909</t>
  </si>
  <si>
    <t>CALCA LOOSE CARROT PRETO</t>
  </si>
  <si>
    <t>PP-GG</t>
  </si>
  <si>
    <t>04.13.0910</t>
  </si>
  <si>
    <t>CALCA SEDA JUPITER</t>
  </si>
  <si>
    <t>21015</t>
  </si>
  <si>
    <t>EST FIG CONSTELACAO PRETO</t>
  </si>
  <si>
    <t>04.13.0913</t>
  </si>
  <si>
    <t>CALÇA LIOCEL AFUNILADA PREGAS SP30W21</t>
  </si>
  <si>
    <t>04.13.0914</t>
  </si>
  <si>
    <t>CALÇA LIOCEL LEVE JOGGING SP62W21</t>
  </si>
  <si>
    <t>0930</t>
  </si>
  <si>
    <t>04.13.0915</t>
  </si>
  <si>
    <t>CALÇA LIOCEL PUNHO AJUSTAVEL SP22W21</t>
  </si>
  <si>
    <t>01026</t>
  </si>
  <si>
    <t>BEGE SAND</t>
  </si>
  <si>
    <t>04.13.0916</t>
  </si>
  <si>
    <t>CALÇA TENCEL SLIM COM BOLSOS</t>
  </si>
  <si>
    <t>04.13.0920</t>
  </si>
  <si>
    <t>CALCA CLOCHARD POIS LUA PRETO</t>
  </si>
  <si>
    <t>04.13.0921</t>
  </si>
  <si>
    <t>CALCA CLOCHARD IKAT FUTURISTA RUM</t>
  </si>
  <si>
    <t>21048</t>
  </si>
  <si>
    <t>EST IKAT FUTURISTA RUM E SLATE</t>
  </si>
  <si>
    <t>04.13.0924</t>
  </si>
  <si>
    <t>CALCA SEDA ASTROS</t>
  </si>
  <si>
    <t>21104</t>
  </si>
  <si>
    <t>EST TEXTURA MAPA PB G</t>
  </si>
  <si>
    <t>04.13.0925</t>
  </si>
  <si>
    <t>CALCA DE COURO E MALHA MATELASSE</t>
  </si>
  <si>
    <t>04.13.0926</t>
  </si>
  <si>
    <t>CALCA DE COURO FLARE ZIPER FRONTAL</t>
  </si>
  <si>
    <t>04.13.0938</t>
  </si>
  <si>
    <t>CALCA APOLO</t>
  </si>
  <si>
    <t>04.13.0944</t>
  </si>
  <si>
    <t>CALCA MAPA PB</t>
  </si>
  <si>
    <t>04.13.0954</t>
  </si>
  <si>
    <t>CALCA CARGO MAPA LENON</t>
  </si>
  <si>
    <t>21376</t>
  </si>
  <si>
    <t>EST TEXTURA MAPA LENNON G</t>
  </si>
  <si>
    <t>04.16.0233</t>
  </si>
  <si>
    <t>CALCA JEANS BOY BOYFRIEND RASGOS</t>
  </si>
  <si>
    <t>04.16.0234</t>
  </si>
  <si>
    <t>CALCA BOYFRIEND HIGH BARRA DESTROYED BLA</t>
  </si>
  <si>
    <t>2290</t>
  </si>
  <si>
    <t>JEANS BLACK MEDIO</t>
  </si>
  <si>
    <t>04.50.0110</t>
  </si>
  <si>
    <t>CALCA CLOCHARD ONCA ROCK MARCHE</t>
  </si>
  <si>
    <t>21060</t>
  </si>
  <si>
    <t>EST ONCA ROCK SEAGRASS E MARCHE</t>
  </si>
  <si>
    <t>04.69.1712</t>
  </si>
  <si>
    <t>CALCA JEANS BASIC SKINNY HIGH COURINHO V</t>
  </si>
  <si>
    <t>04.69.1713</t>
  </si>
  <si>
    <t>CALCA JEANS BASIC SKINNY MIDI</t>
  </si>
  <si>
    <t>04.69.1714</t>
  </si>
  <si>
    <t>CALCA JEANS BASIC SKINNY HIGH DESTROYED</t>
  </si>
  <si>
    <t>04.69.1716</t>
  </si>
  <si>
    <t>CALCA BASIC SKINNY LONG HIGH TRAVETES VE</t>
  </si>
  <si>
    <t>04.69.1717</t>
  </si>
  <si>
    <t>CALCA SARJA HIGH  SUPER AMARRACAO COS</t>
  </si>
  <si>
    <t>04.69.1721</t>
  </si>
  <si>
    <t>CALCA JEANS ROCK SKINNY MIDI BARRA DESTR</t>
  </si>
  <si>
    <t>04.69.1725</t>
  </si>
  <si>
    <t>CALCA  BASIC SKINNY HIGH DEGRAU BARRA</t>
  </si>
  <si>
    <t>04.69.1728</t>
  </si>
  <si>
    <t>CALCA BASIC SKINNY HIGH AMARRACAO</t>
  </si>
  <si>
    <t>04.69.1730</t>
  </si>
  <si>
    <t>CALCA BASIC SKINNY HIGH COLOR STONED</t>
  </si>
  <si>
    <t>01032</t>
  </si>
  <si>
    <t>LARANJA MODART</t>
  </si>
  <si>
    <t>04.69.1731</t>
  </si>
  <si>
    <t>CALCA BASIC SKINNY LONG HIGH PREMIUM COL</t>
  </si>
  <si>
    <t>01031</t>
  </si>
  <si>
    <t>BEGE SAUTERN</t>
  </si>
  <si>
    <t>04.69.1732</t>
  </si>
  <si>
    <t>CALCA BASIC SKINNY MIDI COLOR</t>
  </si>
  <si>
    <t>04.69.1734</t>
  </si>
  <si>
    <t>CALCA BASIC SKINNY HIGH PUIDOS LEVES</t>
  </si>
  <si>
    <t>04.69.1735</t>
  </si>
  <si>
    <t>CALCA BASIC SKINNY MIDI RASGOS</t>
  </si>
  <si>
    <t>04.80.0025</t>
  </si>
  <si>
    <t>CALCA JEANS BOY CARROT ZIP BOLSO RELOGIO</t>
  </si>
  <si>
    <t>04.81.0071</t>
  </si>
  <si>
    <t>CALCA SARJA BOYFRIEND RASGOS</t>
  </si>
  <si>
    <t>04.81.0076</t>
  </si>
  <si>
    <t>CALCA JOGGER ESPORTE NYLON E SARJA</t>
  </si>
  <si>
    <t>07.02.5752</t>
  </si>
  <si>
    <t>VESTIDO CURTO ONCA LILAS E VERDE</t>
  </si>
  <si>
    <t>4612</t>
  </si>
  <si>
    <t>EST ONÇA LILÁS E VERDE</t>
  </si>
  <si>
    <t>07.02.5757</t>
  </si>
  <si>
    <t>VESTIDO CAIXOTE PAETE</t>
  </si>
  <si>
    <t>07.02.5831</t>
  </si>
  <si>
    <t>VESTIDO ROLOTES TUNEL ONCA ROCK</t>
  </si>
  <si>
    <t>07.02.5837</t>
  </si>
  <si>
    <t>VESTIDO CURTO BABADO ROLOTE POIS LUA</t>
  </si>
  <si>
    <t>07.02.5841</t>
  </si>
  <si>
    <t>VESTIDO CURTO PARKA TRICOLINE GEO</t>
  </si>
  <si>
    <t>21042</t>
  </si>
  <si>
    <t>EST GEO CIRCUITO BETULA E ACIDO</t>
  </si>
  <si>
    <t>07.02.5848</t>
  </si>
  <si>
    <t>VESTIDO CURTO OMBRO A OMBRO TAPECARIA</t>
  </si>
  <si>
    <t>07.02.5849</t>
  </si>
  <si>
    <t>VESTIDO CURTO VERDE MARCHE</t>
  </si>
  <si>
    <t>07.02.5850</t>
  </si>
  <si>
    <t>VESTIDO CURTO GRAVATARIA SEED ORIGINAL</t>
  </si>
  <si>
    <t>21046</t>
  </si>
  <si>
    <t>EST GRAVATARIA SEED ORIGINAL</t>
  </si>
  <si>
    <t>07.02.5860</t>
  </si>
  <si>
    <t>VESTIDO UNIVERSO</t>
  </si>
  <si>
    <t>07.02.5861</t>
  </si>
  <si>
    <t>VESTIDO SATELITE</t>
  </si>
  <si>
    <t>21102</t>
  </si>
  <si>
    <t>EST TEXTURA MAPA EXUBERANCE E LAZULI G</t>
  </si>
  <si>
    <t>07.02.5864</t>
  </si>
  <si>
    <t>VESTIDO KIMONO DRAGAO TATTOO</t>
  </si>
  <si>
    <t>07.02.5866</t>
  </si>
  <si>
    <t>VESTIDO SEDA ATMOSFERA</t>
  </si>
  <si>
    <t>07.02.5881</t>
  </si>
  <si>
    <t>VESTIDO TRICOT PULL LISTRADO</t>
  </si>
  <si>
    <t>PRETO/MARINHO</t>
  </si>
  <si>
    <t>01020</t>
  </si>
  <si>
    <t>CARAMELO TAFFY/BEGE OCHRE</t>
  </si>
  <si>
    <t>07.02.5883</t>
  </si>
  <si>
    <t>VESTIDO KIMONO IKAT RUM</t>
  </si>
  <si>
    <t>07.03.0315</t>
  </si>
  <si>
    <t>SLEEP DRESS GRAVATARIA SEED ORIGINAL</t>
  </si>
  <si>
    <t>07.04.0641</t>
  </si>
  <si>
    <t>VESTIDO MIDI POIS URCA AMAZON</t>
  </si>
  <si>
    <t>20127</t>
  </si>
  <si>
    <t>EST POIS URCA AMAZON E BRANCO HALL</t>
  </si>
  <si>
    <t>07.04.0645</t>
  </si>
  <si>
    <t>VESTIDO SURF ONCA LILAS E VERDE</t>
  </si>
  <si>
    <t>07.04.0653</t>
  </si>
  <si>
    <t>VESTIDO POIS LUREX GOLA ALTA</t>
  </si>
  <si>
    <t>P AO XG</t>
  </si>
  <si>
    <t>07.04.0687</t>
  </si>
  <si>
    <t>VESTIDO TERESA ESTAMPADO</t>
  </si>
  <si>
    <t>20110</t>
  </si>
  <si>
    <t>EST LOCALIZADO COLAGEM BANANEIRA VESTIDO</t>
  </si>
  <si>
    <t>07.04.0870</t>
  </si>
  <si>
    <t>VESTIDO CHEMISE MANGA CURTA ONCA MARCHE</t>
  </si>
  <si>
    <t>07.04.0875</t>
  </si>
  <si>
    <t>VESTIDO BARRA ARREDONDADA PALA FRANZIDA</t>
  </si>
  <si>
    <t>07.04.0876</t>
  </si>
  <si>
    <t>VESTIDO MILITAR DRAGAO TATTOO</t>
  </si>
  <si>
    <t>07.04.0881</t>
  </si>
  <si>
    <t>VESTIDO MANGA AMPLA MIDI IKAT FUTURISTA</t>
  </si>
  <si>
    <t>07.04.0897</t>
  </si>
  <si>
    <t>VESTIDO MIDI CACHECOEUR DRAGAO TATTOO</t>
  </si>
  <si>
    <t>07.04.0903</t>
  </si>
  <si>
    <t>VESTIDO MIDI BOHO DECOTE RETO POIS LUA</t>
  </si>
  <si>
    <t>07.04.0904</t>
  </si>
  <si>
    <t>VESTIDO RECORTES AMPLO BOHO</t>
  </si>
  <si>
    <t>07.04.0911</t>
  </si>
  <si>
    <t>VESTIDO BOHO LARANJA MODART</t>
  </si>
  <si>
    <t>07.04.0917</t>
  </si>
  <si>
    <t>VESTIDO MIDI TEXTURA MAPA LENNON</t>
  </si>
  <si>
    <t>21103</t>
  </si>
  <si>
    <t>EST TEXTURA MAPA LENNON</t>
  </si>
  <si>
    <t>07.04.0918</t>
  </si>
  <si>
    <t>VESTIDO BALE TEXTURA MAPA LENNON</t>
  </si>
  <si>
    <t>07.04.0929</t>
  </si>
  <si>
    <t>VESTIDO BERRY MAPA EXUBERANCE</t>
  </si>
  <si>
    <t>07.04.0932</t>
  </si>
  <si>
    <t>VESTIDO AQUARIUS</t>
  </si>
  <si>
    <t>07.04.0934</t>
  </si>
  <si>
    <t>VESTIDO MIDI COM FAIXA POIS URCA AMAZON</t>
  </si>
  <si>
    <t>07.04.0935</t>
  </si>
  <si>
    <t>VESTIDO OMBRO A OMBRO BABADOS FLORAL</t>
  </si>
  <si>
    <t>21361</t>
  </si>
  <si>
    <t>EST FLORAL ORIENTAL DUFYY</t>
  </si>
  <si>
    <t>07.04.0936</t>
  </si>
  <si>
    <t>CHEMISE MANGA BUFANTE FLORAL ORIENTAL</t>
  </si>
  <si>
    <t>07.04.0938</t>
  </si>
  <si>
    <t>VESTIDO EVEREST</t>
  </si>
  <si>
    <t>07.04.0954</t>
  </si>
  <si>
    <t>VESTIDO PLANETA</t>
  </si>
  <si>
    <t>07.09.0787</t>
  </si>
  <si>
    <t>VESTIDO TRICOT DETALHE METALIZADO</t>
  </si>
  <si>
    <t>07.09.0804</t>
  </si>
  <si>
    <t>VESTIDO TRICOT LONGO POLO LISTRADO</t>
  </si>
  <si>
    <t>07.09.0854</t>
  </si>
  <si>
    <t>VESTIDO LONGO POIS URCA AMAZON</t>
  </si>
  <si>
    <t>07.09.0907</t>
  </si>
  <si>
    <t>VESTIDO LONGO GOLA CARECA ONCA ROCK</t>
  </si>
  <si>
    <t>07.09.0911</t>
  </si>
  <si>
    <t>VESTIDO JARDINEIRA IKAT FUTURISTA RUM</t>
  </si>
  <si>
    <t>07.09.0915</t>
  </si>
  <si>
    <t>VESTIDO LONGO ABOTOAMENTO GEO CIRCUITO</t>
  </si>
  <si>
    <t>07.09.0919</t>
  </si>
  <si>
    <t>VESTIDO BOHO BABADOS LONGO LARANJA</t>
  </si>
  <si>
    <t>07.09.0922</t>
  </si>
  <si>
    <t>VESTIDO LONGO TEXTURA MAPA LENNON</t>
  </si>
  <si>
    <t>07.09.0924</t>
  </si>
  <si>
    <t>VESTIDO ALCINHA TAPECARIA GEOMETRICO</t>
  </si>
  <si>
    <t>07.09.0925</t>
  </si>
  <si>
    <t>VESTIDO LONGO TAPECARIA GEOMETRICO</t>
  </si>
  <si>
    <t>07.20.4414</t>
  </si>
  <si>
    <t>VESTIDO DINDI</t>
  </si>
  <si>
    <t>07.20.4498</t>
  </si>
  <si>
    <t>VESTIDO DE COURO ROSIES</t>
  </si>
  <si>
    <t>07.20.4504</t>
  </si>
  <si>
    <t>VESTIDO DE COURO  E TWEED GOLA ALTA</t>
  </si>
  <si>
    <t>07.20.4508</t>
  </si>
  <si>
    <t>VESTIDO TRICOT AMARRACAO SEM MANGA COLOR</t>
  </si>
  <si>
    <t>07.20.4513</t>
  </si>
  <si>
    <t>CHEMISE JEANS</t>
  </si>
  <si>
    <t>1531</t>
  </si>
  <si>
    <t>07.21.0766</t>
  </si>
  <si>
    <t>VESTIDO DE LIOCEL CAPA</t>
  </si>
  <si>
    <t>07.21.0787</t>
  </si>
  <si>
    <t>VESTIDO BANANEIRA</t>
  </si>
  <si>
    <t>20109</t>
  </si>
  <si>
    <t>07.47.0391</t>
  </si>
  <si>
    <t>MACAQUINHO DE COURO MANGA LACO</t>
  </si>
  <si>
    <t>07.72.0020</t>
  </si>
  <si>
    <t>VESTIDO ANML TRICOS PRETO</t>
  </si>
  <si>
    <t>07.74.0035</t>
  </si>
  <si>
    <t>VESTIDO REGATA LISTRA MARINHO E OFF</t>
  </si>
  <si>
    <t>21312</t>
  </si>
  <si>
    <t>EST LISTRA MARITIME E OFF</t>
  </si>
  <si>
    <t>07.74.0037</t>
  </si>
  <si>
    <t>VESTIDO LONGO DRAGAO TATTOO LENNON</t>
  </si>
  <si>
    <t>20011</t>
  </si>
  <si>
    <t>EST DRAGAO TATTOO LENNON M ¨</t>
  </si>
  <si>
    <t>07.74.0039</t>
  </si>
  <si>
    <t>VESTIDO BABADO LISTRA MARINHO E OFF</t>
  </si>
  <si>
    <t>21309</t>
  </si>
  <si>
    <t>EST LISTRA MARITIME E OFF </t>
  </si>
  <si>
    <t>07.76.0003</t>
  </si>
  <si>
    <t>VESTIDO AMPLO DRAGAO TATTOO PRET</t>
  </si>
  <si>
    <t>21013</t>
  </si>
  <si>
    <t>EST DRAGÃO TATTOO PRET M</t>
  </si>
  <si>
    <t>07.78.0182</t>
  </si>
  <si>
    <t>VESTIDO MIDI GUIPURE VERDE DUFFEL</t>
  </si>
  <si>
    <t>07.78.0183</t>
  </si>
  <si>
    <t>VESTIDO MIDI GUIPURE PRETO</t>
  </si>
  <si>
    <t>07.78.0195</t>
  </si>
  <si>
    <t>VESTIDO GOLINHA DRAGAO TATTOO LENNON</t>
  </si>
  <si>
    <t>07.78.0196</t>
  </si>
  <si>
    <t>VESTIDO GOLINHA DRAGAO TATTOO PRET</t>
  </si>
  <si>
    <t>21014</t>
  </si>
  <si>
    <t>07.78.0203</t>
  </si>
  <si>
    <t>VESTIDO GOLINHA BABADOS PRETO</t>
  </si>
  <si>
    <t>07.78.0205</t>
  </si>
  <si>
    <t>VESTIDO ANML LISTRA SEAGRASS E DUFFEL</t>
  </si>
  <si>
    <t>21302</t>
  </si>
  <si>
    <t>EST LISTRA SEAGRASS E DUFFEL </t>
  </si>
  <si>
    <t>07.79.0115</t>
  </si>
  <si>
    <t>T-DRESS RECORTES LISTRA SEAGRASS DUFFEL</t>
  </si>
  <si>
    <t>21306</t>
  </si>
  <si>
    <t>07.79.0117</t>
  </si>
  <si>
    <t>VESTIDO WRAP LISTRA SAFARI E MODART</t>
  </si>
  <si>
    <t>21314</t>
  </si>
  <si>
    <t>EST LISTRA MODART E SAFARI </t>
  </si>
  <si>
    <t>07.79.0122</t>
  </si>
  <si>
    <t>VESTIDO MANGA AMPLA VERMELHO TERROSO</t>
  </si>
  <si>
    <t>07.79.0132</t>
  </si>
  <si>
    <t>VESTIDO WRAP LISTRA MARINHO E OFF</t>
  </si>
  <si>
    <t>07.80.0079</t>
  </si>
  <si>
    <t>VESTIDO PAREO LISTRA SAFARI E MODART</t>
  </si>
  <si>
    <t>21316</t>
  </si>
  <si>
    <t>07.80.0084</t>
  </si>
  <si>
    <t>VESTIDO GOLINHA PRETO OFF E DUFFEL</t>
  </si>
  <si>
    <t>VERDE DUFFEL/PRETO/OFF</t>
  </si>
  <si>
    <t>07.80.0089</t>
  </si>
  <si>
    <t>VESTIDO SPORT GOLA ALTA PB</t>
  </si>
  <si>
    <t>07.80.0090</t>
  </si>
  <si>
    <t>VESTIDO FLOR LOCALIZADA OFF WHITE</t>
  </si>
  <si>
    <t>07.80.0091</t>
  </si>
  <si>
    <t>VESTIDO PAREO LISTRA SEAGRASS E DUFFEL</t>
  </si>
  <si>
    <t>07.93.1619</t>
  </si>
  <si>
    <t>MACACAO BRILHO POIS LUREX PRETO</t>
  </si>
  <si>
    <t>07.93.1635</t>
  </si>
  <si>
    <t>MACACAO ELEGANCE PRETO</t>
  </si>
  <si>
    <t>07.93.1675</t>
  </si>
  <si>
    <t>MACACAO PAETE TRANSPASSE DOURADO</t>
  </si>
  <si>
    <t>07.93.1737</t>
  </si>
  <si>
    <t>MACACAO BOLSOS CAVA COMPRIDA DRAGAO</t>
  </si>
  <si>
    <t>07.93.1749</t>
  </si>
  <si>
    <t>MACACAO MAXI POIS LUA PRETO P</t>
  </si>
  <si>
    <t>07.93.1771</t>
  </si>
  <si>
    <t>MACACAO LOOSE OMBRO A OMBRO PRETO</t>
  </si>
  <si>
    <t>07.93.1778</t>
  </si>
  <si>
    <t>MACACAO SPACE</t>
  </si>
  <si>
    <t>07.93.1783</t>
  </si>
  <si>
    <t>MACACAO MOLETINHO FIVELA PRETO</t>
  </si>
  <si>
    <t>07.93.1787</t>
  </si>
  <si>
    <t>MACACAO GOLA ALTA SEM MANGA PRETO</t>
  </si>
  <si>
    <t>07.93.1789</t>
  </si>
  <si>
    <t>MACACAO MOLETINHO VERMELHO TERROSO</t>
  </si>
  <si>
    <t>08.04.0166</t>
  </si>
  <si>
    <t>MACACAO SARJA  BOLSO FRONTAL</t>
  </si>
  <si>
    <t>08.04.0167</t>
  </si>
  <si>
    <t>MACACAO JUMPSUIT JEANS ML CINTO COURO FA</t>
  </si>
  <si>
    <t>09.01.1698</t>
  </si>
  <si>
    <t>SANDALIA DE COURO ASSIMETRICA</t>
  </si>
  <si>
    <t>09.01.1711</t>
  </si>
  <si>
    <t>SANDALIA DE COURO AMARRACAO ANML</t>
  </si>
  <si>
    <t>09.01.1843</t>
  </si>
  <si>
    <t>SANDALIA DE COURO PELO FAKE VELCRO</t>
  </si>
  <si>
    <t>SAPATOS 34/39</t>
  </si>
  <si>
    <t>09.02.0513</t>
  </si>
  <si>
    <t>BOTA DE COURO SALMAO METAL ANML</t>
  </si>
  <si>
    <t>09.02.0537</t>
  </si>
  <si>
    <t>BOTA DE COURO STRETCH BASIC</t>
  </si>
  <si>
    <t>09.02.0541</t>
  </si>
  <si>
    <t>BOTA DE COURO BOX VIRA COLOR</t>
  </si>
  <si>
    <t>SAPATOS 35/39</t>
  </si>
  <si>
    <t>09.02.0542</t>
  </si>
  <si>
    <t>BOTA DE COURO MATELASSE</t>
  </si>
  <si>
    <t>09.02.0547</t>
  </si>
  <si>
    <t>BOTA DE CAMURCA E TRICOT CANO MEDIO</t>
  </si>
  <si>
    <t>09.02.0548</t>
  </si>
  <si>
    <t>BOTA DE COURO E NEOPRENE CANO ALTO</t>
  </si>
  <si>
    <t>10.01.0837</t>
  </si>
  <si>
    <t>BOLSA COURO CROSSBODY COLOR</t>
  </si>
  <si>
    <t>10.01.0838</t>
  </si>
  <si>
    <t>BOLSA COURO CROSSBODY</t>
  </si>
  <si>
    <t>10.01.0846</t>
  </si>
  <si>
    <t>BOLSA COURO TEXTURE</t>
  </si>
  <si>
    <t>10.02.0722</t>
  </si>
  <si>
    <t>BOLSA COURO SACO SNAKE</t>
  </si>
  <si>
    <t>10.02.0748</t>
  </si>
  <si>
    <t>BOLSA BAU COURO MATELASSE</t>
  </si>
  <si>
    <t>10.03.0684</t>
  </si>
  <si>
    <t>MOCHILA COURO MATELASSE OUT OF SPACE</t>
  </si>
  <si>
    <t>11.05.0114</t>
  </si>
  <si>
    <t>CINTO COBRA NAVALHADA COM MOSQUETAO</t>
  </si>
  <si>
    <t>11.05.0117</t>
  </si>
  <si>
    <t>CINTO FIVELA REDONDA FORRADA</t>
  </si>
  <si>
    <t>24.01.1615</t>
  </si>
  <si>
    <t>CAMISA AMARRACAO TAPECARIA GEOMETRICO</t>
  </si>
  <si>
    <t>24.01.1616</t>
  </si>
  <si>
    <t>CAMISA MANGA CURTA VERDE MARCHE</t>
  </si>
  <si>
    <t>24.01.1619</t>
  </si>
  <si>
    <t>VESTIDO MIDI MANGAO GRAVATARIA SEED</t>
  </si>
  <si>
    <t>24.01.1630</t>
  </si>
  <si>
    <t>CAMISA NEBLINA</t>
  </si>
  <si>
    <t>24.01.1631</t>
  </si>
  <si>
    <t>CAMISA SEDA LEO</t>
  </si>
  <si>
    <t>24.01.1637</t>
  </si>
  <si>
    <t>CAMISA CONSTELACAO</t>
  </si>
  <si>
    <t>24.01.1640</t>
  </si>
  <si>
    <t>CAMISA ESFERA</t>
  </si>
  <si>
    <t>24.01.1649</t>
  </si>
  <si>
    <t>CAMISA OMBRO DESLOCADO SIGNOS</t>
  </si>
  <si>
    <t>24.01.1654</t>
  </si>
  <si>
    <t>CAMISA TRICOLINE AMARTE</t>
  </si>
  <si>
    <t>25.01.2709</t>
  </si>
  <si>
    <t>CALCA CLOCHARD PAETE</t>
  </si>
  <si>
    <t>25.01.2754</t>
  </si>
  <si>
    <t>CALÇA JOGGING LIKE LEATHER</t>
  </si>
  <si>
    <t>25.01.2847</t>
  </si>
  <si>
    <t>CALCA TAPECARIA GEOMETRICA</t>
  </si>
  <si>
    <t>25.01.2862</t>
  </si>
  <si>
    <t>CALCA CARROT UTILITARIA</t>
  </si>
  <si>
    <t>25.01.2869</t>
  </si>
  <si>
    <t>CALCA JEANS VINTAGE</t>
  </si>
  <si>
    <t>1530</t>
  </si>
  <si>
    <t>25.01.2877</t>
  </si>
  <si>
    <t>LEGGING TRICOT MESCLA</t>
  </si>
  <si>
    <t>25.01.2879</t>
  </si>
  <si>
    <t>CALÇA NYLON ACQUA JOGGING SP03W21</t>
  </si>
  <si>
    <t>25.01.2882</t>
  </si>
  <si>
    <t>CALCA TRICOT CANELADA BOTOES</t>
  </si>
  <si>
    <t>25.01.2887</t>
  </si>
  <si>
    <t>CALCA CURTA MOLETINHO PRETA</t>
  </si>
  <si>
    <t>25.01.2890</t>
  </si>
  <si>
    <t>CALCA MOLETOM VERDE MARCHE</t>
  </si>
  <si>
    <t>25.01.2891</t>
  </si>
  <si>
    <t>CALCA MOLETOM VERMELHO TERROSO</t>
  </si>
  <si>
    <t>25.01.2893</t>
  </si>
  <si>
    <t>CALCA TIK BANDAGEM PRETO E MARCHE</t>
  </si>
  <si>
    <t>VERDE MARCHE/PRETO</t>
  </si>
  <si>
    <t>25.01.2910</t>
  </si>
  <si>
    <t>CALCA SKINNY JEANS MEDIO</t>
  </si>
  <si>
    <t>25.01.2915</t>
  </si>
  <si>
    <t>LEGGING TEXTURA MAPA LENNON</t>
  </si>
  <si>
    <t>25.02.2697</t>
  </si>
  <si>
    <t>SAIA LIKE LEATHER ASSIMÉTRICA CINTO ZH24</t>
  </si>
  <si>
    <t>0012</t>
  </si>
  <si>
    <t>MARROM HERMES</t>
  </si>
  <si>
    <t>25.02.2872</t>
  </si>
  <si>
    <t>SAIA DE COURO BASIC ZIPER</t>
  </si>
  <si>
    <t>25.02.2879</t>
  </si>
  <si>
    <t>SAIA MILITAR ELÁSTICO LIKE LEATHER</t>
  </si>
  <si>
    <t>25.02.3010</t>
  </si>
  <si>
    <t>SAIA DE COURO CURTA ASSIMETRICA</t>
  </si>
  <si>
    <t>25.02.3017</t>
  </si>
  <si>
    <t>SAIA ESTRELA</t>
  </si>
  <si>
    <t>25.02.3022</t>
  </si>
  <si>
    <t>SAIA DE COURO BOLSO FRONTAL BOTOES</t>
  </si>
  <si>
    <t>25.02.3023</t>
  </si>
  <si>
    <t>SAIA DE COURO E TWEED CURTA BOLSO LATERA</t>
  </si>
  <si>
    <t>25.02.3034</t>
  </si>
  <si>
    <t>SAIA PAREO POIS LUA PRETO</t>
  </si>
  <si>
    <t>25.02.3035</t>
  </si>
  <si>
    <t>SAIA CLOCHARD AMARRACAO ONCA ROCK</t>
  </si>
  <si>
    <t>25.02.3040</t>
  </si>
  <si>
    <t>SAIA DE COURO MIDI FENDA FRONTAL</t>
  </si>
  <si>
    <t>25.05.2803</t>
  </si>
  <si>
    <t>SHORT SARJA BOX RASGOS COM REFORCO</t>
  </si>
  <si>
    <t>25.30.0036</t>
  </si>
  <si>
    <t>CALCA DE SARJA CARGO MAQUINETADO</t>
  </si>
  <si>
    <t>25.30.0045</t>
  </si>
  <si>
    <t>SAIA TRICOT MIX UTILITARIA</t>
  </si>
  <si>
    <t>25.31.0048</t>
  </si>
  <si>
    <t>SAIA SARJA BASIC RASGOS COM REFORCO</t>
  </si>
  <si>
    <t>27.01.0882</t>
  </si>
  <si>
    <t>COLAR 1/2 CORACAO G BRILHO</t>
  </si>
  <si>
    <t>1101</t>
  </si>
  <si>
    <t>PRATA VELHO</t>
  </si>
  <si>
    <t>27.03.1060</t>
  </si>
  <si>
    <t>BRINCO CORRENTE CRISTAIS OURO</t>
  </si>
  <si>
    <t>27.03.1082</t>
  </si>
  <si>
    <t>BRINCO DE METAL MALHA</t>
  </si>
  <si>
    <t>27.03.1100</t>
  </si>
  <si>
    <t>BRINCO 1/2 CORACAO</t>
  </si>
  <si>
    <t>27.03.1101</t>
  </si>
  <si>
    <t>BRINCO 1/2 CORACAO CORRENTE</t>
  </si>
  <si>
    <t>27.03.1112</t>
  </si>
  <si>
    <t>BRINCO PEROLA CRISTAIS COLOR</t>
  </si>
  <si>
    <t>0001</t>
  </si>
  <si>
    <t>UNICA</t>
  </si>
  <si>
    <t>28.01.0111</t>
  </si>
  <si>
    <t>OVERTOP MAPA PB</t>
  </si>
  <si>
    <t>28.01.0114</t>
  </si>
  <si>
    <t>OVERTOP SILK MAPA LARANJA</t>
  </si>
  <si>
    <t>28.03.0126</t>
  </si>
  <si>
    <t>OVERTOP GRAVIDADE</t>
  </si>
  <si>
    <t>43.01.0453</t>
  </si>
  <si>
    <t>BLUSA MG LONGA ALTA JESS COLOR</t>
  </si>
  <si>
    <t>43.01.0455</t>
  </si>
  <si>
    <t>BLUSA MG LONGA GOLA ALTA JESS</t>
  </si>
  <si>
    <t>43.01.0492</t>
  </si>
  <si>
    <t>RAGLAN DESCONSTRUIDA MESCLA</t>
  </si>
  <si>
    <t>43.01.0493</t>
  </si>
  <si>
    <t>SEGUNDA PELE MALHA BASIC</t>
  </si>
  <si>
    <t>43.01.0504</t>
  </si>
  <si>
    <t>BLUSA AMPLA MG LONGA DUFFEL</t>
  </si>
  <si>
    <t>43.01.0505</t>
  </si>
  <si>
    <t>BLUSA AMPLA MG LONGA TERROSO</t>
  </si>
  <si>
    <t>43.01.0507</t>
  </si>
  <si>
    <t>SEGUNDA PELE GOLA ALTA MESCLA</t>
  </si>
  <si>
    <t>43.01.0511</t>
  </si>
  <si>
    <t>BLUSA GOLA MALHA BASIC DUFFEL</t>
  </si>
  <si>
    <t>43.01.0514</t>
  </si>
  <si>
    <t>BLUSA GOLA MALHA BASIC</t>
  </si>
  <si>
    <t>43.01.0519</t>
  </si>
  <si>
    <t>RAGLAN DESCONSTRUIDA LARANJA EXUBERANCE</t>
  </si>
  <si>
    <t>01028</t>
  </si>
  <si>
    <t>LARANJA EXUBERANCE</t>
  </si>
  <si>
    <t>43.03.0178</t>
  </si>
  <si>
    <t>REGATA MIX ALCA FINA DUFFEL</t>
  </si>
  <si>
    <t>43.03.0179</t>
  </si>
  <si>
    <t>REGATA MIX ALCA FINA MESCLA</t>
  </si>
  <si>
    <t>44.01.1067</t>
  </si>
  <si>
    <t>BLUSA MALHA CREPE POLO OFF WHITE</t>
  </si>
  <si>
    <t>44.11.0049</t>
  </si>
  <si>
    <t>BLUSA GOLTA ALTA WOOL VERDE MARCHE</t>
  </si>
  <si>
    <t>44.11.0050</t>
  </si>
  <si>
    <t>BLUSA GOLA ROLE PB</t>
  </si>
  <si>
    <t>PRETO/OFF</t>
  </si>
  <si>
    <t>44.11.0055</t>
  </si>
  <si>
    <t>SEGUNDA PELE MALHA CREPE PB E DUFFEL</t>
  </si>
  <si>
    <t>PRETO/OFF WHITE/VERDE DUFFEL</t>
  </si>
  <si>
    <t>44.11.0060</t>
  </si>
  <si>
    <t>BLUSA MALHA CREPE POLO PRETA</t>
  </si>
  <si>
    <t>44.11.0061</t>
  </si>
  <si>
    <t>BLUSA GOLTA ALTA WOOL PRETA</t>
  </si>
  <si>
    <t>44.11.0063</t>
  </si>
  <si>
    <t>BLUSA GOLA ALTA WOOL VERMELHO TERROSO</t>
  </si>
  <si>
    <t>44.11.0064</t>
  </si>
  <si>
    <t>BLUSA MANGA AMPLA VERDE DUFFEL</t>
  </si>
  <si>
    <t>44.20.0021</t>
  </si>
  <si>
    <t>BLUSA LISTRA BABADO SAFARI E MODART</t>
  </si>
  <si>
    <t>44.20.0022</t>
  </si>
  <si>
    <t>BLUSA LISTRA BABADO MARINHO E OFF</t>
  </si>
  <si>
    <t>21308</t>
  </si>
  <si>
    <t>EST LISTRA  MARITIME E OFF </t>
  </si>
  <si>
    <t>44.20.0028</t>
  </si>
  <si>
    <t>T-SHIRT ANML LISTRA SEAGRASS E DUFFEL</t>
  </si>
  <si>
    <t>21318</t>
  </si>
  <si>
    <t>44.20.0030</t>
  </si>
  <si>
    <t>CROPPED GOLA ALTA BASIC</t>
  </si>
  <si>
    <t>44.20.0036</t>
  </si>
  <si>
    <t>CROPPED GOLA ALTA VERMELHO POPPY</t>
  </si>
  <si>
    <t>01033</t>
  </si>
  <si>
    <t>VERMELHO POPPY</t>
  </si>
  <si>
    <t>52.05.0897</t>
  </si>
  <si>
    <t>CAMISA PJ LOOSE DRAGAO TATTOO LENNON</t>
  </si>
  <si>
    <t>52.09.0032</t>
  </si>
  <si>
    <t>BLUSA TRICOT PULL ZEBRA LA14</t>
  </si>
  <si>
    <t>6026</t>
  </si>
  <si>
    <t>MARROM BOHO X NUDE LACE</t>
  </si>
  <si>
    <t>6027</t>
  </si>
  <si>
    <t>NUDE LACE X MARROM BOHO</t>
  </si>
  <si>
    <t>52.10.4048</t>
  </si>
  <si>
    <t>TOP POIS LUREX GOLA ALTA</t>
  </si>
  <si>
    <t>36 A 44</t>
  </si>
  <si>
    <t>52.10.4163</t>
  </si>
  <si>
    <t>TUNICA AMARRACAO PUNHO GEO CIRCUITO</t>
  </si>
  <si>
    <t>52.10.4171</t>
  </si>
  <si>
    <t>TOP BABADO ALCA ROLOTE ONCA ROCK</t>
  </si>
  <si>
    <t>EST ONCA ROCK SEAGRASS E MARCHE P</t>
  </si>
  <si>
    <t>52.10.4174</t>
  </si>
  <si>
    <t>BODY GEMINI CONSTELACAO</t>
  </si>
  <si>
    <t>52.10.4177</t>
  </si>
  <si>
    <t>TOP TELESCOPIO</t>
  </si>
  <si>
    <t>52.13.3519</t>
  </si>
  <si>
    <t>BATA NADADOR AMPLA DECOTE IKAT FUTURISTA</t>
  </si>
  <si>
    <t>52.13.3526</t>
  </si>
  <si>
    <t>TOP ALCINHA TAPECARIA GEOMETRICO</t>
  </si>
  <si>
    <t>52.13.3527</t>
  </si>
  <si>
    <t>TOP GOLA ALTA GRAVATARIA SEED ORIGINAL</t>
  </si>
  <si>
    <t>52.13.3531</t>
  </si>
  <si>
    <t>TOP MELISSA CONSTELACAO</t>
  </si>
  <si>
    <t>52.13.3533</t>
  </si>
  <si>
    <t>TOP WIZZI MAPA</t>
  </si>
  <si>
    <t>52.13.3536</t>
  </si>
  <si>
    <t>BATA FLORAL ORIENTAL DUFFY</t>
  </si>
  <si>
    <t>52.13.3537</t>
  </si>
  <si>
    <t>BATA TEXTURA MAPA LENNON</t>
  </si>
  <si>
    <t>52.13.3545</t>
  </si>
  <si>
    <t>TOP CRUZEIRO DO SUL</t>
  </si>
  <si>
    <t>52.13.3557</t>
  </si>
  <si>
    <t>TOP VENUS TEXTURA MAPA</t>
  </si>
  <si>
    <t>52.39.0161</t>
  </si>
  <si>
    <t>BODY BUZIOS FLORAL ORIENTAL</t>
  </si>
  <si>
    <t>52.39.0162</t>
  </si>
  <si>
    <t>BODY MAPA</t>
  </si>
  <si>
    <t>59.08.0008</t>
  </si>
  <si>
    <t>BLUSA LOVE MANGA LONGA BRANCA</t>
  </si>
  <si>
    <t>59.11.0147</t>
  </si>
  <si>
    <t>REGATA DRAGAO PRETO E MARCHE</t>
  </si>
  <si>
    <t>PRETO E VERDE MARCHE</t>
  </si>
  <si>
    <t>59.12.0271</t>
  </si>
  <si>
    <t>T-SHIRT SIGN AQUARIUS</t>
  </si>
  <si>
    <t>59.12.0272</t>
  </si>
  <si>
    <t>T-SHIRT SIGN ARIES</t>
  </si>
  <si>
    <t>59.12.0273</t>
  </si>
  <si>
    <t>T-SHIRT SIGN CANCER</t>
  </si>
  <si>
    <t>59.12.0278</t>
  </si>
  <si>
    <t>T-SHIRT SIGN GEMINI</t>
  </si>
  <si>
    <t>59.12.0279</t>
  </si>
  <si>
    <t>T-SHIRT SIGN LEO</t>
  </si>
  <si>
    <t>59.12.0280</t>
  </si>
  <si>
    <t>T-SHIRT SIGN LIBRA</t>
  </si>
  <si>
    <t>59.12.0284</t>
  </si>
  <si>
    <t>REGATA MARTE BRANCA</t>
  </si>
  <si>
    <t>59.12.0285</t>
  </si>
  <si>
    <t>REGATA MARTE CINZA LUA</t>
  </si>
  <si>
    <t>01027</t>
  </si>
  <si>
    <t>CINZA LUA</t>
  </si>
  <si>
    <t>59.12.0287</t>
  </si>
  <si>
    <t>T-SHIRT SIGN SCORPIO</t>
  </si>
  <si>
    <t>59.12.0288</t>
  </si>
  <si>
    <t>T-SHIRT SIGN VIRGO</t>
  </si>
  <si>
    <t>59.12.0289</t>
  </si>
  <si>
    <t>T-SHIRT SIGN PISCES</t>
  </si>
  <si>
    <t>59.12.0290</t>
  </si>
  <si>
    <t>T-SHIRT SIGN SAGITTARIUS</t>
  </si>
  <si>
    <t>59.12.0291</t>
  </si>
  <si>
    <t>T-SHIRT SIGN TAURUS</t>
  </si>
  <si>
    <t>59.12.0303</t>
  </si>
  <si>
    <t>T-SHIRT MINI ET LARANJA MODART</t>
  </si>
  <si>
    <t>59.12.0305</t>
  </si>
  <si>
    <t>T-SHIRT SIGN CAPRICORN</t>
  </si>
  <si>
    <t>65.04.0054</t>
  </si>
  <si>
    <t>OVERTOP DARK</t>
  </si>
  <si>
    <t>65.04.0056</t>
  </si>
  <si>
    <t>JAQUETA FUTURO ROSA BERRY</t>
  </si>
  <si>
    <t>01019</t>
  </si>
  <si>
    <t>ROSA BERRY</t>
  </si>
  <si>
    <t>65.04.0057</t>
  </si>
  <si>
    <t>JAQUETA GALAXIA AMARELO</t>
  </si>
  <si>
    <t>01021</t>
  </si>
  <si>
    <t>AMARELO PALE BANANA</t>
  </si>
  <si>
    <t>65.04.0058</t>
  </si>
  <si>
    <t>JAQUETA GALAXIA PRETA</t>
  </si>
  <si>
    <t>65.04.0059</t>
  </si>
  <si>
    <t>JAQUETA FUTURO LARANJA MODART</t>
  </si>
  <si>
    <t>69.03.0039</t>
  </si>
  <si>
    <t>BLUSA TULE GAML TEXTURA MAPA LENNON</t>
  </si>
  <si>
    <t>69.03.0042</t>
  </si>
  <si>
    <t>BLUSA TULE GAML FIG CONSTELACAO PT</t>
  </si>
  <si>
    <t>69.11.0663</t>
  </si>
  <si>
    <t>TOP SEDA NASA LARANJA</t>
  </si>
  <si>
    <t>69.11.0665</t>
  </si>
  <si>
    <t>TSHIRT SEDA SOL DECOTE ZIPER VERMELHA</t>
  </si>
  <si>
    <t>69.11.0672</t>
  </si>
  <si>
    <t>RAGLAN DRAGAO TATTOO PRET</t>
  </si>
  <si>
    <t>69.11.0675</t>
  </si>
  <si>
    <t>RAGLAN POIS LUA PRETO</t>
  </si>
  <si>
    <t>69.11.0678</t>
  </si>
  <si>
    <t>RAGLAN DRAGAO TATTOO LENNON</t>
  </si>
  <si>
    <t>69.12.0277</t>
  </si>
  <si>
    <t>BLUSA TULE GAML DRAGAO TATTOO PRET</t>
  </si>
  <si>
    <t>EST DRAGAO TATTOO PRET M</t>
  </si>
  <si>
    <t>69.12.0300</t>
  </si>
  <si>
    <t>TEE DVMC POIS LUA PRETO</t>
  </si>
  <si>
    <t>78.01.0346</t>
  </si>
  <si>
    <t>BLUSA TRICOT METALIZADA</t>
  </si>
  <si>
    <t>CAMEL MAPLE</t>
  </si>
  <si>
    <t>78.01.0394</t>
  </si>
  <si>
    <t>BLUSA TRICOT RECORTE COLOR</t>
  </si>
  <si>
    <t>PRETO/AZUL KLEIN</t>
  </si>
  <si>
    <t>78.01.0397</t>
  </si>
  <si>
    <t>BLUSA MANGA LONGA TRICOT LISTRAS BICOLOR</t>
  </si>
  <si>
    <t>78.01.0441</t>
  </si>
  <si>
    <t>BLUSA TRICOT CANELADA LUREX OURO</t>
  </si>
  <si>
    <t>78.01.0451</t>
  </si>
  <si>
    <t>BLUSA ML TRICOT LISTRAS BICOLOR KLEIN</t>
  </si>
  <si>
    <t>OFF WHITE/AZUL KLEIN</t>
  </si>
  <si>
    <t>78.01.0466</t>
  </si>
  <si>
    <t>CAMISA TRICOT GOLA POLO</t>
  </si>
  <si>
    <t>78.01.0498</t>
  </si>
  <si>
    <t>BLUSA TRICOT CROPPED COM LISTRAS</t>
  </si>
  <si>
    <t>78.01.0500</t>
  </si>
  <si>
    <t>BLUSA TRICOT CUT DECOTE OMBRO A OMBRO</t>
  </si>
  <si>
    <t>78.01.0503</t>
  </si>
  <si>
    <t>BLUSA TRICOT CANELADA FENDA E GOLA ALTA</t>
  </si>
  <si>
    <t>78.01.0506</t>
  </si>
  <si>
    <t>BLUSA TRICOT CANELADA LUREX GOLA ALTA</t>
  </si>
  <si>
    <t>PRETO/COBRE</t>
  </si>
  <si>
    <t>1100</t>
  </si>
  <si>
    <t>PRATA</t>
  </si>
  <si>
    <t>78.01.0509</t>
  </si>
  <si>
    <t>BLUSA TRICOT BICOLOR COM TRANSPARENCIA</t>
  </si>
  <si>
    <t>78.01.0512</t>
  </si>
  <si>
    <t>01041</t>
  </si>
  <si>
    <t>VERMELHO AURORA</t>
  </si>
  <si>
    <t>78.01.0514</t>
  </si>
  <si>
    <t>78.01.0517</t>
  </si>
  <si>
    <t>BLUSA TRICOT T-SHIRT BASICA COLORS</t>
  </si>
  <si>
    <t>78.06.0096</t>
  </si>
  <si>
    <t>VESTIDO ML TRICOLOR LISTRA BICOLOR</t>
  </si>
  <si>
    <t>78.06.0122</t>
  </si>
  <si>
    <t>REGATA TRICOT CANELADA GOLA ALTA</t>
  </si>
  <si>
    <t>78.06.0126</t>
  </si>
  <si>
    <t>LEGGING TRICOT MIX NERVURAS</t>
  </si>
  <si>
    <t>78.06.0128</t>
  </si>
  <si>
    <t>REGATA TRICOT CANELADA GOLA ALTA COLORS</t>
  </si>
  <si>
    <t>79.01.0065</t>
  </si>
  <si>
    <t>BLUSA TRICOT CANELADO BOTOES</t>
  </si>
  <si>
    <t>79.01.0068</t>
  </si>
  <si>
    <t>TRICOT BASICO SOFT GOLA ROLE</t>
  </si>
  <si>
    <t>2090</t>
  </si>
  <si>
    <t>MESCLA MEDIO</t>
  </si>
  <si>
    <t>79.01.0069</t>
  </si>
  <si>
    <t>COD DISPONIVEL</t>
  </si>
  <si>
    <t>79.12.0093</t>
  </si>
  <si>
    <t>BLUSA TRICOT PULL LUREX FENDA</t>
  </si>
  <si>
    <t>79.12.0133</t>
  </si>
  <si>
    <t>PULL TRICOT MIX LISTRAS COLOR</t>
  </si>
  <si>
    <t>79.12.0137</t>
  </si>
  <si>
    <t>MAXI PULL BASICO GOLA ALTA COLORS</t>
  </si>
  <si>
    <t>CARAMELO TAFFY</t>
  </si>
  <si>
    <t>79.12.0142</t>
  </si>
  <si>
    <t>PULL TRICOT MIX PONTOS UTILITARIO</t>
  </si>
  <si>
    <t>79.12.0147</t>
  </si>
  <si>
    <t>CASACO TRICOT LONGO ILHOS</t>
  </si>
  <si>
    <t>79.12.0150</t>
  </si>
  <si>
    <t>MAXI PULL BASICO GOLA ALTA</t>
  </si>
  <si>
    <t>0015</t>
  </si>
  <si>
    <t>MESCLA ESCURO</t>
  </si>
  <si>
    <t>PREÇO VAREJO</t>
  </si>
  <si>
    <t>PREÇO ATACADO</t>
  </si>
  <si>
    <t>% DESCONTO ICOMM X VRJ</t>
  </si>
  <si>
    <t>% DESCONTO ICOMM X ATC</t>
  </si>
  <si>
    <t>Coluna1</t>
  </si>
  <si>
    <t>Coluna2</t>
  </si>
  <si>
    <t>Coluna3</t>
  </si>
  <si>
    <t>Coluna4</t>
  </si>
  <si>
    <t>PP</t>
  </si>
  <si>
    <t>GG</t>
  </si>
  <si>
    <t>019</t>
  </si>
  <si>
    <t>ESTAMPADO</t>
  </si>
  <si>
    <t>AZUL ECLIPSE</t>
  </si>
  <si>
    <t>BLUSA TRICOT MANGA VOLUME</t>
  </si>
  <si>
    <t>031</t>
  </si>
  <si>
    <t>JEANS</t>
  </si>
  <si>
    <t>2614</t>
  </si>
  <si>
    <t>CAQUI DESERTO</t>
  </si>
  <si>
    <t>0091</t>
  </si>
  <si>
    <t>0068</t>
  </si>
  <si>
    <t>OURO</t>
  </si>
  <si>
    <t>P / M / G</t>
  </si>
  <si>
    <t>34 A 39 CALCADO FEM</t>
  </si>
  <si>
    <t>36 AO 44 - FEM</t>
  </si>
  <si>
    <t>PP / P / M / G / GG</t>
  </si>
  <si>
    <t>0024</t>
  </si>
  <si>
    <t>VESTIDO MIDI ESTAMPA NATUREZA</t>
  </si>
  <si>
    <t>VESTIDO MIDI RECORTES</t>
  </si>
  <si>
    <t>VESTIDO MIDI DECOTE V</t>
  </si>
  <si>
    <t>BLUSA MANGA LONGA LISTRAS</t>
  </si>
  <si>
    <t>034</t>
  </si>
  <si>
    <t>NATURAL</t>
  </si>
  <si>
    <t>MACACAO JEANS MANGA BUFANTE</t>
  </si>
  <si>
    <t>0029</t>
  </si>
  <si>
    <t>BLUSA BASICA OMBRO DESLOCADO</t>
  </si>
  <si>
    <t>LISTRADO</t>
  </si>
  <si>
    <t>BLUSA DECOTE RECHEIO</t>
  </si>
  <si>
    <t>TOTAL</t>
  </si>
  <si>
    <t>CÓD BARRAS</t>
  </si>
  <si>
    <t>PEDIDO MANUAL : INVERNO 23</t>
  </si>
  <si>
    <t>15.14804</t>
  </si>
  <si>
    <t>27668</t>
  </si>
  <si>
    <t>BLUSA ESTAMPA PORCELANA</t>
  </si>
  <si>
    <t>EST PORCELANA_PRETO_LOCALIZADA_BLUSA $</t>
  </si>
  <si>
    <t>151480427668P</t>
  </si>
  <si>
    <t>15.14812</t>
  </si>
  <si>
    <t>27669</t>
  </si>
  <si>
    <t>CALCA ESTAMPA PORCELANA</t>
  </si>
  <si>
    <t>EST PORCELANA_PRETO_LOCALIZADA_CALCA $</t>
  </si>
  <si>
    <t>151481227669P</t>
  </si>
  <si>
    <t>15.15130</t>
  </si>
  <si>
    <t>SHORT JEANS PESPONTO BRANCO</t>
  </si>
  <si>
    <t>1515130009138</t>
  </si>
  <si>
    <t>15151510091P</t>
  </si>
  <si>
    <t>15.15151</t>
  </si>
  <si>
    <t>15151540091P</t>
  </si>
  <si>
    <t>15.15154</t>
  </si>
  <si>
    <t>COLETE JEANS RECORTES COTELE</t>
  </si>
  <si>
    <t>15.15227</t>
  </si>
  <si>
    <t>27667</t>
  </si>
  <si>
    <t>VESTIDO MIDI ESTAMPA PORCELANA E</t>
  </si>
  <si>
    <t>EST PORCELANA_PRETO_LOCALIZADA_VESTIDO M</t>
  </si>
  <si>
    <t>151522727667P</t>
  </si>
  <si>
    <t>15.15800</t>
  </si>
  <si>
    <t>24667</t>
  </si>
  <si>
    <t>TOP ESTAMPA PORCELANA E</t>
  </si>
  <si>
    <t>ESTAMPA PORCELANA</t>
  </si>
  <si>
    <t>151580024667P</t>
  </si>
  <si>
    <t>27672</t>
  </si>
  <si>
    <t>15.15830</t>
  </si>
  <si>
    <t>VESTIDO LONGO OMBRO BABADO</t>
  </si>
  <si>
    <t>15158302614P</t>
  </si>
  <si>
    <t>15.15831</t>
  </si>
  <si>
    <t>04313</t>
  </si>
  <si>
    <t>BLUSA PALA BOTOES</t>
  </si>
  <si>
    <t>VERDE MAÇÃ</t>
  </si>
  <si>
    <t>151583104313P</t>
  </si>
  <si>
    <t>04329</t>
  </si>
  <si>
    <t>151583104329P</t>
  </si>
  <si>
    <t>15.15833</t>
  </si>
  <si>
    <t>SAIA MIDI BARRA BORDADO</t>
  </si>
  <si>
    <t>151583304329P</t>
  </si>
  <si>
    <t>15.15837</t>
  </si>
  <si>
    <t>04302</t>
  </si>
  <si>
    <t>VESTIDO MIDI BICOLOR MANGA BUFANTE</t>
  </si>
  <si>
    <t>AÇAI</t>
  </si>
  <si>
    <t>151583704302P</t>
  </si>
  <si>
    <t>15.15839</t>
  </si>
  <si>
    <t>BLUSA DETALHE BOTOES</t>
  </si>
  <si>
    <t>15158390024P</t>
  </si>
  <si>
    <t>04321</t>
  </si>
  <si>
    <t>VERMELHO MORANGO</t>
  </si>
  <si>
    <t>151583904321P</t>
  </si>
  <si>
    <t>04312</t>
  </si>
  <si>
    <t>CALCA PANTALONA CINTO PESPONTO</t>
  </si>
  <si>
    <t>VERDE TREVO</t>
  </si>
  <si>
    <t>15.15841</t>
  </si>
  <si>
    <t>04325</t>
  </si>
  <si>
    <t>CAMISA LINHO MANGA 7/8</t>
  </si>
  <si>
    <t>VERDE MENTA</t>
  </si>
  <si>
    <t>151584104325P</t>
  </si>
  <si>
    <t>15.15844</t>
  </si>
  <si>
    <t>VESTIDO MIDI BUSTO LASTEX</t>
  </si>
  <si>
    <t>151584404312P</t>
  </si>
  <si>
    <t>15.15846</t>
  </si>
  <si>
    <t>04326</t>
  </si>
  <si>
    <t>BLUSA ALCA AMARRACAO</t>
  </si>
  <si>
    <t>BEGE VANILLA</t>
  </si>
  <si>
    <t>151584604326P</t>
  </si>
  <si>
    <t>2206</t>
  </si>
  <si>
    <t>VERDE ESCURO</t>
  </si>
  <si>
    <t>15158462206P</t>
  </si>
  <si>
    <t>15.15850</t>
  </si>
  <si>
    <t>VESTIDO MIDI MANGA AMPLA</t>
  </si>
  <si>
    <t>15158502206P</t>
  </si>
  <si>
    <t>15.15851</t>
  </si>
  <si>
    <t>CALCA PANTALONA BOLSO PESPONTO</t>
  </si>
  <si>
    <t>151585104326P</t>
  </si>
  <si>
    <t>15.15852</t>
  </si>
  <si>
    <t>04304</t>
  </si>
  <si>
    <t>VESTIDO LONGO OMBRO ESTRUTURADO</t>
  </si>
  <si>
    <t>AZUL ROYAL</t>
  </si>
  <si>
    <t>151585204304P</t>
  </si>
  <si>
    <t>15.15853</t>
  </si>
  <si>
    <t>04303</t>
  </si>
  <si>
    <t>CALCA PANTALONA BOLSO LATERAL</t>
  </si>
  <si>
    <t>VERMELHO SANGRIA</t>
  </si>
  <si>
    <t>151585304303P</t>
  </si>
  <si>
    <t>15.15856</t>
  </si>
  <si>
    <t>BLUSA MANGA 3/4 AMARRACAO</t>
  </si>
  <si>
    <t>15158560024P</t>
  </si>
  <si>
    <t>151585604303P</t>
  </si>
  <si>
    <t>15.15858</t>
  </si>
  <si>
    <t>30031</t>
  </si>
  <si>
    <t>SAIA MIDI ESTAMPA LABIRINTO</t>
  </si>
  <si>
    <t>EST LABIRINTO $</t>
  </si>
  <si>
    <t>151585830031P</t>
  </si>
  <si>
    <t>15.15860</t>
  </si>
  <si>
    <t>CALCA PANTALONA ESTAMPA LABIRINTO</t>
  </si>
  <si>
    <t>151586030031P</t>
  </si>
  <si>
    <t>15.15861</t>
  </si>
  <si>
    <t>CAMISA ESTAMPA LABIRINTO</t>
  </si>
  <si>
    <t>151586130031P</t>
  </si>
  <si>
    <t>15.15863</t>
  </si>
  <si>
    <t>BLUSA ESTAMPA LABIRINTO</t>
  </si>
  <si>
    <t>151586330031P</t>
  </si>
  <si>
    <t>15.15864</t>
  </si>
  <si>
    <t>VESTIDO MIDI ESTAMPA LABIRINTO</t>
  </si>
  <si>
    <t>151586430031P</t>
  </si>
  <si>
    <t>15.15867</t>
  </si>
  <si>
    <t>30049</t>
  </si>
  <si>
    <t>BLUSA ESTAMPA VOA PRISMA</t>
  </si>
  <si>
    <t>EST VOA ROSA PRISMA E PRA</t>
  </si>
  <si>
    <t>151586730049P</t>
  </si>
  <si>
    <t>15.15868</t>
  </si>
  <si>
    <t>30047</t>
  </si>
  <si>
    <t>BLUSA MANGA LONGA ESTAMPA VOA ROYAL</t>
  </si>
  <si>
    <t>EST VOA AZUL ROYAL $</t>
  </si>
  <si>
    <t>151586830047P</t>
  </si>
  <si>
    <t>15.15871</t>
  </si>
  <si>
    <t>CALCA FLARE EST. VOA PRISMA PRATA</t>
  </si>
  <si>
    <t>151587130049P</t>
  </si>
  <si>
    <t>15.15872</t>
  </si>
  <si>
    <t>30025</t>
  </si>
  <si>
    <t>VESTIDO LONGO ESTAMPA SELO</t>
  </si>
  <si>
    <t>EST SELO $</t>
  </si>
  <si>
    <t>151587230025P</t>
  </si>
  <si>
    <t>15.15873</t>
  </si>
  <si>
    <t>MACACAO SALOPETE LAISE</t>
  </si>
  <si>
    <t>151587304329P</t>
  </si>
  <si>
    <t>15.15876</t>
  </si>
  <si>
    <t>VESTIDO MIDI ESTAMPA VOA ROYAL</t>
  </si>
  <si>
    <t>151587630047P</t>
  </si>
  <si>
    <t>15.15877</t>
  </si>
  <si>
    <t>VESTIDO MIDI ESTAMPA SELO</t>
  </si>
  <si>
    <t>151587730025P</t>
  </si>
  <si>
    <t>151587804303P</t>
  </si>
  <si>
    <t>15.15878</t>
  </si>
  <si>
    <t>BLUSA SILK GOOD THINGS</t>
  </si>
  <si>
    <t>15.15880</t>
  </si>
  <si>
    <t>BLUSA SILK KISS</t>
  </si>
  <si>
    <t>15158800005P</t>
  </si>
  <si>
    <t>151588104325P</t>
  </si>
  <si>
    <t>15.15881</t>
  </si>
  <si>
    <t>BLUSA SILK LIFE GOES ON</t>
  </si>
  <si>
    <t>151588200082P</t>
  </si>
  <si>
    <t>15.15882</t>
  </si>
  <si>
    <t>00082</t>
  </si>
  <si>
    <t>BLUSA MANGA CURTA LISTRA BORD BOCA</t>
  </si>
  <si>
    <t>LISTRADO PRETO/BRANCO</t>
  </si>
  <si>
    <t>151588304309P</t>
  </si>
  <si>
    <t>15.15883</t>
  </si>
  <si>
    <t>04309</t>
  </si>
  <si>
    <t>BLUSA SILK LUNA</t>
  </si>
  <si>
    <t>ROSA BAMBU</t>
  </si>
  <si>
    <t>15.15890</t>
  </si>
  <si>
    <t>BLUSA MANGA 7/8 GOLA E PUNHO RETILINEA</t>
  </si>
  <si>
    <t>15158902614P</t>
  </si>
  <si>
    <t>15.15892</t>
  </si>
  <si>
    <t>04067</t>
  </si>
  <si>
    <t>BLUSA MANGA CURTA CAVA DESLOCADA</t>
  </si>
  <si>
    <t>151589204329P</t>
  </si>
  <si>
    <t>151589330000P</t>
  </si>
  <si>
    <t>15.15893</t>
  </si>
  <si>
    <t>30000</t>
  </si>
  <si>
    <t>BLUSA ESTAMPA NATUREZA TULE</t>
  </si>
  <si>
    <t>EST NATUREZA $</t>
  </si>
  <si>
    <t>15.15894</t>
  </si>
  <si>
    <t>SHORT DETALHE COS ILHOS</t>
  </si>
  <si>
    <t>151589404329P</t>
  </si>
  <si>
    <t>15158970005P</t>
  </si>
  <si>
    <t>15.15897</t>
  </si>
  <si>
    <t>CALCA CENOURA COS PESPONTO BOCA</t>
  </si>
  <si>
    <t>15158980005P</t>
  </si>
  <si>
    <t>15.15898</t>
  </si>
  <si>
    <t>BLUSA MANGA LONGA BORDADA PUNHO PREGA</t>
  </si>
  <si>
    <t>15159000024P</t>
  </si>
  <si>
    <t>15.15900</t>
  </si>
  <si>
    <t>BLUSA RECORTE PESPONTADO COM FRANJA</t>
  </si>
  <si>
    <t>04017</t>
  </si>
  <si>
    <t>15159020015P</t>
  </si>
  <si>
    <t>15.15902</t>
  </si>
  <si>
    <t>BLUSA LISTRA MANGA PUNHO PREGAS</t>
  </si>
  <si>
    <t>15159050005P</t>
  </si>
  <si>
    <t>15.15905</t>
  </si>
  <si>
    <t>BLUSA SILK ESTRELAS</t>
  </si>
  <si>
    <t>1515910034P</t>
  </si>
  <si>
    <t>15.15910</t>
  </si>
  <si>
    <t>CALCA ALFAIATARIA JACQUARD NATUREZA</t>
  </si>
  <si>
    <t>151591104017P</t>
  </si>
  <si>
    <t>15.15911</t>
  </si>
  <si>
    <t>BLUSA MANGA LONGA CROPPED</t>
  </si>
  <si>
    <t>CÍTRICO</t>
  </si>
  <si>
    <t>15159130005P</t>
  </si>
  <si>
    <t>15.15913</t>
  </si>
  <si>
    <t>BLUSA MANGA LONGA CANELADA GOLA ALTA</t>
  </si>
  <si>
    <t>15159130024P</t>
  </si>
  <si>
    <t>15.15915</t>
  </si>
  <si>
    <t>REGATA ESTAMPA NATUREZA</t>
  </si>
  <si>
    <t>151591530000P</t>
  </si>
  <si>
    <t>15.15916</t>
  </si>
  <si>
    <t>30001</t>
  </si>
  <si>
    <t>BLUSA ESTAMPA NATUREZA ESTRELA</t>
  </si>
  <si>
    <t>EST NATUREZA ESTRELA $</t>
  </si>
  <si>
    <t>151591630001P</t>
  </si>
  <si>
    <t>151591730000P</t>
  </si>
  <si>
    <t>15.15917</t>
  </si>
  <si>
    <t>BLUSA MANGA CURTA ESTAMPA NATUREZA</t>
  </si>
  <si>
    <t>15.15919</t>
  </si>
  <si>
    <t>30006</t>
  </si>
  <si>
    <t>BLUSA LAISE ESTAMPA CROCHE</t>
  </si>
  <si>
    <t>EST CROCHÊ $</t>
  </si>
  <si>
    <t>151591930006P</t>
  </si>
  <si>
    <t>15.15920</t>
  </si>
  <si>
    <t>30037</t>
  </si>
  <si>
    <t>CALCA ESTAMPA BELA</t>
  </si>
  <si>
    <t>EST BELA $</t>
  </si>
  <si>
    <t>151592030037P</t>
  </si>
  <si>
    <t>15.15921</t>
  </si>
  <si>
    <t>30014</t>
  </si>
  <si>
    <t>CALCA ESTAMPA CERDA</t>
  </si>
  <si>
    <t>EST CERDA $</t>
  </si>
  <si>
    <t>151592130014P</t>
  </si>
  <si>
    <t>30015</t>
  </si>
  <si>
    <t>EST CERDA FIGO $</t>
  </si>
  <si>
    <t>151592130015P</t>
  </si>
  <si>
    <t>15.15922</t>
  </si>
  <si>
    <t>CALCA ESTAMPA CROCHE</t>
  </si>
  <si>
    <t>151592230006P</t>
  </si>
  <si>
    <t>15.15923</t>
  </si>
  <si>
    <t>BLUSA MANGA LONGA ESTAMPA SELO</t>
  </si>
  <si>
    <t>151592330025P</t>
  </si>
  <si>
    <t>15.15924</t>
  </si>
  <si>
    <t>CALCA ESTAMPA NATUREZA ESTRELA</t>
  </si>
  <si>
    <t>151592430001P</t>
  </si>
  <si>
    <t>15.15925</t>
  </si>
  <si>
    <t>CAMISA ESTAMPA CERDA</t>
  </si>
  <si>
    <t>151592530014P</t>
  </si>
  <si>
    <t>151592530015P</t>
  </si>
  <si>
    <t>15.15927</t>
  </si>
  <si>
    <t>TOP ESTAMPA CERDA</t>
  </si>
  <si>
    <t>151592730014P</t>
  </si>
  <si>
    <t>151592730015P</t>
  </si>
  <si>
    <t>15.15928</t>
  </si>
  <si>
    <t>MACACAO ESTAMPA NATUREZA ESTRELA</t>
  </si>
  <si>
    <t>151592830001P</t>
  </si>
  <si>
    <t>15.15929</t>
  </si>
  <si>
    <t>VESTIDO CURTO ESTAMPA NATUREZA ESTRELA</t>
  </si>
  <si>
    <t>151592930001P</t>
  </si>
  <si>
    <t>15.15930</t>
  </si>
  <si>
    <t>MACAQUINHO ESTAMPA CERDA</t>
  </si>
  <si>
    <t>151593030014P</t>
  </si>
  <si>
    <t>15.15932</t>
  </si>
  <si>
    <t>SAIA MIDI ESTAMPA NATUREZA ESTRELA</t>
  </si>
  <si>
    <t>151593230001P</t>
  </si>
  <si>
    <t>15.15935</t>
  </si>
  <si>
    <t>30003</t>
  </si>
  <si>
    <t>VESTIDO MIDI ESTAMPA BRUMA</t>
  </si>
  <si>
    <t>EST BRUMA $</t>
  </si>
  <si>
    <t>151593530003P</t>
  </si>
  <si>
    <t>15.15937</t>
  </si>
  <si>
    <t>30004</t>
  </si>
  <si>
    <t>VESTIDO MIDI ESTAMPA MOSAICO</t>
  </si>
  <si>
    <t>EST MOSAICO $</t>
  </si>
  <si>
    <t>151593730004P</t>
  </si>
  <si>
    <t>15.15938</t>
  </si>
  <si>
    <t>30013</t>
  </si>
  <si>
    <t>VESTIDO LONGO ESTAMPA VINHA</t>
  </si>
  <si>
    <t>EST VINHA $</t>
  </si>
  <si>
    <t>151593830013P</t>
  </si>
  <si>
    <t>15.15939</t>
  </si>
  <si>
    <t>VESTIDO MIDI DECOTE BABADINHO</t>
  </si>
  <si>
    <t>15159390005P</t>
  </si>
  <si>
    <t>04310</t>
  </si>
  <si>
    <t>ROSA BEGONIA</t>
  </si>
  <si>
    <t>151593904310P</t>
  </si>
  <si>
    <t>15.15940</t>
  </si>
  <si>
    <t>BLUSA MANGA 7/8 ESTAMPA MOSAICO</t>
  </si>
  <si>
    <t>151594030004P</t>
  </si>
  <si>
    <t>15.15941</t>
  </si>
  <si>
    <t>TUNICA ESTAMPA VINHA</t>
  </si>
  <si>
    <t>151594130013P</t>
  </si>
  <si>
    <t>15.15942</t>
  </si>
  <si>
    <t>BLUSA PUNHO VIES</t>
  </si>
  <si>
    <t>151594204303P</t>
  </si>
  <si>
    <t>15.15943</t>
  </si>
  <si>
    <t>BERMUDA STOPPER</t>
  </si>
  <si>
    <t>15159430005P</t>
  </si>
  <si>
    <t>04308</t>
  </si>
  <si>
    <t>ROSA PRISMA</t>
  </si>
  <si>
    <t>151594304308P</t>
  </si>
  <si>
    <t>15.15945</t>
  </si>
  <si>
    <t>BLUSA VIVO FRANZIDO</t>
  </si>
  <si>
    <t>15159450005P</t>
  </si>
  <si>
    <t>151594504308P</t>
  </si>
  <si>
    <t>15.15946</t>
  </si>
  <si>
    <t>CALCA COS ELASTICO</t>
  </si>
  <si>
    <t>151594604303P</t>
  </si>
  <si>
    <t>15.15947</t>
  </si>
  <si>
    <t>CALCA ESTAMPA MOSAICO</t>
  </si>
  <si>
    <t>151594730004P</t>
  </si>
  <si>
    <t>15.15948</t>
  </si>
  <si>
    <t>CALCA ESTAMPA VINHA</t>
  </si>
  <si>
    <t>151594830013P</t>
  </si>
  <si>
    <t>15.15950</t>
  </si>
  <si>
    <t>CASACO ESTAMPA CERDA</t>
  </si>
  <si>
    <t>151595030014P</t>
  </si>
  <si>
    <t>151595030015P</t>
  </si>
  <si>
    <t>15.15951</t>
  </si>
  <si>
    <t>JAQUETA BOLSOS</t>
  </si>
  <si>
    <t>15159512614P</t>
  </si>
  <si>
    <t>15.15952</t>
  </si>
  <si>
    <t>SAIA MIDI FRANZIDO</t>
  </si>
  <si>
    <t>151595204304P</t>
  </si>
  <si>
    <t>15.15953</t>
  </si>
  <si>
    <t>SAIA LAPIS FAIXA BORDADO</t>
  </si>
  <si>
    <t>ACAI</t>
  </si>
  <si>
    <t>151595304302P</t>
  </si>
  <si>
    <t>15.15954</t>
  </si>
  <si>
    <t>04314</t>
  </si>
  <si>
    <t>SHORT VIES</t>
  </si>
  <si>
    <t>AZUL AGUA DOCE</t>
  </si>
  <si>
    <t>151595404314P</t>
  </si>
  <si>
    <t>15159570068P</t>
  </si>
  <si>
    <t>15.15957</t>
  </si>
  <si>
    <t>CASACO TRICOT LUREX DOURADO     </t>
  </si>
  <si>
    <t>15159631500P</t>
  </si>
  <si>
    <t>15.15963</t>
  </si>
  <si>
    <t>1500</t>
  </si>
  <si>
    <t>BLUSA TRICOT DECOTE V PONTO COLMEIA</t>
  </si>
  <si>
    <t>ROSE</t>
  </si>
  <si>
    <t>15159650005P</t>
  </si>
  <si>
    <t>15.15965</t>
  </si>
  <si>
    <t>BLUSA TRICOT DECOTE V LUREX             </t>
  </si>
  <si>
    <t>15159650024P</t>
  </si>
  <si>
    <t>15160050005U</t>
  </si>
  <si>
    <t>15.16005</t>
  </si>
  <si>
    <t>BRACELETE RESINA PLACAS METAL</t>
  </si>
  <si>
    <t>15160050024U</t>
  </si>
  <si>
    <t>04323</t>
  </si>
  <si>
    <t>15.16013</t>
  </si>
  <si>
    <t>15160130024P</t>
  </si>
  <si>
    <t>151601304310P</t>
  </si>
  <si>
    <t>151601304314P</t>
  </si>
  <si>
    <t>15.16016</t>
  </si>
  <si>
    <t>151601604310P</t>
  </si>
  <si>
    <t>15160162206P</t>
  </si>
  <si>
    <t>15.16019</t>
  </si>
  <si>
    <t>30027</t>
  </si>
  <si>
    <t>CALCA ESTAMPA POP</t>
  </si>
  <si>
    <t>EST POP $</t>
  </si>
  <si>
    <t>151601930027P</t>
  </si>
  <si>
    <t>15.16022</t>
  </si>
  <si>
    <t>CAMISA MANGA LONGA SILK</t>
  </si>
  <si>
    <t>15160220024P</t>
  </si>
  <si>
    <t>15.16024</t>
  </si>
  <si>
    <t>MACAQUINHO BOLSO LATERAL</t>
  </si>
  <si>
    <t>151602404321P</t>
  </si>
  <si>
    <t>15.16025</t>
  </si>
  <si>
    <t>SHORT BOLSO FRENTE</t>
  </si>
  <si>
    <t>151602504313P</t>
  </si>
  <si>
    <t>151602504329P</t>
  </si>
  <si>
    <t>151602630000P</t>
  </si>
  <si>
    <t>15.16026</t>
  </si>
  <si>
    <t>BLUSA MANGA JACQUARD NATUREZA</t>
  </si>
  <si>
    <t>151602830000P</t>
  </si>
  <si>
    <t>15.16028</t>
  </si>
  <si>
    <t>151602930000P</t>
  </si>
  <si>
    <t>15.16029</t>
  </si>
  <si>
    <t>SAIA PAREO ESTAMPA NATUREZA</t>
  </si>
  <si>
    <t>15.16030</t>
  </si>
  <si>
    <t>30020</t>
  </si>
  <si>
    <t>BLUSA ESTAMPA CALEIDOSCOPIO</t>
  </si>
  <si>
    <t>EST CALEIDOSCÓPIO $</t>
  </si>
  <si>
    <t>151603030020P</t>
  </si>
  <si>
    <t>15.16036</t>
  </si>
  <si>
    <t>VESTIDO MIDI ESTAMPA CALEIDOSCOPIO</t>
  </si>
  <si>
    <t>151603630020P</t>
  </si>
  <si>
    <t>15.16039</t>
  </si>
  <si>
    <t>BLUSA PALA DECOTE</t>
  </si>
  <si>
    <t>15160390005P</t>
  </si>
  <si>
    <t>15.16043</t>
  </si>
  <si>
    <t>BLUSA ESTAMPA BRUMA</t>
  </si>
  <si>
    <t>151604330003P</t>
  </si>
  <si>
    <t>15.16044</t>
  </si>
  <si>
    <t>VESTIDO LONGO ESTAMPA POP</t>
  </si>
  <si>
    <t>151604430027P</t>
  </si>
  <si>
    <t>15.16045</t>
  </si>
  <si>
    <t>30002</t>
  </si>
  <si>
    <t>VESTIDO MIDI ESTAMPA GIZ</t>
  </si>
  <si>
    <t>EST GIZ $</t>
  </si>
  <si>
    <t>151604530002P</t>
  </si>
  <si>
    <t>15.16048</t>
  </si>
  <si>
    <t>CALCA COS AMARRACAO</t>
  </si>
  <si>
    <t>15160480005P</t>
  </si>
  <si>
    <t>151604804314P</t>
  </si>
  <si>
    <t>15.16051</t>
  </si>
  <si>
    <t>CAMISA ESTAMPA GIZ</t>
  </si>
  <si>
    <t>151605130002P</t>
  </si>
  <si>
    <t>15.16059</t>
  </si>
  <si>
    <t>BLUSA ESTAMPA POP</t>
  </si>
  <si>
    <t>151605930027P</t>
  </si>
  <si>
    <t>1516066031P</t>
  </si>
  <si>
    <t>15.16066</t>
  </si>
  <si>
    <t>BLUSA RAGLAN MANGA LONGA MESCLA</t>
  </si>
  <si>
    <t>15.16067</t>
  </si>
  <si>
    <t>BLUSA GOLA COM BORDADO MANGA</t>
  </si>
  <si>
    <t>15160670024P</t>
  </si>
  <si>
    <t>15160700005P</t>
  </si>
  <si>
    <t>15.16070</t>
  </si>
  <si>
    <t>BLUSA SILK ONCA LOVE</t>
  </si>
  <si>
    <t>15.16072</t>
  </si>
  <si>
    <t>SAIA MIDI ROLOTE</t>
  </si>
  <si>
    <t>15160720005P</t>
  </si>
  <si>
    <t>15.16073</t>
  </si>
  <si>
    <t>BLUSA LAISE BEGONIA</t>
  </si>
  <si>
    <t>151607304310P</t>
  </si>
  <si>
    <t>15.16074</t>
  </si>
  <si>
    <t>04014</t>
  </si>
  <si>
    <t>SHORT CLOCHARD BORDADO</t>
  </si>
  <si>
    <t>AMETISTA</t>
  </si>
  <si>
    <t>151607404014P</t>
  </si>
  <si>
    <t>15160750005P</t>
  </si>
  <si>
    <t>15.16075</t>
  </si>
  <si>
    <t>PARKA BORDADO BOCA COM RETILINEA GOLA</t>
  </si>
  <si>
    <t>15160760005P</t>
  </si>
  <si>
    <t>15.16076</t>
  </si>
  <si>
    <t>CALCA CENOURA AMARRACAO PALA COS</t>
  </si>
  <si>
    <t>15160770005P</t>
  </si>
  <si>
    <t>15.16077</t>
  </si>
  <si>
    <t>15.16085</t>
  </si>
  <si>
    <t>MACACAO PANTACOURT GOLA ALTA</t>
  </si>
  <si>
    <t>15160850005P</t>
  </si>
  <si>
    <t>15.16088</t>
  </si>
  <si>
    <t>BLUSA MANGA PREGAS PUNHO</t>
  </si>
  <si>
    <t>15160880024P</t>
  </si>
  <si>
    <t>15160920015P</t>
  </si>
  <si>
    <t>15.16092</t>
  </si>
  <si>
    <t>SHORT RECORTES LISTRA</t>
  </si>
  <si>
    <t>15160930005P</t>
  </si>
  <si>
    <t>15.16093</t>
  </si>
  <si>
    <t>15160930024P</t>
  </si>
  <si>
    <t>15161030005P</t>
  </si>
  <si>
    <t>15.16103</t>
  </si>
  <si>
    <t>BLUSA CROPPED BORDADO LISTRA OLHO</t>
  </si>
  <si>
    <t>15161040005P</t>
  </si>
  <si>
    <t>15.16104</t>
  </si>
  <si>
    <t>BLUSA MANGA BABADO BORDADO LUNA</t>
  </si>
  <si>
    <t>151610904309P</t>
  </si>
  <si>
    <t>15.16109</t>
  </si>
  <si>
    <t>BLUSA SILK LA VIE</t>
  </si>
  <si>
    <t>15161120029P</t>
  </si>
  <si>
    <t>15.16112</t>
  </si>
  <si>
    <t>JAQUETA PAETE DETALHE RETILINEA</t>
  </si>
  <si>
    <t>15161170005P</t>
  </si>
  <si>
    <t>15.16117</t>
  </si>
  <si>
    <t>BLUSA MANGA CURTA STONE TERMO</t>
  </si>
  <si>
    <t>15161180005P</t>
  </si>
  <si>
    <t>15.16118</t>
  </si>
  <si>
    <t>REGATA OVER BASICA</t>
  </si>
  <si>
    <t>1516118031P</t>
  </si>
  <si>
    <t>CASACO CURTO COMFY</t>
  </si>
  <si>
    <t>CHINO</t>
  </si>
  <si>
    <t>15161270005P</t>
  </si>
  <si>
    <t>15.16127</t>
  </si>
  <si>
    <t>VESTIDO MIDI CANELADO COM GOLA</t>
  </si>
  <si>
    <t>CALCA CENOURA COMFY</t>
  </si>
  <si>
    <t>151613204067P</t>
  </si>
  <si>
    <t>15.16132</t>
  </si>
  <si>
    <t>BLUSA DECOTE GOLA TRANCADA</t>
  </si>
  <si>
    <t>151613204312P</t>
  </si>
  <si>
    <t>15.16134</t>
  </si>
  <si>
    <t>04328</t>
  </si>
  <si>
    <t>BLUSA GOLA RIB DESAGULHADA</t>
  </si>
  <si>
    <t>VERDE MATCHA</t>
  </si>
  <si>
    <t>151613404328P</t>
  </si>
  <si>
    <t>151613804329P</t>
  </si>
  <si>
    <t>15.16138</t>
  </si>
  <si>
    <t>BLUSA OMBRO DESLOCADO GLITTER</t>
  </si>
  <si>
    <t>15.16139</t>
  </si>
  <si>
    <t>15161390024P</t>
  </si>
  <si>
    <t>151613904302P</t>
  </si>
  <si>
    <t>1516148031P</t>
  </si>
  <si>
    <t>15.16148</t>
  </si>
  <si>
    <t>BLUSA MANGA LONGA RECORTE PELINHO</t>
  </si>
  <si>
    <t>15.16149</t>
  </si>
  <si>
    <t>15161490005P</t>
  </si>
  <si>
    <t>15161490024P</t>
  </si>
  <si>
    <t>15.16154</t>
  </si>
  <si>
    <t>VESTIDO LONGO LAISE</t>
  </si>
  <si>
    <t>151615404310P</t>
  </si>
  <si>
    <t>151615600082P</t>
  </si>
  <si>
    <t>15.16156</t>
  </si>
  <si>
    <t>BLUSA MANGA LONGA LISTRA PB</t>
  </si>
  <si>
    <t>15.16172</t>
  </si>
  <si>
    <t>BLUSA MANGA AMPLA VIVOS</t>
  </si>
  <si>
    <t>15161722614P</t>
  </si>
  <si>
    <t>15.16178</t>
  </si>
  <si>
    <t>BOLSA SACO POA</t>
  </si>
  <si>
    <t>15161782614U</t>
  </si>
  <si>
    <t>15.16204</t>
  </si>
  <si>
    <t>CINTO PELO ONCA CINTURA</t>
  </si>
  <si>
    <t>1516204019P</t>
  </si>
  <si>
    <t>15.16213</t>
  </si>
  <si>
    <t>CALCA ALETA BOTAO</t>
  </si>
  <si>
    <t>15162132614P</t>
  </si>
  <si>
    <t>15.16260</t>
  </si>
  <si>
    <t>COLAR MICANGAS CANUTILHOS SALPICADOS</t>
  </si>
  <si>
    <t>151626004312U</t>
  </si>
  <si>
    <t>0199</t>
  </si>
  <si>
    <t>NIQUEL</t>
  </si>
  <si>
    <t>15.16278</t>
  </si>
  <si>
    <t>CALCA JEANS RETA POA METAL</t>
  </si>
  <si>
    <t>1516278009138</t>
  </si>
  <si>
    <t>15.16281</t>
  </si>
  <si>
    <t>CALCA JEANS RETA BORDADO RESPINGOS</t>
  </si>
  <si>
    <t>1516281009138</t>
  </si>
  <si>
    <t>15162832291P</t>
  </si>
  <si>
    <t>15.16283</t>
  </si>
  <si>
    <t>2291</t>
  </si>
  <si>
    <t>VESTIDO BLACK JEANS MIX LAVAGEM</t>
  </si>
  <si>
    <t>JEANS BLACK ESCURO</t>
  </si>
  <si>
    <t>15162850091P</t>
  </si>
  <si>
    <t>15.16285</t>
  </si>
  <si>
    <t>JAQUETA JEANS FRALDADA POA METAL</t>
  </si>
  <si>
    <t>15.16288</t>
  </si>
  <si>
    <t>30040</t>
  </si>
  <si>
    <t>SHORT SARJA ESTAMPA ONCA</t>
  </si>
  <si>
    <t>EST ONCA $</t>
  </si>
  <si>
    <t>15162883004038</t>
  </si>
  <si>
    <t>15162890091P</t>
  </si>
  <si>
    <t>15.16289</t>
  </si>
  <si>
    <t>15.16290</t>
  </si>
  <si>
    <t>CALCA SARJA SKINNY COLOR</t>
  </si>
  <si>
    <t>1516290000538</t>
  </si>
  <si>
    <t>15162900430238</t>
  </si>
  <si>
    <t>15162900432838</t>
  </si>
  <si>
    <t>151629230022P</t>
  </si>
  <si>
    <t>15.16292</t>
  </si>
  <si>
    <t>30022</t>
  </si>
  <si>
    <t>CAMISA SARJA ESTAMPA NATUREZA MATCHA</t>
  </si>
  <si>
    <t>EST NATUREZA MATCHA $</t>
  </si>
  <si>
    <t>15162950091P</t>
  </si>
  <si>
    <t>15.16295</t>
  </si>
  <si>
    <t>CAMISA JEANS BORDADO RESPINGOS</t>
  </si>
  <si>
    <t>15162960005P</t>
  </si>
  <si>
    <t>15.16296</t>
  </si>
  <si>
    <t>JAQUETA SARJA COLOR</t>
  </si>
  <si>
    <t>151629604302P</t>
  </si>
  <si>
    <t>151629604328P</t>
  </si>
  <si>
    <t>15.16297</t>
  </si>
  <si>
    <t>SHORT SARJA ESTAMPA NATUREZA MATCHA</t>
  </si>
  <si>
    <t>15162973002238</t>
  </si>
  <si>
    <t>151630030040P</t>
  </si>
  <si>
    <t>15.16300</t>
  </si>
  <si>
    <t>CAMISA SARJA ESTAMPA ONCA</t>
  </si>
  <si>
    <t>15.16302</t>
  </si>
  <si>
    <t>CAMISA MANGA LONGA LAISE BICOLOR</t>
  </si>
  <si>
    <t>15163020005P</t>
  </si>
  <si>
    <t>15.16303</t>
  </si>
  <si>
    <t>VESTIDO MIDI LAISE BICOLOR</t>
  </si>
  <si>
    <t>15163030005P</t>
  </si>
  <si>
    <t>15.16304</t>
  </si>
  <si>
    <t>CALCA PALA VIES</t>
  </si>
  <si>
    <t>15163042614P</t>
  </si>
  <si>
    <t>15.16306</t>
  </si>
  <si>
    <t>CALCA LAISE BICOLOR</t>
  </si>
  <si>
    <t>15163060005P</t>
  </si>
  <si>
    <t>15.16313</t>
  </si>
  <si>
    <t>TOP LASTEX</t>
  </si>
  <si>
    <t>15163132614P</t>
  </si>
  <si>
    <t>15.16317</t>
  </si>
  <si>
    <t>30046</t>
  </si>
  <si>
    <t>TOP DE ALCA TIGRE BORDADO</t>
  </si>
  <si>
    <t>EST TIGRE BORDADO $</t>
  </si>
  <si>
    <t>151631730046P</t>
  </si>
  <si>
    <t>15.16318</t>
  </si>
  <si>
    <t>15163180005P</t>
  </si>
  <si>
    <t>15.16319</t>
  </si>
  <si>
    <t>BLUSA GGT MANGA LONGA RECORTE FRANZIDO</t>
  </si>
  <si>
    <t>15163190005P</t>
  </si>
  <si>
    <t>151631904328P</t>
  </si>
  <si>
    <t>15.16321</t>
  </si>
  <si>
    <t>CAMISA AMPLA 2</t>
  </si>
  <si>
    <t>151632104014P</t>
  </si>
  <si>
    <t>15.16323</t>
  </si>
  <si>
    <t>REGATA ESTAMPA ONCA</t>
  </si>
  <si>
    <t>151632330040P</t>
  </si>
  <si>
    <t>30018</t>
  </si>
  <si>
    <t>EST MOBILE $</t>
  </si>
  <si>
    <t>15.16331</t>
  </si>
  <si>
    <t>CALCA JEANS RETA ESTRELA BOLSO</t>
  </si>
  <si>
    <t>1516331009138</t>
  </si>
  <si>
    <t>15.16333</t>
  </si>
  <si>
    <t>CALCA JEANS RECORTES COTELE</t>
  </si>
  <si>
    <t>1516333009138</t>
  </si>
  <si>
    <t>15163340091P</t>
  </si>
  <si>
    <t>15.16334</t>
  </si>
  <si>
    <t>MACACAO JEANS PESPONTO BRANCO</t>
  </si>
  <si>
    <t>15.16335</t>
  </si>
  <si>
    <t>CALCA CREPE CINTURA BAIXA UTILITARIA</t>
  </si>
  <si>
    <t>15163350432838</t>
  </si>
  <si>
    <t>15.16339</t>
  </si>
  <si>
    <t>30041</t>
  </si>
  <si>
    <t>CALCA RETA ESTAMPA ONCA</t>
  </si>
  <si>
    <t>EST ONCA JACQUARD $</t>
  </si>
  <si>
    <t>15163393004138</t>
  </si>
  <si>
    <t>15.16342</t>
  </si>
  <si>
    <t>151634204304P</t>
  </si>
  <si>
    <t>15.16343</t>
  </si>
  <si>
    <t>SHORT JEANS ESTAMPA ONCA</t>
  </si>
  <si>
    <t>30016</t>
  </si>
  <si>
    <t>15163433001638</t>
  </si>
  <si>
    <t>151634904328P</t>
  </si>
  <si>
    <t>15.16349</t>
  </si>
  <si>
    <t>JAQUETA SARJA RECORTES COTELE</t>
  </si>
  <si>
    <t>15.16352</t>
  </si>
  <si>
    <t>PARKA JEANS ESTAMPA ONCA</t>
  </si>
  <si>
    <t>151635230016P</t>
  </si>
  <si>
    <t>15.16353</t>
  </si>
  <si>
    <t>SHORT TIGRE BORDADO</t>
  </si>
  <si>
    <t>15163533004638</t>
  </si>
  <si>
    <t>15.16356</t>
  </si>
  <si>
    <t>VESTIDO GGT CURTO MANGA LONGA</t>
  </si>
  <si>
    <t>VERMELHO MANDARIN</t>
  </si>
  <si>
    <t>151635604323P</t>
  </si>
  <si>
    <t>15.16357</t>
  </si>
  <si>
    <t>VESTIDO CURTO ESTAMPA ONCA</t>
  </si>
  <si>
    <t>151635730040P</t>
  </si>
  <si>
    <t>04317</t>
  </si>
  <si>
    <t>AZUL KLEIN</t>
  </si>
  <si>
    <t>15.16364</t>
  </si>
  <si>
    <t>VESTIDO MIDI ESTAMPA MOBILE</t>
  </si>
  <si>
    <t>151636430018P</t>
  </si>
  <si>
    <t>15.16365</t>
  </si>
  <si>
    <t>30032</t>
  </si>
  <si>
    <t>VESTIDO MIDI ESTAMPA TIGRE</t>
  </si>
  <si>
    <t>EST TIGRE $</t>
  </si>
  <si>
    <t>151636530032P</t>
  </si>
  <si>
    <t>15.16367</t>
  </si>
  <si>
    <t>BLUSA ALCA GODE</t>
  </si>
  <si>
    <t>151636704328P</t>
  </si>
  <si>
    <t>15.16374</t>
  </si>
  <si>
    <t>30044</t>
  </si>
  <si>
    <t>BLUSA DE ALCA XADREZ VIVOS</t>
  </si>
  <si>
    <t>EST VICHY PETRO E BRANCO $ </t>
  </si>
  <si>
    <t>151637430044P</t>
  </si>
  <si>
    <t>15.16375</t>
  </si>
  <si>
    <t>CALCA RETA PREGAS</t>
  </si>
  <si>
    <t>151637504328P</t>
  </si>
  <si>
    <t>15.16376</t>
  </si>
  <si>
    <t>BLUSA MANGA 3/4 DECOTE V</t>
  </si>
  <si>
    <t>151637604326P</t>
  </si>
  <si>
    <t>15.16378</t>
  </si>
  <si>
    <t>CALCA RETA VIVO BICOLOR</t>
  </si>
  <si>
    <t>151637804317P</t>
  </si>
  <si>
    <t>15.16384</t>
  </si>
  <si>
    <t>SHORT XADREZ VIVOS</t>
  </si>
  <si>
    <t>151638430044P</t>
  </si>
  <si>
    <t>15.16386</t>
  </si>
  <si>
    <t>CAMISA PREGAS MG BUFANTE</t>
  </si>
  <si>
    <t>151638604317P</t>
  </si>
  <si>
    <t>15.16387</t>
  </si>
  <si>
    <t>CASACO VIVOS</t>
  </si>
  <si>
    <t>151638704328P</t>
  </si>
  <si>
    <t>15.16390</t>
  </si>
  <si>
    <t>JAQUETA XADREZ VIVOS</t>
  </si>
  <si>
    <t>151639030044P</t>
  </si>
  <si>
    <t>15.16399</t>
  </si>
  <si>
    <t>2595</t>
  </si>
  <si>
    <t>CALCA SARJA VINCO COLOR</t>
  </si>
  <si>
    <t>VERDE FIGO</t>
  </si>
  <si>
    <t>1516399259538</t>
  </si>
  <si>
    <t>15.16400</t>
  </si>
  <si>
    <t>CALCA SARJA VINCO PESPONTO COLOR</t>
  </si>
  <si>
    <t>1516400002438</t>
  </si>
  <si>
    <t>15.16410</t>
  </si>
  <si>
    <t>04000</t>
  </si>
  <si>
    <t>RASTEIRA CRISTAIS COURO VIRA</t>
  </si>
  <si>
    <t>OCRE</t>
  </si>
  <si>
    <t>04360</t>
  </si>
  <si>
    <t>CARAMELO </t>
  </si>
  <si>
    <t>15164100436038</t>
  </si>
  <si>
    <t>15.16413</t>
  </si>
  <si>
    <t>VESTIDO GGT LONGO ALCA BABADOS ASSIMETRI</t>
  </si>
  <si>
    <t>151641304328P</t>
  </si>
  <si>
    <t>15.16415</t>
  </si>
  <si>
    <t>VESTIDO GGT LONGO DECOTE FRANZIDO</t>
  </si>
  <si>
    <t>151641504321P</t>
  </si>
  <si>
    <t>15.16416</t>
  </si>
  <si>
    <t>VESTIDO LONGO DECOTE ORGANICO</t>
  </si>
  <si>
    <t>CITRICO</t>
  </si>
  <si>
    <t>151641604017P</t>
  </si>
  <si>
    <t>15.16426</t>
  </si>
  <si>
    <t>CALCA JEANS RETA DESTROYED</t>
  </si>
  <si>
    <t>1516426009138</t>
  </si>
  <si>
    <t>15.16428</t>
  </si>
  <si>
    <t>CALCA JEANS DESTROYED BORDADO BOCA</t>
  </si>
  <si>
    <t>1516428009138</t>
  </si>
  <si>
    <t>15.16430</t>
  </si>
  <si>
    <t>CALCA JEANS SKINNY STONE</t>
  </si>
  <si>
    <t>1516430009138</t>
  </si>
  <si>
    <t>15.16431</t>
  </si>
  <si>
    <t>CALCA JEANS WIDE BLACK STONE</t>
  </si>
  <si>
    <t>1516431229138</t>
  </si>
  <si>
    <t>15.16432</t>
  </si>
  <si>
    <t>CALCA JEANS WIDE</t>
  </si>
  <si>
    <t>1516432009138</t>
  </si>
  <si>
    <t>15.16433</t>
  </si>
  <si>
    <t>SHORT SARJA ESTAMPA LABIRINTO</t>
  </si>
  <si>
    <t>15164333003138</t>
  </si>
  <si>
    <t>15164390005P</t>
  </si>
  <si>
    <t>15.16439</t>
  </si>
  <si>
    <t>CAMISA SARJA BOLSOS</t>
  </si>
  <si>
    <t>04327</t>
  </si>
  <si>
    <t>15.16440</t>
  </si>
  <si>
    <t>REGATA GGT ALONGADA ACABAMENTOS DESFIADO</t>
  </si>
  <si>
    <t>151644004323P</t>
  </si>
  <si>
    <t>15.16442</t>
  </si>
  <si>
    <t>BLUSA CREPE SEM MANGA PATI PESPONTADA</t>
  </si>
  <si>
    <t>151644204014P</t>
  </si>
  <si>
    <t>151644330031P</t>
  </si>
  <si>
    <t>15.16443</t>
  </si>
  <si>
    <t>JAQUETA SARJA ESTAMPA LABIRINTO</t>
  </si>
  <si>
    <t>15.16445</t>
  </si>
  <si>
    <t>KIMONO SARJA DESFIADOS</t>
  </si>
  <si>
    <t>VERDE MACHA</t>
  </si>
  <si>
    <t>15164452614P</t>
  </si>
  <si>
    <t>15.16447</t>
  </si>
  <si>
    <t>SAIA CURTA SARJA CLOCHARD DESFIADOS</t>
  </si>
  <si>
    <t>1516447261438</t>
  </si>
  <si>
    <t>15.16448</t>
  </si>
  <si>
    <t>BLUSA SEM MANGA VIVOS</t>
  </si>
  <si>
    <t>151644804017P</t>
  </si>
  <si>
    <t>15.16450</t>
  </si>
  <si>
    <t>SHORT JEANS BOXER</t>
  </si>
  <si>
    <t>1516450009138</t>
  </si>
  <si>
    <t>15.16451</t>
  </si>
  <si>
    <t>SHORT JEANS DESTROYED BORDADO BOCA</t>
  </si>
  <si>
    <t>1516451009138</t>
  </si>
  <si>
    <t>15.16456</t>
  </si>
  <si>
    <t>CALCA CREPE RETA RECORTES PESPONTOS</t>
  </si>
  <si>
    <t>15164560401438</t>
  </si>
  <si>
    <t>15.16459</t>
  </si>
  <si>
    <t>CALCA CREPE PANTALONA ABOTOAMENTO LATERA</t>
  </si>
  <si>
    <t>1516459000538</t>
  </si>
  <si>
    <t>151646004321P</t>
  </si>
  <si>
    <t>15.16460</t>
  </si>
  <si>
    <t>BLUSA TRICOT MANGA LONGA           </t>
  </si>
  <si>
    <t>15.16461</t>
  </si>
  <si>
    <t>CALCA CREPE RETA RECORTES</t>
  </si>
  <si>
    <t>1516461000538</t>
  </si>
  <si>
    <t>15.16463</t>
  </si>
  <si>
    <t>15164630401738</t>
  </si>
  <si>
    <t>15164650005P</t>
  </si>
  <si>
    <t>15.16465</t>
  </si>
  <si>
    <t>15164660005P</t>
  </si>
  <si>
    <t>15.16466</t>
  </si>
  <si>
    <t>CASACO TRICOT COMPRIDO PELINHO         </t>
  </si>
  <si>
    <t>04311</t>
  </si>
  <si>
    <t>151646830031P</t>
  </si>
  <si>
    <t>15.16468</t>
  </si>
  <si>
    <t>CASACO TRICOT EST LABIRINTO</t>
  </si>
  <si>
    <t>15.16469</t>
  </si>
  <si>
    <t>SHORT ESTAMPA MOBILE</t>
  </si>
  <si>
    <t>15164693001838</t>
  </si>
  <si>
    <t>15164720005P</t>
  </si>
  <si>
    <t>15.16472</t>
  </si>
  <si>
    <t>BLUSA TRICOT LISTRAS RAYON</t>
  </si>
  <si>
    <t>151647204323P</t>
  </si>
  <si>
    <t>15.16474</t>
  </si>
  <si>
    <t>COLETE ESTAMPA MOBILE</t>
  </si>
  <si>
    <t>151647430018P</t>
  </si>
  <si>
    <t>151647504323P</t>
  </si>
  <si>
    <t>15.16475</t>
  </si>
  <si>
    <t>BLUSA TRICOT PULL</t>
  </si>
  <si>
    <t>15.16479</t>
  </si>
  <si>
    <t>BLAZER JACQUARD ONCA</t>
  </si>
  <si>
    <t>151647930041P</t>
  </si>
  <si>
    <t>15.16480</t>
  </si>
  <si>
    <t>PARKA TIGRE BORDADO</t>
  </si>
  <si>
    <t>151648030046P</t>
  </si>
  <si>
    <t>15164820005P</t>
  </si>
  <si>
    <t>15.16482</t>
  </si>
  <si>
    <t>BLUSA TRICOT MANGA LONGA        </t>
  </si>
  <si>
    <t>15164822614P</t>
  </si>
  <si>
    <t>15164840005P</t>
  </si>
  <si>
    <t>15.16484</t>
  </si>
  <si>
    <t>BLUSA TRICOT MALHA INGLESA             </t>
  </si>
  <si>
    <t>15164848240P</t>
  </si>
  <si>
    <t>8240</t>
  </si>
  <si>
    <t>DENIM</t>
  </si>
  <si>
    <t>15164870005P</t>
  </si>
  <si>
    <t>15.16487</t>
  </si>
  <si>
    <t>BLUSA TRICOT LISTRAS</t>
  </si>
  <si>
    <t>15164870024P</t>
  </si>
  <si>
    <t>1516488067P</t>
  </si>
  <si>
    <t>15.16488</t>
  </si>
  <si>
    <t>067</t>
  </si>
  <si>
    <t>BLUSA TRICOT RAYON FRANJAS        </t>
  </si>
  <si>
    <t>151649530000P</t>
  </si>
  <si>
    <t>15.16495</t>
  </si>
  <si>
    <t>CASACO TRICOT JACQUARD NATUREZA</t>
  </si>
  <si>
    <t>15164970005P</t>
  </si>
  <si>
    <t>15.16497</t>
  </si>
  <si>
    <t>CASACO TRICOT PONTO RENDADO</t>
  </si>
  <si>
    <t>15164970024P</t>
  </si>
  <si>
    <t>15164988240P</t>
  </si>
  <si>
    <t>15.16498</t>
  </si>
  <si>
    <t>BLUSA TRICOT PONTO COLMEIA</t>
  </si>
  <si>
    <t>15165018240P</t>
  </si>
  <si>
    <t>15.16501</t>
  </si>
  <si>
    <t>CASACO TRICOT LISTRAS 3D</t>
  </si>
  <si>
    <t>15165020005P</t>
  </si>
  <si>
    <t>15.16502</t>
  </si>
  <si>
    <t>CASACO TRICOT TELA COM BOLSOS          </t>
  </si>
  <si>
    <t>15165020326P</t>
  </si>
  <si>
    <t>0326</t>
  </si>
  <si>
    <t>TERRACOTA</t>
  </si>
  <si>
    <t>151650530022P</t>
  </si>
  <si>
    <t>15.16505</t>
  </si>
  <si>
    <t>CASACO TRICOT EST NATUREZA MATCHA</t>
  </si>
  <si>
    <t>15165088240P</t>
  </si>
  <si>
    <t>15.16508</t>
  </si>
  <si>
    <t>BLUSA TRICOT PULL DENIM    </t>
  </si>
  <si>
    <t>15165140005P</t>
  </si>
  <si>
    <t>15.16514</t>
  </si>
  <si>
    <t>BLUSA TRICOT PONTO ESCAMA              </t>
  </si>
  <si>
    <t>15165140024P</t>
  </si>
  <si>
    <t>151651404323P</t>
  </si>
  <si>
    <t>151652004328P</t>
  </si>
  <si>
    <t>15.16520</t>
  </si>
  <si>
    <t>PULL TRICOT OVERSIZE</t>
  </si>
  <si>
    <t>15.16526</t>
  </si>
  <si>
    <t>BLUSA TRICOT DESAGULHADA BICOLOR       </t>
  </si>
  <si>
    <t>151652604311P</t>
  </si>
  <si>
    <t>151652604329P</t>
  </si>
  <si>
    <t>15.16527</t>
  </si>
  <si>
    <t>CALCA TRICOT LISTRA COM BRILHO</t>
  </si>
  <si>
    <t>1516527067P</t>
  </si>
  <si>
    <t>15165290005P</t>
  </si>
  <si>
    <t>15.16529</t>
  </si>
  <si>
    <t>TOP TRICOT DECOTE QUADRADO</t>
  </si>
  <si>
    <t>SALMAO CLARO</t>
  </si>
  <si>
    <t>15165292614P</t>
  </si>
  <si>
    <t>151653030040P</t>
  </si>
  <si>
    <t>15.16530</t>
  </si>
  <si>
    <t>CASACO TRICOT JACQUARD ONCA</t>
  </si>
  <si>
    <t>15.16535</t>
  </si>
  <si>
    <t>PONCHO TRICOT FRANJAS       </t>
  </si>
  <si>
    <t>15165350326M</t>
  </si>
  <si>
    <t>1036</t>
  </si>
  <si>
    <t>15165351036M</t>
  </si>
  <si>
    <t>15165370005P</t>
  </si>
  <si>
    <t>15.16537</t>
  </si>
  <si>
    <t>CASACO TRICOT CANELADO LONGO           </t>
  </si>
  <si>
    <t>15165390005P</t>
  </si>
  <si>
    <t>15.16539</t>
  </si>
  <si>
    <t>CASACO TRICOT POA 3D                   </t>
  </si>
  <si>
    <t>151654004323P</t>
  </si>
  <si>
    <t>15.16540</t>
  </si>
  <si>
    <t>15.16542</t>
  </si>
  <si>
    <t>BLUSA TRICOT LISTRA BRILHO</t>
  </si>
  <si>
    <t>1516542067P</t>
  </si>
  <si>
    <t>15.16545</t>
  </si>
  <si>
    <t>SHORT JEANS BLACK MIX LAVAGEM</t>
  </si>
  <si>
    <t>1516545229138</t>
  </si>
  <si>
    <t>15.16548</t>
  </si>
  <si>
    <t>CALCA JEANS UTILITARIO BLACK</t>
  </si>
  <si>
    <t>1516548229138</t>
  </si>
  <si>
    <t>15.16549</t>
  </si>
  <si>
    <t>CALCA JEANS UTILITARIO BLUE DENIM</t>
  </si>
  <si>
    <t>1516549009138</t>
  </si>
  <si>
    <t>15.16550</t>
  </si>
  <si>
    <t>CALCA JEANS CINTURA BAIXA</t>
  </si>
  <si>
    <t>1516550009138</t>
  </si>
  <si>
    <t>15165530091P</t>
  </si>
  <si>
    <t>15.16553</t>
  </si>
  <si>
    <t>MACACAO JEANS BABADINHOS CAVA</t>
  </si>
  <si>
    <t>15.16554</t>
  </si>
  <si>
    <t>SHORT SARJA RECORTES COTELE</t>
  </si>
  <si>
    <t>15165540432838</t>
  </si>
  <si>
    <t>15165550005P</t>
  </si>
  <si>
    <t>15.16555</t>
  </si>
  <si>
    <t>BLUSA TRICOT MIX PONTOS</t>
  </si>
  <si>
    <t>15165550024P</t>
  </si>
  <si>
    <t>15165580024P</t>
  </si>
  <si>
    <t>15.16558</t>
  </si>
  <si>
    <t>CASACO TRICOT AMPLO   </t>
  </si>
  <si>
    <t>15165588240P</t>
  </si>
  <si>
    <t>15.16564</t>
  </si>
  <si>
    <t>CALCA JEANS RISCA DE GIZ CRISTAIS</t>
  </si>
  <si>
    <t>1516564009138</t>
  </si>
  <si>
    <t>15.16565</t>
  </si>
  <si>
    <t>CALCA JEANS WIDE CINTO BLUE DENIM</t>
  </si>
  <si>
    <t>1516565009138</t>
  </si>
  <si>
    <t>15.16567</t>
  </si>
  <si>
    <t>SHORT SARJA RESINADO</t>
  </si>
  <si>
    <t>1516567000538</t>
  </si>
  <si>
    <t>15165680091P</t>
  </si>
  <si>
    <t>15.16568</t>
  </si>
  <si>
    <t>CAMISA JEANS RISCA DE GIZ CRISTAIS</t>
  </si>
  <si>
    <t>15165700005P</t>
  </si>
  <si>
    <t>15.16570</t>
  </si>
  <si>
    <t>15.16573</t>
  </si>
  <si>
    <t>VESTIDO LONGO ESTAMPA ONCA</t>
  </si>
  <si>
    <t>151657330040P</t>
  </si>
  <si>
    <t>15.16574</t>
  </si>
  <si>
    <t>VESTIDO GGT LONGO ALCAS</t>
  </si>
  <si>
    <t>151657404323P</t>
  </si>
  <si>
    <t>15165770005P</t>
  </si>
  <si>
    <t>15.16577</t>
  </si>
  <si>
    <t>BLUSA BORDADA ADELIA</t>
  </si>
  <si>
    <t>15165790005P</t>
  </si>
  <si>
    <t>15.16579</t>
  </si>
  <si>
    <t>BLUSA CAVA METALIZADA VELUDO</t>
  </si>
  <si>
    <t>15165810001P</t>
  </si>
  <si>
    <t>15.16581</t>
  </si>
  <si>
    <t>BLUSA MANGA CURTA BORDADO BRUMA</t>
  </si>
  <si>
    <t>15165810005P</t>
  </si>
  <si>
    <t>15.16584</t>
  </si>
  <si>
    <t>BLUSA MANGA CURTA NATUREZA MATCHA</t>
  </si>
  <si>
    <t>151658430022P</t>
  </si>
  <si>
    <t>15.16588</t>
  </si>
  <si>
    <t>BLUSA ALCA PONTEIRAS</t>
  </si>
  <si>
    <t>151658804303P</t>
  </si>
  <si>
    <t>151658804314P</t>
  </si>
  <si>
    <t>15.16591</t>
  </si>
  <si>
    <t>BLUSA LISTRA XILOGRAVURA</t>
  </si>
  <si>
    <t>15165910005P</t>
  </si>
  <si>
    <t>15.16592</t>
  </si>
  <si>
    <t>BLUSA LISTRA BAUHAUS</t>
  </si>
  <si>
    <t>151659204317P</t>
  </si>
  <si>
    <t>15.16594</t>
  </si>
  <si>
    <t>BLUSA CROPPED DECOTE V</t>
  </si>
  <si>
    <t>151659404308P</t>
  </si>
  <si>
    <t>15165942206P</t>
  </si>
  <si>
    <t>15.16596</t>
  </si>
  <si>
    <t>30023</t>
  </si>
  <si>
    <t>BLUSA ESTAMPA MARACAJA</t>
  </si>
  <si>
    <t>EST MARACAJÁ $</t>
  </si>
  <si>
    <t>151659630023P</t>
  </si>
  <si>
    <t>15.16598</t>
  </si>
  <si>
    <t>BLUSA ESTAMPA NATUREZA MATCHA</t>
  </si>
  <si>
    <t>151659830022P</t>
  </si>
  <si>
    <t>15.16600</t>
  </si>
  <si>
    <t>BATA DETALHE RENDA</t>
  </si>
  <si>
    <t>15166000005P</t>
  </si>
  <si>
    <t>15.16602</t>
  </si>
  <si>
    <t>15166020005P</t>
  </si>
  <si>
    <t>15.16604</t>
  </si>
  <si>
    <t>BLUSA CROPPED PONTEIRAS</t>
  </si>
  <si>
    <t>15166040005P</t>
  </si>
  <si>
    <t>151660404304P</t>
  </si>
  <si>
    <t>15.16605</t>
  </si>
  <si>
    <t>018</t>
  </si>
  <si>
    <t>BODY METALIZADO TORCAO</t>
  </si>
  <si>
    <t>DOURADO</t>
  </si>
  <si>
    <t>1516605018P</t>
  </si>
  <si>
    <t>15.16606</t>
  </si>
  <si>
    <t>30024</t>
  </si>
  <si>
    <t>CROPPED ESTAMPA MARACAJA PRETO</t>
  </si>
  <si>
    <t>EST MARACAJÁ PRETO $</t>
  </si>
  <si>
    <t>151660630024P</t>
  </si>
  <si>
    <t>15.16607</t>
  </si>
  <si>
    <t>CROPPED ESTAMPA MARACAJA</t>
  </si>
  <si>
    <t>151660730023P</t>
  </si>
  <si>
    <t>15.16608</t>
  </si>
  <si>
    <t>CAMISA ESTAMPA NATUREZA MATCHA</t>
  </si>
  <si>
    <t>151660830022P</t>
  </si>
  <si>
    <t>15.16609</t>
  </si>
  <si>
    <t>CALCA MONTARIA RECORTES</t>
  </si>
  <si>
    <t>15166090005P</t>
  </si>
  <si>
    <t>15.16610</t>
  </si>
  <si>
    <t>CAMISA BORDADO GEO BEIJO</t>
  </si>
  <si>
    <t>15166100024P</t>
  </si>
  <si>
    <t>151661004317P</t>
  </si>
  <si>
    <t>15166102206P</t>
  </si>
  <si>
    <t>151661104329P</t>
  </si>
  <si>
    <t>15.16611</t>
  </si>
  <si>
    <t>CALCA PREGAS BARRA COLOR</t>
  </si>
  <si>
    <t>15.16612</t>
  </si>
  <si>
    <t>CROPPED ALCA BICOLOR</t>
  </si>
  <si>
    <t>151661204317P</t>
  </si>
  <si>
    <t>15166130005P</t>
  </si>
  <si>
    <t>15.16613</t>
  </si>
  <si>
    <t>CALCA WIDE ALFAIATARIA VELUDO</t>
  </si>
  <si>
    <t>151661504329P</t>
  </si>
  <si>
    <t>15.16615</t>
  </si>
  <si>
    <t>CASACO BORDADO RECHILIEU COLOR</t>
  </si>
  <si>
    <t>15.16617</t>
  </si>
  <si>
    <t>30019</t>
  </si>
  <si>
    <t>CROPPED MANGA CURTA ESTAMPA GEO BEIJO</t>
  </si>
  <si>
    <t>EST GEO BEIJO $</t>
  </si>
  <si>
    <t>151661730019P</t>
  </si>
  <si>
    <t>15.16619</t>
  </si>
  <si>
    <t>MACACAO NATUREZA MATCHA</t>
  </si>
  <si>
    <t>151661930022P</t>
  </si>
  <si>
    <t>15.16622</t>
  </si>
  <si>
    <t>BATA RECORTE FRANZIDO</t>
  </si>
  <si>
    <t>15166222206P</t>
  </si>
  <si>
    <t>15.16623</t>
  </si>
  <si>
    <t>151662304312P</t>
  </si>
  <si>
    <t>15.16624</t>
  </si>
  <si>
    <t>TOP CROPPED ESTAMPA GEO BEIJO</t>
  </si>
  <si>
    <t>151662430019P</t>
  </si>
  <si>
    <t>15166260005P</t>
  </si>
  <si>
    <t>15.16626</t>
  </si>
  <si>
    <t>TOP VOLUME ALCA VELUDO</t>
  </si>
  <si>
    <t>15.16627</t>
  </si>
  <si>
    <t>VESTIDO CURTO METALIZADO TORCAO</t>
  </si>
  <si>
    <t>1516627018P</t>
  </si>
  <si>
    <t>15.16628</t>
  </si>
  <si>
    <t>VESTIDO LISTRA XILOGRAVURA</t>
  </si>
  <si>
    <t>15166280005P</t>
  </si>
  <si>
    <t>15.16629</t>
  </si>
  <si>
    <t>VESTIDO LISTRA BAUHAUS</t>
  </si>
  <si>
    <t>151662904317P</t>
  </si>
  <si>
    <t>15.16633</t>
  </si>
  <si>
    <t>VESTIDO LONGO BICOLOR</t>
  </si>
  <si>
    <t>151663304312P</t>
  </si>
  <si>
    <t>15.16635</t>
  </si>
  <si>
    <t>VESTIDO CURTO DETALHE FRANZIDO</t>
  </si>
  <si>
    <t>15166352206P</t>
  </si>
  <si>
    <t>15.16636</t>
  </si>
  <si>
    <t>VESTIDO MIDI NATUREZA MATCHA</t>
  </si>
  <si>
    <t>151663630022P</t>
  </si>
  <si>
    <t>15.16637</t>
  </si>
  <si>
    <t>VESTIDO CURTO FRANZIDOS</t>
  </si>
  <si>
    <t>151663704308P</t>
  </si>
  <si>
    <t>15.16638</t>
  </si>
  <si>
    <t>VESTIDO MIDI ALCA AMARRACAO</t>
  </si>
  <si>
    <t>15166380005P</t>
  </si>
  <si>
    <t>15.16639</t>
  </si>
  <si>
    <t>VESTIDO MIDI ALCA ELASTICO</t>
  </si>
  <si>
    <t>151663904303P</t>
  </si>
  <si>
    <t>15.16642</t>
  </si>
  <si>
    <t>VESTIDO LONGO BOLSOS</t>
  </si>
  <si>
    <t>151664204308P</t>
  </si>
  <si>
    <t>15.16647</t>
  </si>
  <si>
    <t>VESTIDO CURTO ESTAMPA MARACAJA PRETO</t>
  </si>
  <si>
    <t>151664730024P</t>
  </si>
  <si>
    <t>15.16648</t>
  </si>
  <si>
    <t>BERMUDA ESTAMPA GEO BEIJO</t>
  </si>
  <si>
    <t>151664830019P</t>
  </si>
  <si>
    <t>15.16649</t>
  </si>
  <si>
    <t>VESTIDO MIDI ESTAMPA MARACAJA</t>
  </si>
  <si>
    <t>151664930023P</t>
  </si>
  <si>
    <t>15.16650</t>
  </si>
  <si>
    <t>VESTIDO LONGO ESTAMPA MARACAJA</t>
  </si>
  <si>
    <t>151665030023P</t>
  </si>
  <si>
    <t>15.16651</t>
  </si>
  <si>
    <t>BOMBER BORDADO GEO BEIJO</t>
  </si>
  <si>
    <t>15166510005P</t>
  </si>
  <si>
    <t>15.16652</t>
  </si>
  <si>
    <t>VESTIDO CURTO PUNHO LASTEX</t>
  </si>
  <si>
    <t>15166522206P</t>
  </si>
  <si>
    <t>15.16653</t>
  </si>
  <si>
    <t>CALCA LISTRA BAUHAUS</t>
  </si>
  <si>
    <t>151665304317P</t>
  </si>
  <si>
    <t>15.16654</t>
  </si>
  <si>
    <t>VESTIDO LONGO ESTAMPA NATUREZA MATCHA</t>
  </si>
  <si>
    <t>151665430022P</t>
  </si>
  <si>
    <t>15.16655</t>
  </si>
  <si>
    <t>CALCA ESTAMPA NATUREZA MATCHA</t>
  </si>
  <si>
    <t>151665530022P</t>
  </si>
  <si>
    <t>15.16656</t>
  </si>
  <si>
    <t>VESTIDO CURTO ESTAMPA NATUREZA MATCHA</t>
  </si>
  <si>
    <t>151665630022P</t>
  </si>
  <si>
    <t>15.16657</t>
  </si>
  <si>
    <t>CALCA PANTALONA BOLSOS</t>
  </si>
  <si>
    <t>15166570005P</t>
  </si>
  <si>
    <t>15.16658</t>
  </si>
  <si>
    <t>CALCA PANTALONA FAIXA</t>
  </si>
  <si>
    <t>151665804308P</t>
  </si>
  <si>
    <t>15166582206P</t>
  </si>
  <si>
    <t>15.16659</t>
  </si>
  <si>
    <t>VESTIDO MIDI ESTAMPA GEO BEIJO</t>
  </si>
  <si>
    <t>151665930019P</t>
  </si>
  <si>
    <t>15.16660</t>
  </si>
  <si>
    <t>CALCA LISTRA XILOGRAVURA</t>
  </si>
  <si>
    <t>15166600005P</t>
  </si>
  <si>
    <t>15.16661</t>
  </si>
  <si>
    <t>VESTIDO MIDI DETALHE COSTAS</t>
  </si>
  <si>
    <t>151666104317P</t>
  </si>
  <si>
    <t>15.16662</t>
  </si>
  <si>
    <t>VESTIDO CURTO SILK GEO BEIJO</t>
  </si>
  <si>
    <t>15166620024P</t>
  </si>
  <si>
    <t>15.16663</t>
  </si>
  <si>
    <t>KIMONO LISTRA BAUHAUS</t>
  </si>
  <si>
    <t>151666304317P</t>
  </si>
  <si>
    <t>15.16664</t>
  </si>
  <si>
    <t>KIMONO PUNHO LASTEX</t>
  </si>
  <si>
    <t>15166642614P</t>
  </si>
  <si>
    <t>15.16665</t>
  </si>
  <si>
    <t>SAIA MIDI ESTAMPA MARACAJA</t>
  </si>
  <si>
    <t>151666530023P</t>
  </si>
  <si>
    <t>15.16666</t>
  </si>
  <si>
    <t>MACACAO ESTAMPA MARACAJA PRETO</t>
  </si>
  <si>
    <t>151666630024P</t>
  </si>
  <si>
    <t>15.16668</t>
  </si>
  <si>
    <t>MACACAO PANTALONA FAIXA</t>
  </si>
  <si>
    <t>151666804308P</t>
  </si>
  <si>
    <t>15166682206P</t>
  </si>
  <si>
    <t>15.16671</t>
  </si>
  <si>
    <t>SHORT COS BOLSO DUPLO</t>
  </si>
  <si>
    <t>15166712614P</t>
  </si>
  <si>
    <t>15.16673</t>
  </si>
  <si>
    <t>BLUSA MANGA LONGA NATUREZA MATCHA</t>
  </si>
  <si>
    <t>151667330022P</t>
  </si>
  <si>
    <t>15.16674</t>
  </si>
  <si>
    <t>CALCA EST NATUREZA MATCHA</t>
  </si>
  <si>
    <t>151667430022P</t>
  </si>
  <si>
    <t>15.16678</t>
  </si>
  <si>
    <t>BLUSA CROPPED PLISSADO FOIL</t>
  </si>
  <si>
    <t>15166780029P</t>
  </si>
  <si>
    <t>1516678018P</t>
  </si>
  <si>
    <t>1516684018P</t>
  </si>
  <si>
    <t>15.16684</t>
  </si>
  <si>
    <t>SAIA MIDI BICOLOR PLISSADO</t>
  </si>
  <si>
    <t>15166910001P</t>
  </si>
  <si>
    <t>15.16691</t>
  </si>
  <si>
    <t>BLUSA SEM MANGA BABADO CAVA</t>
  </si>
  <si>
    <t>15166910005P</t>
  </si>
  <si>
    <t>15.16692</t>
  </si>
  <si>
    <t>BLUSA PEPLUM LISTRAS P&amp;B</t>
  </si>
  <si>
    <t>151669200082P</t>
  </si>
  <si>
    <t>15.16694</t>
  </si>
  <si>
    <t>CALCA WIDE LISTRAS P&amp;B</t>
  </si>
  <si>
    <t>151669400082P</t>
  </si>
  <si>
    <t>15.16696</t>
  </si>
  <si>
    <t>BLUSA BORDADO BOCA</t>
  </si>
  <si>
    <t>15166960001P</t>
  </si>
  <si>
    <t>15166960005P</t>
  </si>
  <si>
    <t>151669704317P</t>
  </si>
  <si>
    <t>15.16697</t>
  </si>
  <si>
    <t>BLUSA CROPPED CANELADA</t>
  </si>
  <si>
    <t>15166972595P</t>
  </si>
  <si>
    <t>151669804308P</t>
  </si>
  <si>
    <t>15.16698</t>
  </si>
  <si>
    <t>BLUSA MANGA CURTA GOLA ALTA</t>
  </si>
  <si>
    <t>151669804314P</t>
  </si>
  <si>
    <t>151669804327P</t>
  </si>
  <si>
    <t>15167040005P</t>
  </si>
  <si>
    <t>15.16704</t>
  </si>
  <si>
    <t>BLUSA SEM MANGA DUPLA FACE</t>
  </si>
  <si>
    <t>151670404308P</t>
  </si>
  <si>
    <t>151670604328P</t>
  </si>
  <si>
    <t>15.16706</t>
  </si>
  <si>
    <t>BLUSA SILK FEMME</t>
  </si>
  <si>
    <t>15.16707</t>
  </si>
  <si>
    <t>BLUSA FRANZIDOS</t>
  </si>
  <si>
    <t>15167070005P</t>
  </si>
  <si>
    <t>151670804321P</t>
  </si>
  <si>
    <t>15.16708</t>
  </si>
  <si>
    <t>BLUSA SILK FREE SPIRIT</t>
  </si>
  <si>
    <t>15.16711</t>
  </si>
  <si>
    <t>BLUSA BUSTO FAIXA</t>
  </si>
  <si>
    <t>15167110005P</t>
  </si>
  <si>
    <t>151671104321P</t>
  </si>
  <si>
    <t>15.16716</t>
  </si>
  <si>
    <t>151671604328P</t>
  </si>
  <si>
    <t>151671804302P</t>
  </si>
  <si>
    <t>15.16718</t>
  </si>
  <si>
    <t>VESTIDO MIDI MANGA LONGA BABADO</t>
  </si>
  <si>
    <t>15.16719</t>
  </si>
  <si>
    <t>CAMISA LISTRA BAUHAUS PRETO</t>
  </si>
  <si>
    <t>15167190005P</t>
  </si>
  <si>
    <t>15.16721</t>
  </si>
  <si>
    <t>BLUSA AMARRACAO</t>
  </si>
  <si>
    <t>15167210005P</t>
  </si>
  <si>
    <t>151672104304P</t>
  </si>
  <si>
    <t>151672104308P</t>
  </si>
  <si>
    <t>15.16723</t>
  </si>
  <si>
    <t>15167230024P</t>
  </si>
  <si>
    <t>15.16726</t>
  </si>
  <si>
    <t>BLUSA BORDADO AQUARELA</t>
  </si>
  <si>
    <t>15167260005P</t>
  </si>
  <si>
    <t>151672604308P</t>
  </si>
  <si>
    <t>15.16727</t>
  </si>
  <si>
    <t>CAMISA PREGAS</t>
  </si>
  <si>
    <t>15167270001P</t>
  </si>
  <si>
    <t>15.16729</t>
  </si>
  <si>
    <t>CAMISA PUNHO LARGO</t>
  </si>
  <si>
    <t>15167290005P</t>
  </si>
  <si>
    <t>15167290024P</t>
  </si>
  <si>
    <t>151672904308P</t>
  </si>
  <si>
    <t>151672904314P</t>
  </si>
  <si>
    <t>15.16731</t>
  </si>
  <si>
    <t>CAMISA CROPPED MANGA BABADO</t>
  </si>
  <si>
    <t>15167310005P</t>
  </si>
  <si>
    <t>151673104304P</t>
  </si>
  <si>
    <t>15.16732</t>
  </si>
  <si>
    <t>VESTIDO BORDADO MARACAJA PRETO</t>
  </si>
  <si>
    <t>15167320005P</t>
  </si>
  <si>
    <t>15.16736</t>
  </si>
  <si>
    <t>VESTIDO LONGO BORDADO AQUARELA</t>
  </si>
  <si>
    <t>15167360005P</t>
  </si>
  <si>
    <t>15.16738</t>
  </si>
  <si>
    <t>151673804317P</t>
  </si>
  <si>
    <t>15.16741</t>
  </si>
  <si>
    <t>CAMISA BORDADO NATUREZA MATCHA</t>
  </si>
  <si>
    <t>15167410024P</t>
  </si>
  <si>
    <t>15.16742</t>
  </si>
  <si>
    <t>VESTIDO MIDI PALA PREGAS</t>
  </si>
  <si>
    <t>15167420005P</t>
  </si>
  <si>
    <t>151674204321P</t>
  </si>
  <si>
    <t>15.16743</t>
  </si>
  <si>
    <t>SAIA MIDI PAREO BICOLOR</t>
  </si>
  <si>
    <t>151674304312P</t>
  </si>
  <si>
    <t>15.16744</t>
  </si>
  <si>
    <t>CHEMISE MIDI BOTOES</t>
  </si>
  <si>
    <t>151674404328P</t>
  </si>
  <si>
    <t>15.16745</t>
  </si>
  <si>
    <t>CALCA PANTALONA BORDADO AQUARELA</t>
  </si>
  <si>
    <t>15167450005P</t>
  </si>
  <si>
    <t>151674504304P</t>
  </si>
  <si>
    <t>15.16746</t>
  </si>
  <si>
    <t>MACACAO BORDADO AQUARELA</t>
  </si>
  <si>
    <t>15167460005P</t>
  </si>
  <si>
    <t>15.16748</t>
  </si>
  <si>
    <t>CALCA PANTALONA COS LARGO</t>
  </si>
  <si>
    <t>15167480005P</t>
  </si>
  <si>
    <t>151674804304P</t>
  </si>
  <si>
    <t>151674804308P</t>
  </si>
  <si>
    <t>15.16750</t>
  </si>
  <si>
    <t>CALCA LISTRA BAUHAUS PRETO</t>
  </si>
  <si>
    <t>15167500005P</t>
  </si>
  <si>
    <t>15.16752</t>
  </si>
  <si>
    <t>SHORT PALA PREGAS</t>
  </si>
  <si>
    <t>151675204304P</t>
  </si>
  <si>
    <t>151675204321P</t>
  </si>
  <si>
    <t>15.16754</t>
  </si>
  <si>
    <t>SAIA MIDI FENDA</t>
  </si>
  <si>
    <t>15167540005P</t>
  </si>
  <si>
    <t>151675404321P</t>
  </si>
  <si>
    <t>15.16755</t>
  </si>
  <si>
    <t>151675504317P</t>
  </si>
  <si>
    <t>15167630005P</t>
  </si>
  <si>
    <t>15.16763</t>
  </si>
  <si>
    <t>BLUSA CHATON CAVA</t>
  </si>
  <si>
    <t>15167630024P</t>
  </si>
  <si>
    <t>15167660024P</t>
  </si>
  <si>
    <t>15.16766</t>
  </si>
  <si>
    <t>BLUSA SILK SO COOL</t>
  </si>
  <si>
    <t>151676804317P</t>
  </si>
  <si>
    <t>15.16768</t>
  </si>
  <si>
    <t>BLUSA YIN YANG</t>
  </si>
  <si>
    <t>151677004328P</t>
  </si>
  <si>
    <t>15.16770</t>
  </si>
  <si>
    <t>VESTIDO BABADO SILK FEARLESS</t>
  </si>
  <si>
    <t>15167720005P</t>
  </si>
  <si>
    <t>15.16772</t>
  </si>
  <si>
    <t>VESTIDO BABADO SILK COURAGE</t>
  </si>
  <si>
    <t>151678304317P</t>
  </si>
  <si>
    <t>15.16783</t>
  </si>
  <si>
    <t>15167840005P</t>
  </si>
  <si>
    <t>15.16784</t>
  </si>
  <si>
    <t>BLUSA MANGA CURTA METAL ESTRELA</t>
  </si>
  <si>
    <t>1516784031P</t>
  </si>
  <si>
    <t>15167850005P</t>
  </si>
  <si>
    <t>15.16785</t>
  </si>
  <si>
    <t>BLUSA MANGA LONGA METAL ESTRELA</t>
  </si>
  <si>
    <t>15167850024P</t>
  </si>
  <si>
    <t>151679304308P</t>
  </si>
  <si>
    <t>15.16793</t>
  </si>
  <si>
    <t>BLUSA MANGA LONGA COLOR</t>
  </si>
  <si>
    <t>151679304329P</t>
  </si>
  <si>
    <t>15167970005P</t>
  </si>
  <si>
    <t>15.16797</t>
  </si>
  <si>
    <t>CALCA CANELADA MIX DE LISTRAS</t>
  </si>
  <si>
    <t>151679704328P</t>
  </si>
  <si>
    <t>151679804317P</t>
  </si>
  <si>
    <t>15.16798</t>
  </si>
  <si>
    <t>BLUSA MANGA CURTA LISTRAS</t>
  </si>
  <si>
    <t>15168000005P</t>
  </si>
  <si>
    <t>15.16800</t>
  </si>
  <si>
    <t>BLUSA CANELADA MIX DE LISTRAS</t>
  </si>
  <si>
    <t>151680004328P</t>
  </si>
  <si>
    <t>15.16815</t>
  </si>
  <si>
    <t>BLUSA TRICOT DETALHE ALINHAVO</t>
  </si>
  <si>
    <t>15168152614P</t>
  </si>
  <si>
    <t>15.16835</t>
  </si>
  <si>
    <t>BLUSA PALA PREGAS</t>
  </si>
  <si>
    <t>15168350024P</t>
  </si>
  <si>
    <t>151683504304P</t>
  </si>
  <si>
    <t>151683504321P</t>
  </si>
  <si>
    <t>15.16842</t>
  </si>
  <si>
    <t>BLUSA DECOTE RETO</t>
  </si>
  <si>
    <t>15168420005P</t>
  </si>
  <si>
    <t>15.16846</t>
  </si>
  <si>
    <t>VESTIDO MIDI ESTAMPA CERDA FIGO</t>
  </si>
  <si>
    <t>151684630015P</t>
  </si>
  <si>
    <t>15.16852</t>
  </si>
  <si>
    <t>151685204312P</t>
  </si>
  <si>
    <t>15.16853</t>
  </si>
  <si>
    <t>SHORT CLOCHARD BORDADO SALMAO</t>
  </si>
  <si>
    <t>151685304303P</t>
  </si>
  <si>
    <t>15.16854</t>
  </si>
  <si>
    <t>SHORT COS AMARRACAO</t>
  </si>
  <si>
    <t>151685404312P</t>
  </si>
  <si>
    <t>15.16856</t>
  </si>
  <si>
    <t>VESTIDO CURTO MANGA AMARRACAO</t>
  </si>
  <si>
    <t>151685604321P</t>
  </si>
  <si>
    <t>15.16857</t>
  </si>
  <si>
    <t>VESTIDO CURTO MANGA BORDADO</t>
  </si>
  <si>
    <t>151685704329P</t>
  </si>
  <si>
    <t>15.16858</t>
  </si>
  <si>
    <t>VESTIDO MIDI ESTAMPA VOA PRISMA</t>
  </si>
  <si>
    <t>EST VOA ROSA PRISMA E PRATA $</t>
  </si>
  <si>
    <t>151685830049P</t>
  </si>
  <si>
    <t>15.16859</t>
  </si>
  <si>
    <t>VESTIDO MIDI RECORTE LAISE</t>
  </si>
  <si>
    <t>151685904329P</t>
  </si>
  <si>
    <t>15.16864</t>
  </si>
  <si>
    <t>CAMISA AMPLA</t>
  </si>
  <si>
    <t>15168640024P</t>
  </si>
  <si>
    <t>15.16866</t>
  </si>
  <si>
    <t>VESTIDO CURTO DECOTE VAZADO</t>
  </si>
  <si>
    <t>15168660005P</t>
  </si>
  <si>
    <t>15.16867</t>
  </si>
  <si>
    <t>VESTIDO LONGO CAMADAS</t>
  </si>
  <si>
    <t>151686704014P</t>
  </si>
  <si>
    <t>15.16868</t>
  </si>
  <si>
    <t>151686804321P</t>
  </si>
  <si>
    <t>15.16872</t>
  </si>
  <si>
    <t>VESTIDO CURTO ESTAMPA POP</t>
  </si>
  <si>
    <t>151687230027P</t>
  </si>
  <si>
    <t>15.16873</t>
  </si>
  <si>
    <t>KIMONO ESTAMPA BELA</t>
  </si>
  <si>
    <t>151687330037P</t>
  </si>
  <si>
    <t>15.16874</t>
  </si>
  <si>
    <t>VESTIDO MIDI ESTAMPA BELA</t>
  </si>
  <si>
    <t>151687430037P</t>
  </si>
  <si>
    <t>15.16875</t>
  </si>
  <si>
    <t>VESTIDO MIDI RECORTE EST. CALEIDOSCOPIO</t>
  </si>
  <si>
    <t>151687530020P</t>
  </si>
  <si>
    <t>15.16880</t>
  </si>
  <si>
    <t>15168800005P</t>
  </si>
  <si>
    <t>15.16882</t>
  </si>
  <si>
    <t>15168820430338</t>
  </si>
  <si>
    <t>15.16883</t>
  </si>
  <si>
    <t>BLAZER ESTAMPA GEO BEIJO</t>
  </si>
  <si>
    <t>151688330019P</t>
  </si>
  <si>
    <t>1516885019U</t>
  </si>
  <si>
    <t>15.16885</t>
  </si>
  <si>
    <t>BOLSA SHOPPING BAG PELO ONCA</t>
  </si>
  <si>
    <t>15.16894</t>
  </si>
  <si>
    <t>151689404317P</t>
  </si>
  <si>
    <t>15.16899</t>
  </si>
  <si>
    <t>CASACO TRICOT TRANCA</t>
  </si>
  <si>
    <t>15168992614P</t>
  </si>
  <si>
    <t>151690104328P</t>
  </si>
  <si>
    <t>15.16901</t>
  </si>
  <si>
    <t>CASACO TRICOT TRANCA         </t>
  </si>
  <si>
    <t>15169040405P</t>
  </si>
  <si>
    <t>15.16904</t>
  </si>
  <si>
    <t>0405</t>
  </si>
  <si>
    <t>BLUSA TRICOT LISTRAS 3D</t>
  </si>
  <si>
    <t>151690604312P</t>
  </si>
  <si>
    <t>15.16906</t>
  </si>
  <si>
    <t>BLUSA TRICOT TRANCAS</t>
  </si>
  <si>
    <t>15.17002</t>
  </si>
  <si>
    <t>151700204310P</t>
  </si>
  <si>
    <t>15.17054</t>
  </si>
  <si>
    <t>VESTIDO MIDI ESTAMPA CROCHE</t>
  </si>
  <si>
    <t>151705430006P</t>
  </si>
  <si>
    <t>15.17055</t>
  </si>
  <si>
    <t>151705504302P</t>
  </si>
  <si>
    <t>15.17056</t>
  </si>
  <si>
    <t>JAQUETA REBITES</t>
  </si>
  <si>
    <t>15170560005P</t>
  </si>
  <si>
    <t>15170562206P</t>
  </si>
  <si>
    <t>15.17058</t>
  </si>
  <si>
    <t>VESTIDO MIDI ESTAMPA PORCELANA DECORADO</t>
  </si>
  <si>
    <t>EST PORCELANA_PRETO_ LOCA</t>
  </si>
  <si>
    <t>151705827672P</t>
  </si>
  <si>
    <t>15170710005P</t>
  </si>
  <si>
    <t>15.17071</t>
  </si>
  <si>
    <t>BLUSA CAVA TRICOT BICOLOR</t>
  </si>
  <si>
    <t>1517071031P</t>
  </si>
  <si>
    <t>15170720005P</t>
  </si>
  <si>
    <t>15.17072</t>
  </si>
  <si>
    <t>VESTIDO CANELADO MIX DE LISTRAS</t>
  </si>
  <si>
    <t>151707204328P</t>
  </si>
  <si>
    <t>15170910024P</t>
  </si>
  <si>
    <t>15.17091</t>
  </si>
  <si>
    <t>151709104303P</t>
  </si>
  <si>
    <t>15170930005P</t>
  </si>
  <si>
    <t>15.17093</t>
  </si>
  <si>
    <t>15170938242P</t>
  </si>
  <si>
    <t>8242</t>
  </si>
  <si>
    <t>AZUL JEANS</t>
  </si>
  <si>
    <t>15170940005P</t>
  </si>
  <si>
    <t>15.17094</t>
  </si>
  <si>
    <t>15170948242P</t>
  </si>
  <si>
    <t>151709604303P</t>
  </si>
  <si>
    <t>15.17096</t>
  </si>
  <si>
    <t>15170970005P</t>
  </si>
  <si>
    <t>15.17097</t>
  </si>
  <si>
    <t>BLUSA MANGA LONGA CAVA RAGLAN</t>
  </si>
  <si>
    <t>15170970024P</t>
  </si>
  <si>
    <t>15171020005P</t>
  </si>
  <si>
    <t>15.17102</t>
  </si>
  <si>
    <t>BLUSA DECOTE CANOA MANGA 7/8</t>
  </si>
  <si>
    <t>15171030005P</t>
  </si>
  <si>
    <t>15.17103</t>
  </si>
  <si>
    <t>CALCA ALFAIATARIA COM BOLSO FACA</t>
  </si>
  <si>
    <t>15.17110</t>
  </si>
  <si>
    <t>MACACAO TOP NO</t>
  </si>
  <si>
    <t>15171100005P</t>
  </si>
  <si>
    <t>15.17111</t>
  </si>
  <si>
    <t>SHORT LINHO PALA VIES</t>
  </si>
  <si>
    <t>15171110005P</t>
  </si>
  <si>
    <t>15.17113</t>
  </si>
  <si>
    <t>CALCA LINHO PALA V</t>
  </si>
  <si>
    <t>15171130005P</t>
  </si>
  <si>
    <t>151711304303P</t>
  </si>
  <si>
    <t>15.17114</t>
  </si>
  <si>
    <t>VESTIDO LONGO DECOTE BORDADO</t>
  </si>
  <si>
    <t>15171140005P</t>
  </si>
  <si>
    <t>15171160068U</t>
  </si>
  <si>
    <t>15.17116</t>
  </si>
  <si>
    <t>BRINCO ARGOLA METAL ACHATADO</t>
  </si>
  <si>
    <t>15171160199U</t>
  </si>
  <si>
    <t>15.17137</t>
  </si>
  <si>
    <t>COLAR METAL GOTA BOLINHAS</t>
  </si>
  <si>
    <t>15171370068U</t>
  </si>
  <si>
    <t>15171380068U</t>
  </si>
  <si>
    <t>15.17138</t>
  </si>
  <si>
    <t>COLAR CORRENTE METAL COBRA</t>
  </si>
  <si>
    <t>151714804000P</t>
  </si>
  <si>
    <t>15.17148</t>
  </si>
  <si>
    <t>CINTO COURO TACHAS FLOR CINTURA</t>
  </si>
  <si>
    <t>15171490005P</t>
  </si>
  <si>
    <t>15.17149</t>
  </si>
  <si>
    <t>CINTO COURO TACHAS CINTURA</t>
  </si>
  <si>
    <t>15.17247</t>
  </si>
  <si>
    <t>COLAR METAL RESINA VAZADO</t>
  </si>
  <si>
    <t>15172470024U</t>
  </si>
  <si>
    <t>15.17250</t>
  </si>
  <si>
    <t>BRINCO METAL RESINA VAZADO</t>
  </si>
  <si>
    <t>15172500024U</t>
  </si>
  <si>
    <t>15172590068U</t>
  </si>
  <si>
    <t>15.17259</t>
  </si>
  <si>
    <t>BRINCO METAL VAZADO</t>
  </si>
  <si>
    <t>15.17260</t>
  </si>
  <si>
    <t>BRINCO PLACAS TEXTURIZADA</t>
  </si>
  <si>
    <t>15172600068U</t>
  </si>
  <si>
    <t>15172740068U</t>
  </si>
  <si>
    <t>15.17274</t>
  </si>
  <si>
    <t>COLAR CANUTILHOS METALIZADO</t>
  </si>
  <si>
    <t>15172780024U</t>
  </si>
  <si>
    <t>15.17278</t>
  </si>
  <si>
    <t>COLAR MEDALHAS MICANGAS</t>
  </si>
  <si>
    <t>15172785348U</t>
  </si>
  <si>
    <t>5348</t>
  </si>
  <si>
    <t>15.17285</t>
  </si>
  <si>
    <t>SANDALIA ANABELA AMARRACAO CAMURCA</t>
  </si>
  <si>
    <t>15172850432838</t>
  </si>
  <si>
    <t>15.17396</t>
  </si>
  <si>
    <t>15173960005P</t>
  </si>
  <si>
    <t>15173962595P</t>
  </si>
  <si>
    <t>JAQUETA JEANS PESPONTO BRANCO</t>
  </si>
  <si>
    <t>BLUSA LUREX</t>
  </si>
  <si>
    <t>BLUSA SILK BOQUINHA</t>
  </si>
  <si>
    <t>BLUSA CREPE PREGA DUPLA</t>
  </si>
  <si>
    <t>MACACAO GGT ALCA CRUZADA DECOTE VAZADO</t>
  </si>
  <si>
    <t>CALCA CREPE RETA PESPONTO ZIG ZAG</t>
  </si>
  <si>
    <t>JAQUETA SARJA RESINADO</t>
  </si>
  <si>
    <t>VESTIDO OMBRO DESLOCADO</t>
  </si>
  <si>
    <t>OFF</t>
  </si>
  <si>
    <t>VERMELHO MANDARIM</t>
  </si>
  <si>
    <t>DENIN ESCRURO</t>
  </si>
  <si>
    <t xml:space="preserve">PP / P / M / G </t>
  </si>
  <si>
    <t>35 ao 39 CALCADO FEMININO</t>
  </si>
  <si>
    <t>P / M</t>
  </si>
  <si>
    <t>CÓD DE BARRAS</t>
  </si>
  <si>
    <t>JPC</t>
  </si>
  <si>
    <t>MK 2.3</t>
  </si>
  <si>
    <t>AFIRMATIVA CONFECCOES LTDA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</si>
</sst>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&quot;$&quot;* #,##0.00_);_(&quot;$&quot;* \(#,##0.00\);_(&quot;$&quot;* &quot;-&quot;??_);_(@_)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8" tint="0.79998168889431442"/>
      <name val="Calibri"/>
      <family val="2"/>
      <scheme val="minor"/>
    </font>
    <font>
      <sz val="10"/>
      <color rgb="FF000000"/>
      <name val="Calibri"/>
      <family val="2"/>
    </font>
    <font>
      <sz val="8"/>
      <name val="Calibri"/>
      <family val="2"/>
      <scheme val="minor"/>
    </font>
    <font>
      <sz val="10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color theme="8" tint="0.79998168889431442"/>
      <name val="Calibri"/>
      <family val="2"/>
      <scheme val="minor"/>
    </font>
    <font>
      <sz val="9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30">
    <border>
      <left/>
      <right/>
      <top/>
      <bottom/>
      <diagonal/>
    </border>
    <border>
      <left style="medium">
        <color theme="0"/>
      </left>
      <right style="medium">
        <color theme="0"/>
      </right>
      <top/>
      <bottom style="thin">
        <color auto="1"/>
      </bottom>
      <diagonal/>
    </border>
    <border>
      <left/>
      <right style="medium">
        <color theme="0"/>
      </right>
      <top/>
      <bottom/>
      <diagonal/>
    </border>
    <border>
      <left/>
      <right style="medium">
        <color theme="0"/>
      </right>
      <top/>
      <bottom style="thin">
        <color auto="1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auto="1"/>
      </bottom>
      <diagonal/>
    </border>
    <border>
      <left style="hair">
        <color indexed="64"/>
      </left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1" fillId="0" borderId="0"/>
    <xf numFmtId="0" fontId="10" fillId="0" borderId="0"/>
    <xf numFmtId="164" fontId="1" fillId="0" borderId="0" applyFont="0" applyFill="0" applyBorder="0" applyAlignment="0" applyProtection="0"/>
    <xf numFmtId="0" fontId="12" fillId="0" borderId="0"/>
    <xf numFmtId="0" fontId="1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0" fillId="0" borderId="0"/>
  </cellStyleXfs>
  <cellXfs count="124">
    <xf numFmtId="0" fontId="0" fillId="0" borderId="0" xfId="0"/>
    <xf numFmtId="0" fontId="2" fillId="0" borderId="0" xfId="0" applyFont="1"/>
    <xf numFmtId="44" fontId="2" fillId="0" borderId="0" xfId="1" applyFont="1"/>
    <xf numFmtId="0" fontId="3" fillId="0" borderId="1" xfId="0" applyFont="1" applyBorder="1"/>
    <xf numFmtId="0" fontId="2" fillId="0" borderId="0" xfId="0" applyFont="1" applyAlignment="1">
      <alignment horizontal="center"/>
    </xf>
    <xf numFmtId="0" fontId="2" fillId="0" borderId="2" xfId="0" applyFont="1" applyBorder="1"/>
    <xf numFmtId="0" fontId="3" fillId="0" borderId="3" xfId="0" applyFont="1" applyBorder="1"/>
    <xf numFmtId="0" fontId="2" fillId="0" borderId="4" xfId="0" applyFont="1" applyBorder="1"/>
    <xf numFmtId="0" fontId="2" fillId="2" borderId="5" xfId="0" applyFont="1" applyFill="1" applyBorder="1"/>
    <xf numFmtId="44" fontId="2" fillId="0" borderId="0" xfId="1" applyFont="1" applyBorder="1"/>
    <xf numFmtId="0" fontId="3" fillId="0" borderId="8" xfId="0" applyFont="1" applyBorder="1"/>
    <xf numFmtId="0" fontId="2" fillId="0" borderId="4" xfId="0" applyFont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5" fillId="0" borderId="0" xfId="0" applyFont="1"/>
    <xf numFmtId="0" fontId="6" fillId="0" borderId="1" xfId="0" applyFont="1" applyBorder="1" applyAlignment="1">
      <alignment horizontal="center"/>
    </xf>
    <xf numFmtId="44" fontId="6" fillId="0" borderId="1" xfId="1" applyFont="1" applyBorder="1" applyAlignment="1">
      <alignment horizontal="center"/>
    </xf>
    <xf numFmtId="0" fontId="2" fillId="0" borderId="9" xfId="0" applyFont="1" applyBorder="1"/>
    <xf numFmtId="0" fontId="2" fillId="0" borderId="13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44" fontId="2" fillId="0" borderId="12" xfId="1" applyFont="1" applyBorder="1" applyAlignment="1">
      <alignment horizontal="center"/>
    </xf>
    <xf numFmtId="44" fontId="2" fillId="0" borderId="23" xfId="1" applyFont="1" applyBorder="1" applyAlignment="1">
      <alignment horizontal="center"/>
    </xf>
    <xf numFmtId="0" fontId="2" fillId="3" borderId="17" xfId="0" applyFont="1" applyFill="1" applyBorder="1" applyAlignment="1">
      <alignment horizontal="center"/>
    </xf>
    <xf numFmtId="0" fontId="2" fillId="3" borderId="16" xfId="0" applyFont="1" applyFill="1" applyBorder="1" applyAlignment="1">
      <alignment horizontal="center"/>
    </xf>
    <xf numFmtId="0" fontId="2" fillId="3" borderId="18" xfId="0" applyFont="1" applyFill="1" applyBorder="1" applyAlignment="1">
      <alignment horizontal="center"/>
    </xf>
    <xf numFmtId="0" fontId="2" fillId="3" borderId="19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20" xfId="0" applyFont="1" applyFill="1" applyBorder="1" applyAlignment="1">
      <alignment horizontal="center"/>
    </xf>
    <xf numFmtId="0" fontId="2" fillId="3" borderId="21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22" xfId="0" applyFont="1" applyFill="1" applyBorder="1" applyAlignment="1">
      <alignment horizontal="center"/>
    </xf>
    <xf numFmtId="0" fontId="7" fillId="3" borderId="11" xfId="0" applyFont="1" applyFill="1" applyBorder="1" applyAlignment="1">
      <alignment horizontal="center"/>
    </xf>
    <xf numFmtId="0" fontId="7" fillId="3" borderId="0" xfId="0" applyFont="1" applyFill="1" applyAlignment="1">
      <alignment horizontal="center"/>
    </xf>
    <xf numFmtId="44" fontId="7" fillId="3" borderId="11" xfId="1" applyFont="1" applyFill="1" applyBorder="1" applyAlignment="1">
      <alignment horizontal="center"/>
    </xf>
    <xf numFmtId="0" fontId="7" fillId="3" borderId="14" xfId="0" applyFont="1" applyFill="1" applyBorder="1" applyAlignment="1">
      <alignment horizontal="center"/>
    </xf>
    <xf numFmtId="0" fontId="7" fillId="3" borderId="24" xfId="0" applyFont="1" applyFill="1" applyBorder="1" applyAlignment="1">
      <alignment horizontal="center"/>
    </xf>
    <xf numFmtId="44" fontId="2" fillId="2" borderId="5" xfId="1" applyFont="1" applyFill="1" applyBorder="1" applyAlignment="1">
      <alignment horizontal="center"/>
    </xf>
    <xf numFmtId="44" fontId="2" fillId="2" borderId="5" xfId="1" applyFont="1" applyFill="1" applyBorder="1"/>
    <xf numFmtId="9" fontId="8" fillId="0" borderId="0" xfId="2" applyFont="1" applyAlignment="1">
      <alignment horizontal="center"/>
    </xf>
    <xf numFmtId="44" fontId="8" fillId="0" borderId="0" xfId="1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44" fontId="2" fillId="2" borderId="5" xfId="0" applyNumberFormat="1" applyFont="1" applyFill="1" applyBorder="1" applyAlignment="1">
      <alignment horizontal="center"/>
    </xf>
    <xf numFmtId="0" fontId="2" fillId="0" borderId="4" xfId="0" applyFont="1" applyBorder="1" applyAlignment="1">
      <alignment horizontal="left"/>
    </xf>
    <xf numFmtId="0" fontId="2" fillId="2" borderId="5" xfId="0" applyFont="1" applyFill="1" applyBorder="1" applyAlignment="1">
      <alignment horizontal="left"/>
    </xf>
    <xf numFmtId="0" fontId="2" fillId="0" borderId="0" xfId="0" applyFont="1" applyAlignment="1">
      <alignment horizontal="left"/>
    </xf>
    <xf numFmtId="0" fontId="6" fillId="0" borderId="1" xfId="0" applyFont="1" applyBorder="1" applyAlignment="1">
      <alignment horizontal="left"/>
    </xf>
    <xf numFmtId="0" fontId="13" fillId="0" borderId="0" xfId="0" applyFont="1"/>
    <xf numFmtId="0" fontId="13" fillId="0" borderId="4" xfId="0" applyFont="1" applyBorder="1"/>
    <xf numFmtId="0" fontId="13" fillId="0" borderId="0" xfId="0" applyFont="1" applyAlignment="1">
      <alignment horizontal="center"/>
    </xf>
    <xf numFmtId="44" fontId="13" fillId="0" borderId="0" xfId="1" applyFont="1"/>
    <xf numFmtId="44" fontId="13" fillId="0" borderId="0" xfId="1" applyFont="1" applyBorder="1"/>
    <xf numFmtId="0" fontId="15" fillId="0" borderId="1" xfId="0" applyFont="1" applyBorder="1" applyAlignment="1">
      <alignment horizontal="center"/>
    </xf>
    <xf numFmtId="44" fontId="15" fillId="0" borderId="1" xfId="1" applyFont="1" applyBorder="1" applyAlignment="1">
      <alignment horizontal="center"/>
    </xf>
    <xf numFmtId="0" fontId="13" fillId="0" borderId="9" xfId="0" applyFont="1" applyBorder="1"/>
    <xf numFmtId="0" fontId="13" fillId="0" borderId="2" xfId="0" applyFont="1" applyBorder="1"/>
    <xf numFmtId="0" fontId="13" fillId="3" borderId="17" xfId="0" applyFont="1" applyFill="1" applyBorder="1" applyAlignment="1">
      <alignment horizontal="center"/>
    </xf>
    <xf numFmtId="0" fontId="13" fillId="3" borderId="16" xfId="0" applyFont="1" applyFill="1" applyBorder="1" applyAlignment="1">
      <alignment horizontal="center"/>
    </xf>
    <xf numFmtId="0" fontId="13" fillId="3" borderId="18" xfId="0" applyFont="1" applyFill="1" applyBorder="1" applyAlignment="1">
      <alignment horizontal="center"/>
    </xf>
    <xf numFmtId="0" fontId="13" fillId="3" borderId="19" xfId="0" applyFont="1" applyFill="1" applyBorder="1" applyAlignment="1">
      <alignment horizontal="center"/>
    </xf>
    <xf numFmtId="0" fontId="13" fillId="3" borderId="6" xfId="0" applyFont="1" applyFill="1" applyBorder="1" applyAlignment="1">
      <alignment horizontal="center"/>
    </xf>
    <xf numFmtId="0" fontId="13" fillId="3" borderId="20" xfId="0" applyFont="1" applyFill="1" applyBorder="1" applyAlignment="1">
      <alignment horizontal="center"/>
    </xf>
    <xf numFmtId="0" fontId="13" fillId="3" borderId="21" xfId="0" applyFont="1" applyFill="1" applyBorder="1" applyAlignment="1">
      <alignment horizontal="center"/>
    </xf>
    <xf numFmtId="0" fontId="13" fillId="3" borderId="15" xfId="0" applyFont="1" applyFill="1" applyBorder="1" applyAlignment="1">
      <alignment horizontal="center"/>
    </xf>
    <xf numFmtId="0" fontId="13" fillId="3" borderId="22" xfId="0" applyFont="1" applyFill="1" applyBorder="1" applyAlignment="1">
      <alignment horizontal="center"/>
    </xf>
    <xf numFmtId="0" fontId="14" fillId="3" borderId="25" xfId="0" applyFont="1" applyFill="1" applyBorder="1" applyAlignment="1">
      <alignment vertical="center"/>
    </xf>
    <xf numFmtId="0" fontId="16" fillId="3" borderId="11" xfId="0" applyFont="1" applyFill="1" applyBorder="1" applyAlignment="1">
      <alignment horizontal="center"/>
    </xf>
    <xf numFmtId="0" fontId="16" fillId="3" borderId="0" xfId="0" applyFont="1" applyFill="1" applyAlignment="1">
      <alignment horizontal="center"/>
    </xf>
    <xf numFmtId="44" fontId="16" fillId="3" borderId="11" xfId="1" applyFont="1" applyFill="1" applyBorder="1" applyAlignment="1">
      <alignment horizontal="center"/>
    </xf>
    <xf numFmtId="0" fontId="16" fillId="3" borderId="14" xfId="0" applyFont="1" applyFill="1" applyBorder="1" applyAlignment="1">
      <alignment horizontal="center"/>
    </xf>
    <xf numFmtId="0" fontId="16" fillId="3" borderId="24" xfId="0" applyFont="1" applyFill="1" applyBorder="1" applyAlignment="1">
      <alignment horizontal="center"/>
    </xf>
    <xf numFmtId="0" fontId="17" fillId="0" borderId="0" xfId="0" applyFont="1"/>
    <xf numFmtId="0" fontId="13" fillId="0" borderId="29" xfId="0" applyFont="1" applyBorder="1"/>
    <xf numFmtId="49" fontId="13" fillId="0" borderId="29" xfId="0" applyNumberFormat="1" applyFont="1" applyBorder="1" applyAlignment="1">
      <alignment horizontal="left"/>
    </xf>
    <xf numFmtId="0" fontId="13" fillId="0" borderId="29" xfId="0" applyFont="1" applyBorder="1" applyAlignment="1">
      <alignment horizontal="left"/>
    </xf>
    <xf numFmtId="0" fontId="13" fillId="0" borderId="29" xfId="0" applyFont="1" applyBorder="1" applyAlignment="1">
      <alignment horizontal="center"/>
    </xf>
    <xf numFmtId="44" fontId="13" fillId="0" borderId="12" xfId="1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44" fontId="13" fillId="0" borderId="23" xfId="1" applyFont="1" applyBorder="1" applyAlignment="1">
      <alignment horizontal="center"/>
    </xf>
    <xf numFmtId="49" fontId="13" fillId="0" borderId="29" xfId="0" applyNumberFormat="1" applyFont="1" applyBorder="1"/>
    <xf numFmtId="49" fontId="13" fillId="0" borderId="29" xfId="0" applyNumberFormat="1" applyFont="1" applyBorder="1" applyAlignment="1">
      <alignment horizontal="center"/>
    </xf>
    <xf numFmtId="49" fontId="13" fillId="0" borderId="10" xfId="0" applyNumberFormat="1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44" fontId="13" fillId="0" borderId="12" xfId="0" applyNumberFormat="1" applyFont="1" applyBorder="1" applyAlignment="1">
      <alignment horizontal="center"/>
    </xf>
    <xf numFmtId="44" fontId="13" fillId="0" borderId="23" xfId="0" applyNumberFormat="1" applyFont="1" applyBorder="1" applyAlignment="1">
      <alignment horizontal="center"/>
    </xf>
    <xf numFmtId="0" fontId="16" fillId="3" borderId="11" xfId="0" applyFont="1" applyFill="1" applyBorder="1" applyAlignment="1">
      <alignment horizontal="left"/>
    </xf>
    <xf numFmtId="44" fontId="13" fillId="0" borderId="29" xfId="1" applyFont="1" applyBorder="1"/>
    <xf numFmtId="44" fontId="13" fillId="0" borderId="29" xfId="1" applyFont="1" applyBorder="1" applyAlignment="1">
      <alignment horizontal="center"/>
    </xf>
    <xf numFmtId="0" fontId="13" fillId="0" borderId="10" xfId="0" applyFont="1" applyBorder="1" applyAlignment="1">
      <alignment horizontal="left"/>
    </xf>
    <xf numFmtId="44" fontId="13" fillId="0" borderId="10" xfId="0" applyNumberFormat="1" applyFont="1" applyBorder="1" applyAlignment="1">
      <alignment horizontal="center"/>
    </xf>
    <xf numFmtId="0" fontId="13" fillId="0" borderId="0" xfId="0" applyFont="1" applyAlignment="1">
      <alignment horizontal="left"/>
    </xf>
    <xf numFmtId="0" fontId="16" fillId="3" borderId="25" xfId="0" applyFont="1" applyFill="1" applyBorder="1" applyAlignment="1">
      <alignment horizontal="center"/>
    </xf>
    <xf numFmtId="44" fontId="13" fillId="0" borderId="25" xfId="1" applyFont="1" applyBorder="1" applyAlignment="1">
      <alignment horizontal="center"/>
    </xf>
    <xf numFmtId="0" fontId="16" fillId="3" borderId="29" xfId="0" applyFont="1" applyFill="1" applyBorder="1" applyAlignment="1">
      <alignment horizontal="center"/>
    </xf>
    <xf numFmtId="1" fontId="13" fillId="0" borderId="12" xfId="0" applyNumberFormat="1" applyFont="1" applyBorder="1" applyAlignment="1">
      <alignment horizontal="center"/>
    </xf>
    <xf numFmtId="1" fontId="13" fillId="0" borderId="29" xfId="0" applyNumberFormat="1" applyFont="1" applyBorder="1" applyAlignment="1">
      <alignment horizontal="center"/>
    </xf>
    <xf numFmtId="16" fontId="2" fillId="2" borderId="5" xfId="0" applyNumberFormat="1" applyFont="1" applyFill="1" applyBorder="1"/>
    <xf numFmtId="0" fontId="14" fillId="3" borderId="10" xfId="0" applyFont="1" applyFill="1" applyBorder="1" applyAlignment="1">
      <alignment horizontal="left" vertical="center"/>
    </xf>
    <xf numFmtId="0" fontId="14" fillId="3" borderId="11" xfId="0" applyFont="1" applyFill="1" applyBorder="1" applyAlignment="1">
      <alignment horizontal="left" vertical="center"/>
    </xf>
    <xf numFmtId="0" fontId="4" fillId="0" borderId="0" xfId="0" applyFont="1" applyAlignment="1">
      <alignment horizontal="center"/>
    </xf>
    <xf numFmtId="0" fontId="14" fillId="3" borderId="10" xfId="0" applyFont="1" applyFill="1" applyBorder="1" applyAlignment="1">
      <alignment horizontal="center" vertical="center"/>
    </xf>
    <xf numFmtId="0" fontId="14" fillId="3" borderId="11" xfId="0" applyFont="1" applyFill="1" applyBorder="1" applyAlignment="1">
      <alignment horizontal="center" vertical="center"/>
    </xf>
    <xf numFmtId="44" fontId="14" fillId="3" borderId="10" xfId="1" applyFont="1" applyFill="1" applyBorder="1" applyAlignment="1">
      <alignment horizontal="center" vertical="center"/>
    </xf>
    <xf numFmtId="44" fontId="14" fillId="3" borderId="11" xfId="1" applyFont="1" applyFill="1" applyBorder="1" applyAlignment="1">
      <alignment horizontal="center" vertical="center"/>
    </xf>
    <xf numFmtId="0" fontId="14" fillId="3" borderId="13" xfId="0" applyFont="1" applyFill="1" applyBorder="1" applyAlignment="1">
      <alignment horizontal="center"/>
    </xf>
    <xf numFmtId="0" fontId="14" fillId="3" borderId="12" xfId="0" applyFont="1" applyFill="1" applyBorder="1" applyAlignment="1">
      <alignment horizontal="center"/>
    </xf>
    <xf numFmtId="0" fontId="14" fillId="3" borderId="23" xfId="0" applyFont="1" applyFill="1" applyBorder="1" applyAlignment="1">
      <alignment horizontal="center"/>
    </xf>
    <xf numFmtId="0" fontId="14" fillId="3" borderId="12" xfId="0" applyFont="1" applyFill="1" applyBorder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0" fontId="14" fillId="3" borderId="25" xfId="0" applyFont="1" applyFill="1" applyBorder="1" applyAlignment="1">
      <alignment horizontal="center" vertical="center"/>
    </xf>
    <xf numFmtId="44" fontId="14" fillId="3" borderId="25" xfId="1" applyFont="1" applyFill="1" applyBorder="1" applyAlignment="1">
      <alignment horizontal="center" vertical="center"/>
    </xf>
    <xf numFmtId="0" fontId="14" fillId="3" borderId="25" xfId="0" applyFont="1" applyFill="1" applyBorder="1" applyAlignment="1">
      <alignment horizontal="left" vertical="center"/>
    </xf>
    <xf numFmtId="0" fontId="14" fillId="3" borderId="7" xfId="0" applyFont="1" applyFill="1" applyBorder="1" applyAlignment="1">
      <alignment horizontal="center" vertical="center"/>
    </xf>
    <xf numFmtId="0" fontId="14" fillId="3" borderId="26" xfId="0" applyFont="1" applyFill="1" applyBorder="1" applyAlignment="1">
      <alignment horizontal="center"/>
    </xf>
    <xf numFmtId="0" fontId="14" fillId="3" borderId="27" xfId="0" applyFont="1" applyFill="1" applyBorder="1" applyAlignment="1">
      <alignment horizontal="center"/>
    </xf>
    <xf numFmtId="0" fontId="14" fillId="3" borderId="28" xfId="0" applyFont="1" applyFill="1" applyBorder="1" applyAlignment="1">
      <alignment horizontal="center"/>
    </xf>
    <xf numFmtId="0" fontId="3" fillId="4" borderId="29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3" fillId="3" borderId="12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44" fontId="3" fillId="3" borderId="10" xfId="1" applyFont="1" applyFill="1" applyBorder="1" applyAlignment="1">
      <alignment horizontal="center" vertical="center"/>
    </xf>
    <xf numFmtId="44" fontId="3" fillId="3" borderId="11" xfId="1" applyFont="1" applyFill="1" applyBorder="1" applyAlignment="1">
      <alignment horizontal="center" vertical="center"/>
    </xf>
    <xf numFmtId="0" fontId="3" fillId="3" borderId="13" xfId="0" applyFont="1" applyFill="1" applyBorder="1" applyAlignment="1">
      <alignment horizontal="center"/>
    </xf>
    <xf numFmtId="0" fontId="3" fillId="3" borderId="12" xfId="0" applyFont="1" applyFill="1" applyBorder="1" applyAlignment="1">
      <alignment horizontal="center"/>
    </xf>
    <xf numFmtId="0" fontId="3" fillId="3" borderId="23" xfId="0" applyFont="1" applyFill="1" applyBorder="1" applyAlignment="1">
      <alignment horizontal="center"/>
    </xf>
  </cellXfs>
  <cellStyles count="27">
    <cellStyle name="Moeda" xfId="1" builtinId="4"/>
    <cellStyle name="Moeda 2" xfId="3" xr:uid="{B5BDEC17-1BE5-4D5E-A6C0-78F9EF601666}"/>
    <cellStyle name="Moeda 3" xfId="17" xr:uid="{8A349FC4-84A9-470E-B44C-636C6F77CDD1}"/>
    <cellStyle name="Moeda 4" xfId="21" xr:uid="{5D740B3A-A546-4DD0-A77B-9955C059E69E}"/>
    <cellStyle name="Moeda 5" xfId="22" xr:uid="{B2A41475-551D-4B2A-888C-27A43E843F62}"/>
    <cellStyle name="Moeda 7" xfId="6" xr:uid="{50000D9B-D1AD-4126-A785-33750C6E9130}"/>
    <cellStyle name="Moeda 7 2" xfId="24" xr:uid="{7B18BE4A-131E-490D-A3DE-45968C274C84}"/>
    <cellStyle name="Normal" xfId="0" builtinId="0"/>
    <cellStyle name="Normal 2" xfId="9" xr:uid="{99567EEC-A5DB-4041-BAD8-E9825C0E5BF6}"/>
    <cellStyle name="Normal 2 2" xfId="10" xr:uid="{0A4FF60D-BD9F-46BC-BB38-CD59D9E4DDE9}"/>
    <cellStyle name="Normal 2 3" xfId="11" xr:uid="{C6DC7B7B-7C35-4345-AE5F-586E729F6176}"/>
    <cellStyle name="Normal 2 4" xfId="12" xr:uid="{1E382BCC-CA88-4910-9E55-1906EFE07CB4}"/>
    <cellStyle name="Normal 2 5" xfId="13" xr:uid="{87AA7CFB-1CBB-46E9-9397-7DA75B13BD54}"/>
    <cellStyle name="Normal 2 6" xfId="14" xr:uid="{175167E9-DF62-426E-B329-A5C3ED5B1D85}"/>
    <cellStyle name="Normal 2 7" xfId="16" xr:uid="{BF8B6040-C65B-4B5E-9576-2164A4BA1C37}"/>
    <cellStyle name="Normal 3" xfId="8" xr:uid="{AABF183E-D522-49AA-B327-500DECAB056A}"/>
    <cellStyle name="Normal 4" xfId="19" xr:uid="{B4674F4C-23F6-4D1F-932F-128E8B9E4970}"/>
    <cellStyle name="Normal 5" xfId="15" xr:uid="{D118CE30-5711-4571-AAE0-B584B23F476D}"/>
    <cellStyle name="Normal 6" xfId="18" xr:uid="{3970EBB6-152E-48D0-9712-80A30BDFF2A8}"/>
    <cellStyle name="Normal 6 2" xfId="26" xr:uid="{E3524C96-C3DE-4B7A-99AD-0A44035AC953}"/>
    <cellStyle name="Porcentagem" xfId="2" builtinId="5"/>
    <cellStyle name="Vírgula 2" xfId="4" xr:uid="{BE4C7DC9-331B-4483-83F7-785C9E4AF818}"/>
    <cellStyle name="Vírgula 3" xfId="20" xr:uid="{2E299522-7383-4EC7-8E2F-73C998142AF6}"/>
    <cellStyle name="Vírgula 3 3" xfId="7" xr:uid="{642AFC18-9AB9-4E08-B16B-D630C8A4197B}"/>
    <cellStyle name="Vírgula 3 3 2" xfId="25" xr:uid="{091CA2B3-99D6-4A6F-B609-EED46D8D4220}"/>
    <cellStyle name="Vírgula 7" xfId="5" xr:uid="{B05C988E-F79F-43BE-BC5A-E02C91D8C35C}"/>
    <cellStyle name="Vírgula 7 2" xfId="23" xr:uid="{1EC0CCEC-6B0D-4759-8577-775451AB3A92}"/>
  </cellStyles>
  <dxfs count="155">
    <dxf>
      <font>
        <strike val="0"/>
        <outline val="0"/>
        <shadow val="0"/>
        <u val="none"/>
        <vertAlign val="baseline"/>
        <sz val="10"/>
        <color rgb="FF000000"/>
        <name val="Calibri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000000"/>
        <name val="Calibri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0"/>
        <color rgb="FF000000"/>
        <name val="Calibri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8" tint="0.79998168889431442"/>
        <name val="Calibri"/>
        <scheme val="minor"/>
      </font>
      <fill>
        <patternFill patternType="solid">
          <fgColor indexed="64"/>
          <bgColor theme="6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8" tint="0.79998168889431442"/>
        <name val="Calibri"/>
        <family val="2"/>
        <scheme val="minor"/>
      </font>
      <fill>
        <patternFill patternType="solid">
          <fgColor indexed="64"/>
          <bgColor theme="6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8" tint="0.79998168889431442"/>
        <name val="Calibri"/>
        <family val="2"/>
        <scheme val="minor"/>
      </font>
      <fill>
        <patternFill patternType="solid">
          <fgColor indexed="64"/>
          <bgColor theme="6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8" tint="0.79998168889431442"/>
        <name val="Calibri"/>
        <family val="2"/>
        <scheme val="minor"/>
      </font>
      <fill>
        <patternFill patternType="solid">
          <fgColor indexed="64"/>
          <bgColor theme="6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8" tint="0.79998168889431442"/>
        <name val="Calibri"/>
        <family val="2"/>
        <scheme val="minor"/>
      </font>
      <fill>
        <patternFill patternType="solid">
          <fgColor indexed="64"/>
          <bgColor theme="6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</font>
      <border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bottom style="hair">
          <color auto="1"/>
        </bottom>
        <vertical style="thin">
          <color auto="1"/>
        </vertical>
        <horizontal style="hair">
          <color auto="1"/>
        </horizontal>
      </border>
    </dxf>
  </dxfs>
  <tableStyles count="1" defaultTableStyle="TableStyleMedium2" defaultPivotStyle="PivotStyleMedium9">
    <tableStyle name="Estilo de Tabela 1" pivot="0" count="2" xr9:uid="{00000000-0011-0000-FFFF-FFFF00000000}">
      <tableStyleElement type="wholeTable" dxfId="154"/>
      <tableStyleElement type="headerRow" dxfId="153"/>
    </tableStyle>
  </tableStyles>
  <colors>
    <mruColors>
      <color rgb="FFEDF7F9"/>
      <color rgb="FFCCE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409575</xdr:colOff>
      <xdr:row>3</xdr:row>
      <xdr:rowOff>38101</xdr:rowOff>
    </xdr:from>
    <xdr:to>
      <xdr:col>14</xdr:col>
      <xdr:colOff>304800</xdr:colOff>
      <xdr:row>6</xdr:row>
      <xdr:rowOff>133350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62B48E03-1087-40F6-B4DA-92C8F4769F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096375" y="600076"/>
          <a:ext cx="2952750" cy="60959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19050</xdr:colOff>
      <xdr:row>3</xdr:row>
      <xdr:rowOff>38100</xdr:rowOff>
    </xdr:from>
    <xdr:to>
      <xdr:col>15</xdr:col>
      <xdr:colOff>342900</xdr:colOff>
      <xdr:row>6</xdr:row>
      <xdr:rowOff>133349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D7EDAE82-A35E-4C55-A911-DC290B2A18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067800" y="600075"/>
          <a:ext cx="2952750" cy="60959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314325</xdr:colOff>
      <xdr:row>3</xdr:row>
      <xdr:rowOff>47625</xdr:rowOff>
    </xdr:from>
    <xdr:to>
      <xdr:col>15</xdr:col>
      <xdr:colOff>333375</xdr:colOff>
      <xdr:row>6</xdr:row>
      <xdr:rowOff>142874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6DCA912D-11E4-413D-BDF9-329EFE270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34500" y="609600"/>
          <a:ext cx="2952750" cy="60959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295275</xdr:colOff>
      <xdr:row>3</xdr:row>
      <xdr:rowOff>104775</xdr:rowOff>
    </xdr:from>
    <xdr:to>
      <xdr:col>15</xdr:col>
      <xdr:colOff>533400</xdr:colOff>
      <xdr:row>7</xdr:row>
      <xdr:rowOff>66674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8DD9CDC6-28E8-4720-9118-6DD6118A38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477250" y="666750"/>
          <a:ext cx="2952750" cy="60959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276225</xdr:colOff>
      <xdr:row>2</xdr:row>
      <xdr:rowOff>58653</xdr:rowOff>
    </xdr:from>
    <xdr:to>
      <xdr:col>15</xdr:col>
      <xdr:colOff>638175</xdr:colOff>
      <xdr:row>7</xdr:row>
      <xdr:rowOff>142874</xdr:rowOff>
    </xdr:to>
    <xdr:pic>
      <xdr:nvPicPr>
        <xdr:cNvPr id="2" name="Imagem 1" descr="Resultado de imagem para ANIMALE LOGO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33" t="25068" r="-1633" b="24795"/>
        <a:stretch/>
      </xdr:blipFill>
      <xdr:spPr bwMode="auto">
        <a:xfrm>
          <a:off x="9382125" y="458703"/>
          <a:ext cx="2882900" cy="9287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riana.goes/Desktop/210105%20Planilha%20de%20Pedido%20Manual%20ANML%20Icom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ela AE (2.7)"/>
      <sheetName val="Planilha1"/>
    </sheetNames>
    <sheetDataSet>
      <sheetData sheetId="0"/>
      <sheetData sheetId="1">
        <row r="2">
          <cell r="B2"/>
          <cell r="C2" t="str">
            <v>PRODUTO</v>
          </cell>
          <cell r="D2" t="str">
            <v>COR</v>
          </cell>
          <cell r="E2" t="str">
            <v>DESCRIÇÃO</v>
          </cell>
          <cell r="F2" t="str">
            <v>DESCRIÇÃO COR</v>
          </cell>
          <cell r="G2" t="str">
            <v>GRADE</v>
          </cell>
          <cell r="H2" t="str">
            <v>PREÇO VAREJO</v>
          </cell>
          <cell r="I2" t="str">
            <v>PREÇO ATACADO</v>
          </cell>
          <cell r="J2" t="str">
            <v>PREÇO ICOMM</v>
          </cell>
          <cell r="K2" t="str">
            <v>% DESC ICOMM X VAREJO</v>
          </cell>
          <cell r="L2" t="str">
            <v>% DESC ICOMM X ATACADO</v>
          </cell>
        </row>
        <row r="3">
          <cell r="B3" t="str">
            <v>27.01.08821101</v>
          </cell>
          <cell r="C3" t="str">
            <v>27.01.0882</v>
          </cell>
          <cell r="D3" t="str">
            <v>1101</v>
          </cell>
          <cell r="E3" t="str">
            <v>COLAR 1/2 CORACAO G BRILHO</v>
          </cell>
          <cell r="F3" t="str">
            <v>PRATA VELHO</v>
          </cell>
          <cell r="G3" t="str">
            <v>UNICO</v>
          </cell>
          <cell r="H3">
            <v>398</v>
          </cell>
          <cell r="I3">
            <v>180.91</v>
          </cell>
          <cell r="J3">
            <v>147.41</v>
          </cell>
          <cell r="K3">
            <v>-0.62962311557788952</v>
          </cell>
          <cell r="L3">
            <v>-0.18517494886960373</v>
          </cell>
        </row>
        <row r="4">
          <cell r="B4" t="str">
            <v>27.03.10606216</v>
          </cell>
          <cell r="C4" t="str">
            <v>27.03.1060</v>
          </cell>
          <cell r="D4" t="str">
            <v>6216</v>
          </cell>
          <cell r="E4" t="str">
            <v>BRINCO CORRENTE CRISTAIS OURO</v>
          </cell>
          <cell r="F4" t="str">
            <v>MARROM OURO</v>
          </cell>
          <cell r="G4" t="str">
            <v>UNICO</v>
          </cell>
          <cell r="H4">
            <v>398</v>
          </cell>
          <cell r="I4">
            <v>180.91</v>
          </cell>
          <cell r="J4">
            <v>147.41</v>
          </cell>
          <cell r="K4">
            <v>-0.62962311557788952</v>
          </cell>
          <cell r="L4">
            <v>-0.18517494886960373</v>
          </cell>
        </row>
        <row r="5">
          <cell r="B5" t="str">
            <v>27.03.10820011</v>
          </cell>
          <cell r="C5" t="str">
            <v>27.03.1082</v>
          </cell>
          <cell r="D5" t="str">
            <v>0011</v>
          </cell>
          <cell r="E5" t="str">
            <v>BRINCO DE METAL MALHA</v>
          </cell>
          <cell r="F5" t="str">
            <v>GRAFITE</v>
          </cell>
          <cell r="G5" t="str">
            <v>UNICO</v>
          </cell>
          <cell r="H5">
            <v>298</v>
          </cell>
          <cell r="I5">
            <v>135.44999999999999</v>
          </cell>
          <cell r="J5">
            <v>110.37</v>
          </cell>
          <cell r="K5">
            <v>-0.62963087248322147</v>
          </cell>
          <cell r="L5">
            <v>-0.18516057585825019</v>
          </cell>
        </row>
        <row r="6">
          <cell r="B6" t="str">
            <v>27.03.11001101</v>
          </cell>
          <cell r="C6" t="str">
            <v>27.03.1100</v>
          </cell>
          <cell r="D6" t="str">
            <v>1101</v>
          </cell>
          <cell r="E6" t="str">
            <v>BRINCO 1/2 CORAÇÃO</v>
          </cell>
          <cell r="F6" t="str">
            <v>PRATA VELHO</v>
          </cell>
          <cell r="G6" t="str">
            <v>UNICO</v>
          </cell>
          <cell r="H6">
            <v>358</v>
          </cell>
          <cell r="I6">
            <v>162.72999999999999</v>
          </cell>
          <cell r="J6">
            <v>132.59</v>
          </cell>
          <cell r="K6">
            <v>-0.62963687150837988</v>
          </cell>
          <cell r="L6">
            <v>-0.18521477293676636</v>
          </cell>
        </row>
        <row r="7">
          <cell r="B7" t="str">
            <v>27.03.11011101</v>
          </cell>
          <cell r="C7" t="str">
            <v>27.03.1101</v>
          </cell>
          <cell r="D7" t="str">
            <v>1101</v>
          </cell>
          <cell r="E7" t="str">
            <v>BRINCO 1/2 CORACAO CORRENTE</v>
          </cell>
          <cell r="F7" t="str">
            <v>PRATA VELHO</v>
          </cell>
          <cell r="G7" t="str">
            <v>UNICO</v>
          </cell>
          <cell r="H7">
            <v>358</v>
          </cell>
          <cell r="I7">
            <v>162.72999999999999</v>
          </cell>
          <cell r="J7">
            <v>132.59</v>
          </cell>
          <cell r="K7">
            <v>-0.62963687150837988</v>
          </cell>
          <cell r="L7">
            <v>-0.18521477293676636</v>
          </cell>
        </row>
        <row r="8">
          <cell r="B8" t="str">
            <v>27.03.11120001</v>
          </cell>
          <cell r="C8" t="str">
            <v>27.03.1112</v>
          </cell>
          <cell r="D8" t="str">
            <v>0001</v>
          </cell>
          <cell r="E8" t="str">
            <v>BRINCO PEROLA CRISTAIS COLOR</v>
          </cell>
          <cell r="F8" t="str">
            <v>UNICA</v>
          </cell>
          <cell r="G8" t="str">
            <v>UNICO</v>
          </cell>
          <cell r="H8">
            <v>228</v>
          </cell>
          <cell r="I8">
            <v>103.64</v>
          </cell>
          <cell r="J8">
            <v>84.44</v>
          </cell>
          <cell r="K8">
            <v>-0.62964912280701757</v>
          </cell>
          <cell r="L8">
            <v>-0.18525665766113475</v>
          </cell>
        </row>
        <row r="9">
          <cell r="B9" t="str">
            <v>10.01.08370300</v>
          </cell>
          <cell r="C9" t="str">
            <v>10.01.0837</v>
          </cell>
          <cell r="D9" t="str">
            <v>0300</v>
          </cell>
          <cell r="E9" t="str">
            <v>BOLSA COURO CROSSBODY COLOR</v>
          </cell>
          <cell r="F9" t="str">
            <v>VERDE</v>
          </cell>
          <cell r="G9" t="str">
            <v>UNICO</v>
          </cell>
          <cell r="H9">
            <v>1498</v>
          </cell>
          <cell r="I9">
            <v>680.91</v>
          </cell>
          <cell r="J9">
            <v>554.80999999999995</v>
          </cell>
          <cell r="K9">
            <v>-0.62963284379172235</v>
          </cell>
          <cell r="L9">
            <v>-0.18519334420114264</v>
          </cell>
        </row>
        <row r="10">
          <cell r="B10" t="str">
            <v>10.01.08380005</v>
          </cell>
          <cell r="C10" t="str">
            <v>10.01.0838</v>
          </cell>
          <cell r="D10" t="str">
            <v>0005</v>
          </cell>
          <cell r="E10" t="str">
            <v>BOLSA COURO CROSSBODY</v>
          </cell>
          <cell r="F10" t="str">
            <v>PRETO</v>
          </cell>
          <cell r="G10" t="str">
            <v>UNICO</v>
          </cell>
          <cell r="H10">
            <v>1498</v>
          </cell>
          <cell r="I10">
            <v>680.91</v>
          </cell>
          <cell r="J10">
            <v>554.80999999999995</v>
          </cell>
          <cell r="K10">
            <v>-0.62963284379172235</v>
          </cell>
          <cell r="L10">
            <v>-0.18519334420114264</v>
          </cell>
        </row>
        <row r="11">
          <cell r="B11" t="str">
            <v>10.01.08460005</v>
          </cell>
          <cell r="C11" t="str">
            <v>10.01.0846</v>
          </cell>
          <cell r="D11" t="str">
            <v>0005</v>
          </cell>
          <cell r="E11" t="str">
            <v>BOLSA MINI FLAP FUR</v>
          </cell>
          <cell r="F11" t="str">
            <v>PRETO</v>
          </cell>
          <cell r="G11" t="str">
            <v>UNICO</v>
          </cell>
          <cell r="H11">
            <v>1498</v>
          </cell>
          <cell r="I11">
            <v>680.91</v>
          </cell>
          <cell r="J11">
            <v>554.80999999999995</v>
          </cell>
          <cell r="K11">
            <v>-0.62963284379172235</v>
          </cell>
          <cell r="L11">
            <v>-0.18519334420114264</v>
          </cell>
        </row>
        <row r="12">
          <cell r="B12" t="str">
            <v>10.02.07226223</v>
          </cell>
          <cell r="C12" t="str">
            <v>10.02.0722</v>
          </cell>
          <cell r="D12" t="str">
            <v>6223</v>
          </cell>
          <cell r="E12" t="str">
            <v>BOLSA COURO SACO SNAKE</v>
          </cell>
          <cell r="F12" t="str">
            <v>VERDE EDEN</v>
          </cell>
          <cell r="G12" t="str">
            <v>UNICO</v>
          </cell>
          <cell r="H12">
            <v>1498</v>
          </cell>
          <cell r="I12">
            <v>680.91</v>
          </cell>
          <cell r="J12">
            <v>554.80999999999995</v>
          </cell>
          <cell r="K12">
            <v>-0.62963284379172235</v>
          </cell>
          <cell r="L12">
            <v>-0.18519334420114264</v>
          </cell>
        </row>
        <row r="13">
          <cell r="B13" t="str">
            <v>10.02.074801040</v>
          </cell>
          <cell r="C13" t="str">
            <v>10.02.0748</v>
          </cell>
          <cell r="D13" t="str">
            <v>01040</v>
          </cell>
          <cell r="E13" t="str">
            <v>BOLSA BAU COURO MATELASSE</v>
          </cell>
          <cell r="F13" t="str">
            <v>AMARELO BROSSE</v>
          </cell>
          <cell r="G13" t="str">
            <v>UNICO</v>
          </cell>
          <cell r="H13">
            <v>1698</v>
          </cell>
          <cell r="I13">
            <v>771.82</v>
          </cell>
          <cell r="J13">
            <v>628.89</v>
          </cell>
          <cell r="K13">
            <v>-0.62962897526501771</v>
          </cell>
          <cell r="L13">
            <v>-0.18518566505143697</v>
          </cell>
        </row>
        <row r="14">
          <cell r="B14" t="str">
            <v>10.03.06840005</v>
          </cell>
          <cell r="C14" t="str">
            <v>10.03.0684</v>
          </cell>
          <cell r="D14" t="str">
            <v>0005</v>
          </cell>
          <cell r="E14" t="str">
            <v>MOCHILA COURO MATELASSÊ OUT OF SPACE</v>
          </cell>
          <cell r="F14" t="str">
            <v>PRETO</v>
          </cell>
          <cell r="G14" t="str">
            <v>UNICO</v>
          </cell>
          <cell r="H14">
            <v>1798</v>
          </cell>
          <cell r="I14">
            <v>817.27</v>
          </cell>
          <cell r="J14">
            <v>665.93</v>
          </cell>
          <cell r="K14">
            <v>-0.62962736373748607</v>
          </cell>
          <cell r="L14">
            <v>-0.18517748112618848</v>
          </cell>
        </row>
        <row r="15">
          <cell r="B15" t="str">
            <v>11.05.01140005</v>
          </cell>
          <cell r="C15" t="str">
            <v>11.05.0114</v>
          </cell>
          <cell r="D15" t="str">
            <v>0005</v>
          </cell>
          <cell r="E15" t="str">
            <v>CINTO COBRA NAVALHADA COM MOSQUETÃO</v>
          </cell>
          <cell r="F15" t="str">
            <v>PRETO</v>
          </cell>
          <cell r="G15" t="str">
            <v>P-M-G</v>
          </cell>
          <cell r="H15">
            <v>698</v>
          </cell>
          <cell r="I15">
            <v>317.27</v>
          </cell>
          <cell r="J15">
            <v>258.52</v>
          </cell>
          <cell r="K15">
            <v>-0.62962750716332383</v>
          </cell>
          <cell r="L15">
            <v>-0.18517351152015638</v>
          </cell>
        </row>
        <row r="16">
          <cell r="B16" t="str">
            <v>11.05.01170002</v>
          </cell>
          <cell r="C16" t="str">
            <v>11.05.0117</v>
          </cell>
          <cell r="D16" t="str">
            <v>0002</v>
          </cell>
          <cell r="E16" t="str">
            <v>CINTO FIVELA REDONDA FORRADA</v>
          </cell>
          <cell r="F16" t="str">
            <v>BRANCO</v>
          </cell>
          <cell r="G16" t="str">
            <v>P-M-G</v>
          </cell>
          <cell r="H16">
            <v>298</v>
          </cell>
          <cell r="I16">
            <v>135.44999999999999</v>
          </cell>
          <cell r="J16">
            <v>110.37</v>
          </cell>
          <cell r="K16">
            <v>-0.62963087248322147</v>
          </cell>
          <cell r="L16">
            <v>-0.18516057585825019</v>
          </cell>
        </row>
        <row r="17">
          <cell r="B17" t="str">
            <v>11.05.01170005</v>
          </cell>
          <cell r="C17" t="str">
            <v>11.05.0117</v>
          </cell>
          <cell r="D17" t="str">
            <v>0005</v>
          </cell>
          <cell r="E17" t="str">
            <v>CINTO FIVELA REDONDA FORRADA</v>
          </cell>
          <cell r="F17" t="str">
            <v>PRETO</v>
          </cell>
          <cell r="G17" t="str">
            <v>P-M-G</v>
          </cell>
          <cell r="H17">
            <v>298</v>
          </cell>
          <cell r="I17">
            <v>135.44999999999999</v>
          </cell>
          <cell r="J17">
            <v>110.37</v>
          </cell>
          <cell r="K17">
            <v>-0.62963087248322147</v>
          </cell>
          <cell r="L17">
            <v>-0.18516057585825019</v>
          </cell>
        </row>
        <row r="18">
          <cell r="B18" t="str">
            <v>09.01.16986223</v>
          </cell>
          <cell r="C18" t="str">
            <v>09.01.1698</v>
          </cell>
          <cell r="D18">
            <v>6223</v>
          </cell>
          <cell r="E18" t="str">
            <v>SANDÁLIA DE COURO ASSIMÉTRICA</v>
          </cell>
          <cell r="F18" t="str">
            <v>VERDE EDEN</v>
          </cell>
          <cell r="G18" t="str">
            <v>SAPATOS-34/40</v>
          </cell>
          <cell r="H18">
            <v>998</v>
          </cell>
          <cell r="I18">
            <v>453.64</v>
          </cell>
          <cell r="J18">
            <v>369.63</v>
          </cell>
          <cell r="K18">
            <v>-0.629629258517034</v>
          </cell>
          <cell r="L18">
            <v>-0.18519090027334451</v>
          </cell>
        </row>
        <row r="19">
          <cell r="B19" t="str">
            <v>09.02.05370005</v>
          </cell>
          <cell r="C19" t="str">
            <v>09.02.0537</v>
          </cell>
          <cell r="D19" t="str">
            <v>0005</v>
          </cell>
          <cell r="E19" t="str">
            <v>BOTA DE COURO CANO CURTO SQUARE</v>
          </cell>
          <cell r="F19" t="str">
            <v>PRETO</v>
          </cell>
          <cell r="G19" t="str">
            <v>SAPATOS 34/39</v>
          </cell>
          <cell r="H19">
            <v>1198</v>
          </cell>
          <cell r="I19">
            <v>544.54999999999995</v>
          </cell>
          <cell r="J19">
            <v>443.7</v>
          </cell>
          <cell r="K19">
            <v>-0.62963272120200342</v>
          </cell>
          <cell r="L19">
            <v>-0.18519878799008349</v>
          </cell>
        </row>
        <row r="20">
          <cell r="B20" t="str">
            <v>09.02.05410005</v>
          </cell>
          <cell r="C20" t="str">
            <v>09.02.0541</v>
          </cell>
          <cell r="D20" t="str">
            <v>0005</v>
          </cell>
          <cell r="E20" t="str">
            <v>BOTA DE COURO BOX COLOR</v>
          </cell>
          <cell r="F20" t="str">
            <v>PRETO</v>
          </cell>
          <cell r="G20" t="str">
            <v>SAPATOS 35/39</v>
          </cell>
          <cell r="H20">
            <v>998</v>
          </cell>
          <cell r="I20">
            <v>453.64</v>
          </cell>
          <cell r="J20">
            <v>369.63</v>
          </cell>
          <cell r="K20">
            <v>-0.629629258517034</v>
          </cell>
          <cell r="L20">
            <v>-0.18519090027334451</v>
          </cell>
        </row>
        <row r="21">
          <cell r="B21" t="str">
            <v>09.02.05420005</v>
          </cell>
          <cell r="C21" t="str">
            <v>09.02.0542</v>
          </cell>
          <cell r="D21" t="str">
            <v>0005</v>
          </cell>
          <cell r="E21" t="str">
            <v>BOTA DE COURO MESTIÇO RESCORTES</v>
          </cell>
          <cell r="F21" t="str">
            <v>PRETO</v>
          </cell>
          <cell r="G21" t="str">
            <v>SAPATOS 35/39</v>
          </cell>
          <cell r="H21">
            <v>998</v>
          </cell>
          <cell r="I21">
            <v>453.64</v>
          </cell>
          <cell r="J21">
            <v>369.63</v>
          </cell>
          <cell r="K21">
            <v>-0.629629258517034</v>
          </cell>
          <cell r="L21">
            <v>-0.18519090027334451</v>
          </cell>
        </row>
        <row r="22">
          <cell r="B22" t="str">
            <v>25.02.301701026</v>
          </cell>
          <cell r="C22" t="str">
            <v>25.02.3017</v>
          </cell>
          <cell r="D22" t="str">
            <v>01026</v>
          </cell>
          <cell r="E22" t="str">
            <v>SAIA ESTRELA</v>
          </cell>
          <cell r="F22" t="str">
            <v>BEGE SAND</v>
          </cell>
          <cell r="G22" t="str">
            <v>36-44</v>
          </cell>
          <cell r="H22">
            <v>698</v>
          </cell>
          <cell r="I22">
            <v>317.27</v>
          </cell>
          <cell r="J22">
            <v>258.52</v>
          </cell>
          <cell r="K22">
            <v>-0.62962750716332383</v>
          </cell>
          <cell r="L22">
            <v>-0.18517351152015638</v>
          </cell>
        </row>
        <row r="23">
          <cell r="B23" t="str">
            <v>04.13.093801026</v>
          </cell>
          <cell r="C23" t="str">
            <v>04.13.0938</v>
          </cell>
          <cell r="D23" t="str">
            <v>01026</v>
          </cell>
          <cell r="E23" t="str">
            <v>CALCA APOLO</v>
          </cell>
          <cell r="F23" t="str">
            <v>BEGE SAND</v>
          </cell>
          <cell r="G23" t="str">
            <v>36-44</v>
          </cell>
          <cell r="H23">
            <v>898</v>
          </cell>
          <cell r="I23">
            <v>408.18</v>
          </cell>
          <cell r="J23">
            <v>332.59</v>
          </cell>
          <cell r="K23">
            <v>-0.62963251670378617</v>
          </cell>
          <cell r="L23">
            <v>-0.18518790729580092</v>
          </cell>
        </row>
        <row r="24">
          <cell r="B24" t="str">
            <v>04.13.094421104</v>
          </cell>
          <cell r="C24" t="str">
            <v>04.13.0944</v>
          </cell>
          <cell r="D24" t="str">
            <v>21104</v>
          </cell>
          <cell r="E24" t="str">
            <v>CALCA MAPA PB</v>
          </cell>
          <cell r="F24" t="str">
            <v>EST TEXTURA MAPA PB G</v>
          </cell>
          <cell r="G24" t="str">
            <v>36-44</v>
          </cell>
          <cell r="H24">
            <v>998</v>
          </cell>
          <cell r="I24">
            <v>453.64</v>
          </cell>
          <cell r="J24">
            <v>369.63</v>
          </cell>
          <cell r="K24">
            <v>-0.629629258517034</v>
          </cell>
          <cell r="L24">
            <v>-0.18519090027334451</v>
          </cell>
        </row>
        <row r="25">
          <cell r="B25" t="str">
            <v>04.13.095421376</v>
          </cell>
          <cell r="C25" t="str">
            <v>04.13.0954</v>
          </cell>
          <cell r="D25" t="str">
            <v>21376</v>
          </cell>
          <cell r="E25" t="str">
            <v>CALÇA CARGO MAPA LENON</v>
          </cell>
          <cell r="F25" t="str">
            <v>EST TEXTURA MAPA LENNON G</v>
          </cell>
          <cell r="G25" t="str">
            <v>36-44</v>
          </cell>
          <cell r="H25">
            <v>798</v>
          </cell>
          <cell r="I25">
            <v>362.73</v>
          </cell>
          <cell r="J25">
            <v>295.56</v>
          </cell>
          <cell r="K25">
            <v>-0.62962406015037597</v>
          </cell>
          <cell r="L25">
            <v>-0.18517905880406915</v>
          </cell>
        </row>
        <row r="26">
          <cell r="B26" t="str">
            <v>28.01.011121104</v>
          </cell>
          <cell r="C26" t="str">
            <v>28.01.0111</v>
          </cell>
          <cell r="D26" t="str">
            <v>21104</v>
          </cell>
          <cell r="E26" t="str">
            <v>OVERTOP MAPA PB</v>
          </cell>
          <cell r="F26" t="str">
            <v>EST TEXTURA MAPA PB G</v>
          </cell>
          <cell r="G26" t="str">
            <v>P-M-G</v>
          </cell>
          <cell r="H26">
            <v>2598</v>
          </cell>
          <cell r="I26">
            <v>1180.9100000000001</v>
          </cell>
          <cell r="J26">
            <v>962.22</v>
          </cell>
          <cell r="K26">
            <v>-0.62963048498845264</v>
          </cell>
          <cell r="L26">
            <v>-0.18518769423580128</v>
          </cell>
        </row>
        <row r="27">
          <cell r="B27" t="str">
            <v>28.01.011401024</v>
          </cell>
          <cell r="C27" t="str">
            <v>28.01.0114</v>
          </cell>
          <cell r="D27" t="str">
            <v>01024</v>
          </cell>
          <cell r="E27" t="str">
            <v>OVERTOP SILK MAPA LARANJA</v>
          </cell>
          <cell r="F27" t="str">
            <v>BEGE SAFARI</v>
          </cell>
          <cell r="G27" t="str">
            <v>P-M-G</v>
          </cell>
          <cell r="H27">
            <v>2498</v>
          </cell>
          <cell r="I27">
            <v>1135.45</v>
          </cell>
          <cell r="J27">
            <v>925.19</v>
          </cell>
          <cell r="K27">
            <v>-0.62962770216172936</v>
          </cell>
          <cell r="L27">
            <v>-0.18517768285701708</v>
          </cell>
        </row>
        <row r="28">
          <cell r="B28" t="str">
            <v>28.03.012601026</v>
          </cell>
          <cell r="C28" t="str">
            <v>28.03.0126</v>
          </cell>
          <cell r="D28" t="str">
            <v>01026</v>
          </cell>
          <cell r="E28" t="str">
            <v>OVERTOP GRAVIDADE</v>
          </cell>
          <cell r="F28" t="str">
            <v>BEGE SAND</v>
          </cell>
          <cell r="G28" t="str">
            <v>PP-GG</v>
          </cell>
          <cell r="H28">
            <v>1398</v>
          </cell>
          <cell r="I28">
            <v>635.45000000000005</v>
          </cell>
          <cell r="J28">
            <v>517.78</v>
          </cell>
          <cell r="K28">
            <v>-0.62962804005722461</v>
          </cell>
          <cell r="L28">
            <v>-0.18517585962703609</v>
          </cell>
        </row>
        <row r="29">
          <cell r="B29" t="str">
            <v>65.04.00540005</v>
          </cell>
          <cell r="C29" t="str">
            <v>65.04.0054</v>
          </cell>
          <cell r="D29" t="str">
            <v>0005</v>
          </cell>
          <cell r="E29" t="str">
            <v>OVERTOP DARK</v>
          </cell>
          <cell r="F29" t="str">
            <v>PRETO</v>
          </cell>
          <cell r="G29" t="str">
            <v>36-44</v>
          </cell>
          <cell r="H29">
            <v>1998</v>
          </cell>
          <cell r="I29">
            <v>908.18</v>
          </cell>
          <cell r="J29">
            <v>740</v>
          </cell>
          <cell r="K29">
            <v>-0.62962962962962965</v>
          </cell>
          <cell r="L29">
            <v>-0.18518355392102881</v>
          </cell>
        </row>
        <row r="30">
          <cell r="B30" t="str">
            <v>65.04.005601019</v>
          </cell>
          <cell r="C30" t="str">
            <v>65.04.0056</v>
          </cell>
          <cell r="D30" t="str">
            <v>01019</v>
          </cell>
          <cell r="E30" t="str">
            <v>JAQUETA FUTURO ROSA BERRY</v>
          </cell>
          <cell r="F30" t="str">
            <v>ROSA BERRY</v>
          </cell>
          <cell r="G30" t="str">
            <v>36-44</v>
          </cell>
          <cell r="H30">
            <v>1598</v>
          </cell>
          <cell r="I30">
            <v>726.36</v>
          </cell>
          <cell r="J30">
            <v>591.85</v>
          </cell>
          <cell r="K30">
            <v>-0.62963078848560694</v>
          </cell>
          <cell r="L30">
            <v>-0.18518365548763693</v>
          </cell>
        </row>
        <row r="31">
          <cell r="B31" t="str">
            <v>65.04.005701021</v>
          </cell>
          <cell r="C31" t="str">
            <v>65.04.0057</v>
          </cell>
          <cell r="D31" t="str">
            <v>01021</v>
          </cell>
          <cell r="E31" t="str">
            <v>JAQUETA GALAXIA AMARELO</v>
          </cell>
          <cell r="F31" t="str">
            <v>AMARELO PALE BANANA</v>
          </cell>
          <cell r="G31" t="str">
            <v>36-44</v>
          </cell>
          <cell r="H31">
            <v>1598</v>
          </cell>
          <cell r="I31">
            <v>726.36</v>
          </cell>
          <cell r="J31">
            <v>591.85</v>
          </cell>
          <cell r="K31">
            <v>-0.62963078848560694</v>
          </cell>
          <cell r="L31">
            <v>-0.18518365548763693</v>
          </cell>
        </row>
        <row r="32">
          <cell r="B32" t="str">
            <v>65.04.00580005</v>
          </cell>
          <cell r="C32" t="str">
            <v>65.04.0058</v>
          </cell>
          <cell r="D32" t="str">
            <v>0005</v>
          </cell>
          <cell r="E32" t="str">
            <v>JAQUETA GALAXIA PRETA</v>
          </cell>
          <cell r="F32" t="str">
            <v>PRETO</v>
          </cell>
          <cell r="G32" t="str">
            <v>36-44</v>
          </cell>
          <cell r="H32">
            <v>1598</v>
          </cell>
          <cell r="I32">
            <v>726.36</v>
          </cell>
          <cell r="J32">
            <v>591.85</v>
          </cell>
          <cell r="K32">
            <v>-0.62963078848560694</v>
          </cell>
          <cell r="L32">
            <v>-0.18518365548763693</v>
          </cell>
        </row>
        <row r="33">
          <cell r="B33" t="str">
            <v>65.04.005901032</v>
          </cell>
          <cell r="C33" t="str">
            <v>65.04.0059</v>
          </cell>
          <cell r="D33" t="str">
            <v>01032</v>
          </cell>
          <cell r="E33" t="str">
            <v>JAQUETA FUTURO LARANJA MODART</v>
          </cell>
          <cell r="F33" t="str">
            <v>LARANJA MODART</v>
          </cell>
          <cell r="G33" t="str">
            <v>36-44</v>
          </cell>
          <cell r="H33">
            <v>1598</v>
          </cell>
          <cell r="I33">
            <v>726.36</v>
          </cell>
          <cell r="J33">
            <v>591.85</v>
          </cell>
          <cell r="K33">
            <v>-0.62963078848560694</v>
          </cell>
          <cell r="L33">
            <v>-0.18518365548763693</v>
          </cell>
        </row>
        <row r="34">
          <cell r="B34" t="str">
            <v>24.01.16540002</v>
          </cell>
          <cell r="C34" t="str">
            <v>24.01.1654</v>
          </cell>
          <cell r="D34" t="str">
            <v>0002</v>
          </cell>
          <cell r="E34" t="str">
            <v>CAMISA TRICOLINE AMARTE</v>
          </cell>
          <cell r="F34" t="str">
            <v>BRANCO</v>
          </cell>
          <cell r="G34" t="str">
            <v>P-M-G</v>
          </cell>
          <cell r="H34">
            <v>598</v>
          </cell>
          <cell r="I34">
            <v>271.82</v>
          </cell>
          <cell r="J34">
            <v>221.48</v>
          </cell>
          <cell r="K34">
            <v>-0.62963210702341144</v>
          </cell>
          <cell r="L34">
            <v>-0.18519608564491208</v>
          </cell>
        </row>
        <row r="35">
          <cell r="B35" t="str">
            <v>25.02.303421092</v>
          </cell>
          <cell r="C35" t="str">
            <v>25.02.3034</v>
          </cell>
          <cell r="D35">
            <v>21092</v>
          </cell>
          <cell r="E35" t="str">
            <v>SAIA PAREO POIS LUA</v>
          </cell>
          <cell r="F35" t="str">
            <v>EST POIS LUA PRETO P</v>
          </cell>
          <cell r="G35" t="str">
            <v>36-44</v>
          </cell>
          <cell r="H35">
            <v>328</v>
          </cell>
          <cell r="I35">
            <v>149.09</v>
          </cell>
          <cell r="J35">
            <v>121.48</v>
          </cell>
          <cell r="K35">
            <v>-0.62963414634146342</v>
          </cell>
          <cell r="L35">
            <v>-0.18519015359849755</v>
          </cell>
        </row>
        <row r="36">
          <cell r="B36" t="str">
            <v>25.02.303521060</v>
          </cell>
          <cell r="C36" t="str">
            <v>25.02.3035</v>
          </cell>
          <cell r="D36" t="str">
            <v>21060</v>
          </cell>
          <cell r="E36" t="str">
            <v>SAIA CLOCHARD AMARRACAO ONCA ROCK</v>
          </cell>
          <cell r="F36" t="str">
            <v>EST ONCA ROCK SEAGRASS E MARCHE</v>
          </cell>
          <cell r="G36" t="str">
            <v>36-44</v>
          </cell>
          <cell r="H36">
            <v>498</v>
          </cell>
          <cell r="I36">
            <v>226.36</v>
          </cell>
          <cell r="J36">
            <v>184.44</v>
          </cell>
          <cell r="K36">
            <v>-0.62963855421686743</v>
          </cell>
          <cell r="L36">
            <v>-0.18519172998763034</v>
          </cell>
        </row>
        <row r="37">
          <cell r="B37" t="str">
            <v>04.13.089421011</v>
          </cell>
          <cell r="C37" t="str">
            <v>04.13.0894</v>
          </cell>
          <cell r="D37">
            <v>21011</v>
          </cell>
          <cell r="E37" t="str">
            <v>CALCA PJ LOOSE DRAGAO TATTOO LENNON</v>
          </cell>
          <cell r="F37" t="str">
            <v>EST DRAGAO TATTOO LENNON M</v>
          </cell>
          <cell r="G37" t="str">
            <v>36-44</v>
          </cell>
          <cell r="H37">
            <v>398</v>
          </cell>
          <cell r="I37">
            <v>180.91</v>
          </cell>
          <cell r="J37">
            <v>147.41</v>
          </cell>
          <cell r="K37">
            <v>-0.62962311557788952</v>
          </cell>
          <cell r="L37">
            <v>-0.18517494886960373</v>
          </cell>
        </row>
        <row r="38">
          <cell r="B38" t="str">
            <v>04.13.092021092</v>
          </cell>
          <cell r="C38" t="str">
            <v>04.13.0920</v>
          </cell>
          <cell r="D38">
            <v>21092</v>
          </cell>
          <cell r="E38" t="str">
            <v>CALCA CLOCHARD POIS LUA PRETO</v>
          </cell>
          <cell r="F38" t="str">
            <v>EST POIS LUA PRETO P</v>
          </cell>
          <cell r="G38" t="str">
            <v>36-44</v>
          </cell>
          <cell r="H38">
            <v>498</v>
          </cell>
          <cell r="I38">
            <v>226.36</v>
          </cell>
          <cell r="J38">
            <v>184.44</v>
          </cell>
          <cell r="K38">
            <v>-0.62963855421686743</v>
          </cell>
          <cell r="L38">
            <v>-0.18519172998763034</v>
          </cell>
        </row>
        <row r="39">
          <cell r="B39" t="str">
            <v>04.13.092121048</v>
          </cell>
          <cell r="C39" t="str">
            <v>04.13.0921</v>
          </cell>
          <cell r="D39" t="str">
            <v>21048</v>
          </cell>
          <cell r="E39" t="str">
            <v>CALCA CLOCHARD IKAT FUTURISTA RUM</v>
          </cell>
          <cell r="F39" t="str">
            <v>EST IKAT FUTURISTA RUM E SLATE</v>
          </cell>
          <cell r="G39" t="str">
            <v>36-44</v>
          </cell>
          <cell r="H39">
            <v>498</v>
          </cell>
          <cell r="I39">
            <v>226.36</v>
          </cell>
          <cell r="J39">
            <v>184.44</v>
          </cell>
          <cell r="K39">
            <v>-0.62963855421686743</v>
          </cell>
          <cell r="L39">
            <v>-0.18519172998763034</v>
          </cell>
        </row>
        <row r="40">
          <cell r="B40" t="str">
            <v>04.50.011021060</v>
          </cell>
          <cell r="C40" t="str">
            <v>04.50.0110</v>
          </cell>
          <cell r="D40">
            <v>21060</v>
          </cell>
          <cell r="E40" t="str">
            <v>CALCA CLOCHARD ONCA ROCK MARCHE</v>
          </cell>
          <cell r="F40" t="str">
            <v>EST ONCA ROCK SEAGRASS E MARCHE</v>
          </cell>
          <cell r="G40" t="str">
            <v>36-44</v>
          </cell>
          <cell r="H40">
            <v>598</v>
          </cell>
          <cell r="I40">
            <v>271.82</v>
          </cell>
          <cell r="J40">
            <v>221.48</v>
          </cell>
          <cell r="K40">
            <v>-0.62963210702341144</v>
          </cell>
          <cell r="L40">
            <v>-0.18519608564491208</v>
          </cell>
        </row>
        <row r="41">
          <cell r="B41" t="str">
            <v>03.14.008821092</v>
          </cell>
          <cell r="C41" t="str">
            <v>03.14.0088</v>
          </cell>
          <cell r="D41">
            <v>21092</v>
          </cell>
          <cell r="E41" t="str">
            <v>KIMONO PJ POIS LUA PRETO P</v>
          </cell>
          <cell r="F41" t="str">
            <v>EST POIS LUA PRETO P</v>
          </cell>
          <cell r="G41" t="str">
            <v>36-44</v>
          </cell>
          <cell r="H41">
            <v>398</v>
          </cell>
          <cell r="I41">
            <v>180.91</v>
          </cell>
          <cell r="J41">
            <v>147.41</v>
          </cell>
          <cell r="K41">
            <v>-0.62962311557788952</v>
          </cell>
          <cell r="L41">
            <v>-0.18517494886960373</v>
          </cell>
        </row>
        <row r="42">
          <cell r="B42" t="str">
            <v>52.05.089721011</v>
          </cell>
          <cell r="C42" t="str">
            <v>52.05.0897</v>
          </cell>
          <cell r="D42">
            <v>21011</v>
          </cell>
          <cell r="E42" t="str">
            <v>CAMISA PJ LOOSE DRAGAO TATTOO LENNON</v>
          </cell>
          <cell r="F42" t="str">
            <v>EST DRAGAO TATTOO LENNON M</v>
          </cell>
          <cell r="G42" t="str">
            <v>36-44</v>
          </cell>
          <cell r="H42">
            <v>348</v>
          </cell>
          <cell r="I42">
            <v>158.18</v>
          </cell>
          <cell r="J42">
            <v>128.88999999999999</v>
          </cell>
          <cell r="K42">
            <v>-0.62962643678160923</v>
          </cell>
          <cell r="L42">
            <v>-0.18516879504362127</v>
          </cell>
        </row>
        <row r="43">
          <cell r="B43" t="str">
            <v>52.10.416321042</v>
          </cell>
          <cell r="C43" t="str">
            <v>52.10.4163</v>
          </cell>
          <cell r="D43">
            <v>21042</v>
          </cell>
          <cell r="E43" t="str">
            <v>TUNICA AMARRACAO PUNHO GEO CIRCUITO</v>
          </cell>
          <cell r="F43" t="str">
            <v>EST GEO CIRCUITO BETULA E ACIDO</v>
          </cell>
          <cell r="G43" t="str">
            <v>36-44</v>
          </cell>
          <cell r="H43">
            <v>398</v>
          </cell>
          <cell r="I43">
            <v>180.91</v>
          </cell>
          <cell r="J43">
            <v>147.41</v>
          </cell>
          <cell r="K43">
            <v>-0.62962311557788952</v>
          </cell>
          <cell r="L43">
            <v>-0.18517494886960373</v>
          </cell>
        </row>
        <row r="44">
          <cell r="B44" t="str">
            <v>52.10.417121060</v>
          </cell>
          <cell r="C44" t="str">
            <v>52.10.4171</v>
          </cell>
          <cell r="D44">
            <v>21060</v>
          </cell>
          <cell r="E44" t="str">
            <v>TOP BABADO ALCA ROLOTE ONCA ROCK</v>
          </cell>
          <cell r="F44" t="str">
            <v>EST ONCA ROCK SEAGRASS E MARCHE P</v>
          </cell>
          <cell r="G44" t="str">
            <v>36-44</v>
          </cell>
          <cell r="H44">
            <v>198</v>
          </cell>
          <cell r="I44">
            <v>90</v>
          </cell>
          <cell r="J44">
            <v>73.33</v>
          </cell>
          <cell r="K44">
            <v>-0.62964646464646468</v>
          </cell>
          <cell r="L44">
            <v>-0.18522222222222229</v>
          </cell>
        </row>
        <row r="45">
          <cell r="B45" t="str">
            <v>52.13.351921048</v>
          </cell>
          <cell r="C45" t="str">
            <v>52.13.3519</v>
          </cell>
          <cell r="D45">
            <v>21048</v>
          </cell>
          <cell r="E45" t="str">
            <v>BATA NADADOR AMPLA DECOTE IKAT FUTURISTA</v>
          </cell>
          <cell r="F45" t="str">
            <v>EST IKAT FUTURISTA RUM E SLATE</v>
          </cell>
          <cell r="G45" t="str">
            <v>36-44</v>
          </cell>
          <cell r="H45">
            <v>398</v>
          </cell>
          <cell r="I45">
            <v>180.91</v>
          </cell>
          <cell r="J45">
            <v>147.41</v>
          </cell>
          <cell r="K45">
            <v>-0.62962311557788952</v>
          </cell>
          <cell r="L45">
            <v>-0.18517494886960373</v>
          </cell>
        </row>
        <row r="46">
          <cell r="B46" t="str">
            <v>07.02.583121060</v>
          </cell>
          <cell r="C46" t="str">
            <v>07.02.5831</v>
          </cell>
          <cell r="D46">
            <v>21060</v>
          </cell>
          <cell r="E46" t="str">
            <v>VESTIDO ROLOTES TUNEL ONCA ROCK</v>
          </cell>
          <cell r="F46" t="str">
            <v>EST ONCA ROCK SEAGRASS E MARCHE</v>
          </cell>
          <cell r="G46" t="str">
            <v>36-44</v>
          </cell>
          <cell r="H46">
            <v>598</v>
          </cell>
          <cell r="I46">
            <v>271.82</v>
          </cell>
          <cell r="J46">
            <v>221.48</v>
          </cell>
          <cell r="K46">
            <v>-0.62963210702341144</v>
          </cell>
          <cell r="L46">
            <v>-0.18519608564491208</v>
          </cell>
        </row>
        <row r="47">
          <cell r="B47" t="str">
            <v>07.02.583721092</v>
          </cell>
          <cell r="C47" t="str">
            <v>07.02.5837</v>
          </cell>
          <cell r="D47">
            <v>21092</v>
          </cell>
          <cell r="E47" t="str">
            <v>VESTIDO CURTO BABADO ROLOTE POIS LUA</v>
          </cell>
          <cell r="F47" t="str">
            <v>EST POIS LUA PRETO P</v>
          </cell>
          <cell r="G47" t="str">
            <v>36-44</v>
          </cell>
          <cell r="H47">
            <v>548</v>
          </cell>
          <cell r="I47">
            <v>249.09</v>
          </cell>
          <cell r="J47">
            <v>202.96</v>
          </cell>
          <cell r="K47">
            <v>-0.62963503649635033</v>
          </cell>
          <cell r="L47">
            <v>-0.18519410654783408</v>
          </cell>
        </row>
        <row r="48">
          <cell r="B48" t="str">
            <v>07.02.584121042</v>
          </cell>
          <cell r="C48" t="str">
            <v>07.02.5841</v>
          </cell>
          <cell r="D48">
            <v>21042</v>
          </cell>
          <cell r="E48" t="str">
            <v>VESTIDO CURTO PARKA TRICOLINE GEO</v>
          </cell>
          <cell r="F48" t="str">
            <v>EST GEO CIRCUITO BETULA E ACIDO</v>
          </cell>
          <cell r="G48" t="str">
            <v>36-44</v>
          </cell>
          <cell r="H48">
            <v>698</v>
          </cell>
          <cell r="I48">
            <v>317.27</v>
          </cell>
          <cell r="J48">
            <v>258.52</v>
          </cell>
          <cell r="K48">
            <v>-0.62962750716332383</v>
          </cell>
          <cell r="L48">
            <v>-0.18517351152015638</v>
          </cell>
        </row>
        <row r="49">
          <cell r="B49" t="str">
            <v>07.02.586421011</v>
          </cell>
          <cell r="C49" t="str">
            <v>07.02.5864</v>
          </cell>
          <cell r="D49">
            <v>21011</v>
          </cell>
          <cell r="E49" t="str">
            <v>VESTIDO KIMONO DRAGAO TATTOO</v>
          </cell>
          <cell r="F49" t="str">
            <v>EST DRAGAO TATTOO LENNON M</v>
          </cell>
          <cell r="G49" t="str">
            <v>36-44</v>
          </cell>
          <cell r="H49">
            <v>498</v>
          </cell>
          <cell r="I49">
            <v>226.36</v>
          </cell>
          <cell r="J49">
            <v>184.44</v>
          </cell>
          <cell r="K49">
            <v>-0.62963855421686743</v>
          </cell>
          <cell r="L49">
            <v>-0.18519172998763034</v>
          </cell>
        </row>
        <row r="50">
          <cell r="B50" t="str">
            <v>07.02.588321048</v>
          </cell>
          <cell r="C50" t="str">
            <v>07.02.5883</v>
          </cell>
          <cell r="D50" t="str">
            <v>21048</v>
          </cell>
          <cell r="E50" t="str">
            <v>VESTIDO KIMONO IKAT</v>
          </cell>
          <cell r="F50" t="str">
            <v>EST IKAT FUTURISTA RUM E SLATE</v>
          </cell>
          <cell r="G50" t="str">
            <v>36-44</v>
          </cell>
          <cell r="H50">
            <v>498</v>
          </cell>
          <cell r="I50">
            <v>226.36</v>
          </cell>
          <cell r="J50">
            <v>184.44</v>
          </cell>
          <cell r="K50">
            <v>-0.62963855421686743</v>
          </cell>
          <cell r="L50">
            <v>-0.18519172998763034</v>
          </cell>
        </row>
        <row r="51">
          <cell r="B51" t="str">
            <v>07.04.087021060</v>
          </cell>
          <cell r="C51" t="str">
            <v>07.04.0870</v>
          </cell>
          <cell r="D51" t="str">
            <v>21060</v>
          </cell>
          <cell r="E51" t="str">
            <v>VESTIDO CHEMISE MANGA CURTA ONCA MARCHE</v>
          </cell>
          <cell r="F51" t="str">
            <v>EST ONCA ROCK SEAGRASS E MARCHE</v>
          </cell>
          <cell r="G51" t="str">
            <v>36-44</v>
          </cell>
          <cell r="H51">
            <v>498</v>
          </cell>
          <cell r="I51">
            <v>226.36</v>
          </cell>
          <cell r="J51">
            <v>184.44</v>
          </cell>
          <cell r="K51">
            <v>-0.62963855421686743</v>
          </cell>
          <cell r="L51">
            <v>-0.18519172998763034</v>
          </cell>
        </row>
        <row r="52">
          <cell r="B52" t="str">
            <v>07.04.087521060</v>
          </cell>
          <cell r="C52" t="str">
            <v>07.04.0875</v>
          </cell>
          <cell r="D52">
            <v>21060</v>
          </cell>
          <cell r="E52" t="str">
            <v>VESTIDO BARRA ARREDONDADA PALA FRANZIDA</v>
          </cell>
          <cell r="F52" t="str">
            <v>EST ONCA ROCK SEAGRASS E MARCHE</v>
          </cell>
          <cell r="G52" t="str">
            <v>36-44</v>
          </cell>
          <cell r="H52">
            <v>698</v>
          </cell>
          <cell r="I52">
            <v>317.27</v>
          </cell>
          <cell r="J52">
            <v>258.52</v>
          </cell>
          <cell r="K52">
            <v>-0.62962750716332383</v>
          </cell>
          <cell r="L52">
            <v>-0.18517351152015638</v>
          </cell>
        </row>
        <row r="53">
          <cell r="B53" t="str">
            <v>07.04.087621011</v>
          </cell>
          <cell r="C53" t="str">
            <v>07.04.0876</v>
          </cell>
          <cell r="D53" t="str">
            <v>21011</v>
          </cell>
          <cell r="E53" t="str">
            <v>VESTIDO MILITAR DRAGAO TATTOO</v>
          </cell>
          <cell r="F53" t="str">
            <v>EST DRAGAO TATTOO LENNON M</v>
          </cell>
          <cell r="G53" t="str">
            <v>36-44</v>
          </cell>
          <cell r="H53">
            <v>598</v>
          </cell>
          <cell r="I53">
            <v>271.82</v>
          </cell>
          <cell r="J53">
            <v>221.48</v>
          </cell>
          <cell r="K53">
            <v>-0.62963210702341144</v>
          </cell>
          <cell r="L53">
            <v>-0.18519608564491208</v>
          </cell>
        </row>
        <row r="54">
          <cell r="B54" t="str">
            <v>07.04.088121048</v>
          </cell>
          <cell r="C54" t="str">
            <v>07.04.0881</v>
          </cell>
          <cell r="D54" t="str">
            <v>21048</v>
          </cell>
          <cell r="E54" t="str">
            <v>VESTIDO MANGA AMPLA MIDI IKAT FUTURISTA</v>
          </cell>
          <cell r="F54" t="str">
            <v>EST IKAT FUTURISTA RUM E SLATE</v>
          </cell>
          <cell r="G54" t="str">
            <v>36-44</v>
          </cell>
          <cell r="H54">
            <v>598</v>
          </cell>
          <cell r="I54">
            <v>271.82</v>
          </cell>
          <cell r="J54">
            <v>221.48</v>
          </cell>
          <cell r="K54">
            <v>-0.62963210702341144</v>
          </cell>
          <cell r="L54">
            <v>-0.18519608564491208</v>
          </cell>
        </row>
        <row r="55">
          <cell r="B55" t="str">
            <v>07.04.089721011</v>
          </cell>
          <cell r="C55" t="str">
            <v>07.04.0897</v>
          </cell>
          <cell r="D55">
            <v>21011</v>
          </cell>
          <cell r="E55" t="str">
            <v>VESTIDO MIDI CACHECOEUR DRAGAO TATTOO</v>
          </cell>
          <cell r="F55" t="str">
            <v>EST DRAGAO TATTOO LENNON M</v>
          </cell>
          <cell r="G55" t="str">
            <v>36-44</v>
          </cell>
          <cell r="H55">
            <v>498</v>
          </cell>
          <cell r="I55">
            <v>226.36</v>
          </cell>
          <cell r="J55">
            <v>184.44</v>
          </cell>
          <cell r="K55">
            <v>-0.62963855421686743</v>
          </cell>
          <cell r="L55">
            <v>-0.18519172998763034</v>
          </cell>
        </row>
        <row r="56">
          <cell r="B56" t="str">
            <v>07.04.090321092</v>
          </cell>
          <cell r="C56" t="str">
            <v>07.04.0903</v>
          </cell>
          <cell r="D56">
            <v>21092</v>
          </cell>
          <cell r="E56" t="str">
            <v>VESTIDO MIDI BOHO DECOTE RETO POIS LUA</v>
          </cell>
          <cell r="F56" t="str">
            <v>EST POIS LUA PRETO P</v>
          </cell>
          <cell r="G56" t="str">
            <v>36-44</v>
          </cell>
          <cell r="H56">
            <v>498</v>
          </cell>
          <cell r="I56">
            <v>226.36</v>
          </cell>
          <cell r="J56">
            <v>184.44</v>
          </cell>
          <cell r="K56">
            <v>-0.62963855421686743</v>
          </cell>
          <cell r="L56">
            <v>-0.18519172998763034</v>
          </cell>
        </row>
        <row r="57">
          <cell r="B57" t="str">
            <v>07.04.090421092</v>
          </cell>
          <cell r="C57" t="str">
            <v>07.04.0904</v>
          </cell>
          <cell r="D57">
            <v>21092</v>
          </cell>
          <cell r="E57" t="str">
            <v>VESTIDO RECORTES AMPLO BOHO</v>
          </cell>
          <cell r="F57" t="str">
            <v>EST POIS LUA PRETO P</v>
          </cell>
          <cell r="G57" t="str">
            <v>36-44</v>
          </cell>
          <cell r="H57">
            <v>698</v>
          </cell>
          <cell r="I57">
            <v>317.27</v>
          </cell>
          <cell r="J57">
            <v>258.52</v>
          </cell>
          <cell r="K57">
            <v>-0.62962750716332383</v>
          </cell>
          <cell r="L57">
            <v>-0.18517351152015638</v>
          </cell>
        </row>
        <row r="58">
          <cell r="B58" t="str">
            <v>07.04.091101032</v>
          </cell>
          <cell r="C58" t="str">
            <v>07.04.0911</v>
          </cell>
          <cell r="D58" t="str">
            <v>01032</v>
          </cell>
          <cell r="E58" t="str">
            <v>VESTIDO BOHO LARANJA MODART</v>
          </cell>
          <cell r="F58" t="str">
            <v>LARANJA MODART</v>
          </cell>
          <cell r="G58" t="str">
            <v>36-44</v>
          </cell>
          <cell r="H58">
            <v>798</v>
          </cell>
          <cell r="I58">
            <v>362.73</v>
          </cell>
          <cell r="J58">
            <v>295.56</v>
          </cell>
          <cell r="K58">
            <v>-0.62962406015037597</v>
          </cell>
          <cell r="L58">
            <v>-0.18517905880406915</v>
          </cell>
        </row>
        <row r="59">
          <cell r="B59" t="str">
            <v>07.09.090721060</v>
          </cell>
          <cell r="C59" t="str">
            <v>07.09.0907</v>
          </cell>
          <cell r="D59">
            <v>21060</v>
          </cell>
          <cell r="E59" t="str">
            <v>VESTIDO LONGO GOLA CARECA ONCA ROCK</v>
          </cell>
          <cell r="F59" t="str">
            <v>EST ONCA ROCK SEAGRASS E MARCHE</v>
          </cell>
          <cell r="G59" t="str">
            <v>36-44</v>
          </cell>
          <cell r="H59">
            <v>698</v>
          </cell>
          <cell r="I59">
            <v>317.27</v>
          </cell>
          <cell r="J59">
            <v>258.52</v>
          </cell>
          <cell r="K59">
            <v>-0.62962750716332383</v>
          </cell>
          <cell r="L59">
            <v>-0.18517351152015638</v>
          </cell>
        </row>
        <row r="60">
          <cell r="B60" t="str">
            <v>07.09.091121048</v>
          </cell>
          <cell r="C60" t="str">
            <v>07.09.0911</v>
          </cell>
          <cell r="D60">
            <v>21048</v>
          </cell>
          <cell r="E60" t="str">
            <v>VESTIDO JARDINEIRA IKAT FUTURISTA RUM</v>
          </cell>
          <cell r="F60" t="str">
            <v>EST IKAT FUTURISTA RUM E SLATE</v>
          </cell>
          <cell r="G60" t="str">
            <v>36-44</v>
          </cell>
          <cell r="H60">
            <v>548</v>
          </cell>
          <cell r="I60">
            <v>249.09</v>
          </cell>
          <cell r="J60">
            <v>202.96</v>
          </cell>
          <cell r="K60">
            <v>-0.62963503649635033</v>
          </cell>
          <cell r="L60">
            <v>-0.18519410654783408</v>
          </cell>
        </row>
        <row r="61">
          <cell r="B61" t="str">
            <v>07.09.091521042</v>
          </cell>
          <cell r="C61" t="str">
            <v>07.09.0915</v>
          </cell>
          <cell r="D61">
            <v>21042</v>
          </cell>
          <cell r="E61" t="str">
            <v>VESTIDO LONGO ABOTOAMENTO GEO CIRCUITO</v>
          </cell>
          <cell r="F61" t="str">
            <v>EST GEO CIRCUITO BETULA E ACIDO</v>
          </cell>
          <cell r="G61" t="str">
            <v>36-44</v>
          </cell>
          <cell r="H61">
            <v>598</v>
          </cell>
          <cell r="I61">
            <v>271.82</v>
          </cell>
          <cell r="J61">
            <v>221.48</v>
          </cell>
          <cell r="K61">
            <v>-0.62963210702341144</v>
          </cell>
          <cell r="L61">
            <v>-0.18519608564491208</v>
          </cell>
        </row>
        <row r="62">
          <cell r="B62" t="str">
            <v>07.09.091901032</v>
          </cell>
          <cell r="C62" t="str">
            <v>07.09.0919</v>
          </cell>
          <cell r="D62" t="str">
            <v>01032</v>
          </cell>
          <cell r="E62" t="str">
            <v xml:space="preserve">VESTIDO BOHO BABABDOS LONGO </v>
          </cell>
          <cell r="F62" t="str">
            <v>LARANJA MODART</v>
          </cell>
          <cell r="G62" t="str">
            <v>36-44</v>
          </cell>
          <cell r="H62">
            <v>898</v>
          </cell>
          <cell r="I62">
            <v>408.18</v>
          </cell>
          <cell r="J62">
            <v>332.59</v>
          </cell>
          <cell r="K62">
            <v>-0.62963251670378617</v>
          </cell>
          <cell r="L62">
            <v>-0.18518790729580092</v>
          </cell>
        </row>
        <row r="63">
          <cell r="B63" t="str">
            <v>07.93.173721011</v>
          </cell>
          <cell r="C63" t="str">
            <v>07.93.1737</v>
          </cell>
          <cell r="D63">
            <v>21011</v>
          </cell>
          <cell r="E63" t="str">
            <v>MACACAO BOLSOS CAVA COMPRIDA DRAGAO</v>
          </cell>
          <cell r="F63" t="str">
            <v>EST DRAGAO TATTOO LENNON M</v>
          </cell>
          <cell r="G63" t="str">
            <v>36-44</v>
          </cell>
          <cell r="H63">
            <v>598</v>
          </cell>
          <cell r="I63">
            <v>271.82</v>
          </cell>
          <cell r="J63">
            <v>221.48</v>
          </cell>
          <cell r="K63">
            <v>-0.62963210702341144</v>
          </cell>
          <cell r="L63">
            <v>-0.18519608564491208</v>
          </cell>
        </row>
        <row r="64">
          <cell r="B64" t="str">
            <v>07.93.174921092</v>
          </cell>
          <cell r="C64" t="str">
            <v>07.93.1749</v>
          </cell>
          <cell r="D64">
            <v>21092</v>
          </cell>
          <cell r="E64" t="str">
            <v>MACACAO MAXI POIS LUA PRETO P</v>
          </cell>
          <cell r="F64" t="str">
            <v>EST POIS LUA PRETO P</v>
          </cell>
          <cell r="G64" t="str">
            <v>36-44</v>
          </cell>
          <cell r="H64">
            <v>548</v>
          </cell>
          <cell r="I64">
            <v>249.09</v>
          </cell>
          <cell r="J64">
            <v>202.96</v>
          </cell>
          <cell r="K64">
            <v>-0.62963503649635033</v>
          </cell>
          <cell r="L64">
            <v>-0.18519410654783408</v>
          </cell>
        </row>
        <row r="65">
          <cell r="B65" t="str">
            <v>25.02.287201024</v>
          </cell>
          <cell r="C65" t="str">
            <v>25.02.2872</v>
          </cell>
          <cell r="D65" t="str">
            <v>01024</v>
          </cell>
          <cell r="E65" t="str">
            <v>SAIA DE COURO BASIC ZÍPER</v>
          </cell>
          <cell r="F65" t="str">
            <v>BEGE SAFARI</v>
          </cell>
          <cell r="G65" t="str">
            <v>34-44</v>
          </cell>
          <cell r="H65">
            <v>2798</v>
          </cell>
          <cell r="I65">
            <v>1271.82</v>
          </cell>
          <cell r="J65">
            <v>1036.3</v>
          </cell>
          <cell r="K65">
            <v>-0.62962830593280916</v>
          </cell>
          <cell r="L65">
            <v>-0.18518343790788006</v>
          </cell>
        </row>
        <row r="66">
          <cell r="B66" t="str">
            <v>25.02.30100005</v>
          </cell>
          <cell r="C66" t="str">
            <v>25.02.3010</v>
          </cell>
          <cell r="D66" t="str">
            <v>0005</v>
          </cell>
          <cell r="E66" t="str">
            <v>SAIA DE COURO CURTA ASSIMÉTRICA</v>
          </cell>
          <cell r="F66" t="str">
            <v>PRETO</v>
          </cell>
          <cell r="G66" t="str">
            <v>36-44</v>
          </cell>
          <cell r="H66">
            <v>2998</v>
          </cell>
          <cell r="I66">
            <v>1362.73</v>
          </cell>
          <cell r="J66">
            <v>1110.3699999999999</v>
          </cell>
          <cell r="K66">
            <v>-0.62962975316877923</v>
          </cell>
          <cell r="L66">
            <v>-0.18518708768428094</v>
          </cell>
        </row>
        <row r="67">
          <cell r="B67" t="str">
            <v>25.02.302201040</v>
          </cell>
          <cell r="C67" t="str">
            <v>25.02.3022</v>
          </cell>
          <cell r="D67" t="str">
            <v>01040</v>
          </cell>
          <cell r="E67" t="str">
            <v>SAIA DE COURO BOLSO FRONTAL BOTOES</v>
          </cell>
          <cell r="F67" t="str">
            <v>VERDE DUFFEL</v>
          </cell>
          <cell r="G67" t="str">
            <v>36-44</v>
          </cell>
          <cell r="H67">
            <v>2998</v>
          </cell>
          <cell r="I67">
            <v>1362.73</v>
          </cell>
          <cell r="J67">
            <v>1110.3699999999999</v>
          </cell>
          <cell r="K67">
            <v>-0.62962975316877923</v>
          </cell>
          <cell r="L67">
            <v>-0.18518708768428094</v>
          </cell>
        </row>
        <row r="68">
          <cell r="B68" t="str">
            <v>25.02.30230005</v>
          </cell>
          <cell r="C68" t="str">
            <v>25.02.3023</v>
          </cell>
          <cell r="D68" t="str">
            <v>0005</v>
          </cell>
          <cell r="E68" t="str">
            <v>SAIA DE COURO E TWEED CURTA BOLSO LATERA</v>
          </cell>
          <cell r="F68" t="str">
            <v>PRETO</v>
          </cell>
          <cell r="G68" t="str">
            <v>P-M-G</v>
          </cell>
          <cell r="H68">
            <v>2598</v>
          </cell>
          <cell r="I68">
            <v>1180.9100000000001</v>
          </cell>
          <cell r="J68">
            <v>962.22</v>
          </cell>
          <cell r="K68">
            <v>-0.62963048498845264</v>
          </cell>
          <cell r="L68">
            <v>-0.18518769423580128</v>
          </cell>
        </row>
        <row r="69">
          <cell r="B69" t="str">
            <v>25.02.30400005</v>
          </cell>
          <cell r="C69" t="str">
            <v>25.02.3040</v>
          </cell>
          <cell r="D69" t="str">
            <v>0005</v>
          </cell>
          <cell r="E69" t="str">
            <v>SAIA DE COURO MIDI FENDA FRONTAL</v>
          </cell>
          <cell r="F69" t="str">
            <v>PRETO</v>
          </cell>
          <cell r="G69" t="str">
            <v>36-44</v>
          </cell>
          <cell r="H69">
            <v>3298</v>
          </cell>
          <cell r="I69">
            <v>1499.09</v>
          </cell>
          <cell r="J69">
            <v>1221.48</v>
          </cell>
          <cell r="K69">
            <v>-0.62963007883565791</v>
          </cell>
          <cell r="L69">
            <v>-0.18518567931211594</v>
          </cell>
        </row>
        <row r="70">
          <cell r="B70" t="str">
            <v>04.13.08466222</v>
          </cell>
          <cell r="C70" t="str">
            <v>04.13.0846</v>
          </cell>
          <cell r="D70" t="str">
            <v>6222</v>
          </cell>
          <cell r="E70" t="str">
            <v>CALCA DE COURO BOLSOS METAIS</v>
          </cell>
          <cell r="F70" t="str">
            <v>VERDE DEEP</v>
          </cell>
          <cell r="G70" t="str">
            <v>34-44</v>
          </cell>
          <cell r="H70">
            <v>4298</v>
          </cell>
          <cell r="I70">
            <v>1953.64</v>
          </cell>
          <cell r="J70">
            <v>1591.85</v>
          </cell>
          <cell r="K70">
            <v>-0.62963006049325276</v>
          </cell>
          <cell r="L70">
            <v>-0.18518764972052182</v>
          </cell>
        </row>
        <row r="71">
          <cell r="B71" t="str">
            <v>04.13.08516216</v>
          </cell>
          <cell r="C71" t="str">
            <v>04.13.0851</v>
          </cell>
          <cell r="D71" t="str">
            <v>6216</v>
          </cell>
          <cell r="E71" t="str">
            <v>CALCA DE COURO STRETCH RECORTES</v>
          </cell>
          <cell r="F71" t="str">
            <v>MARROM OURO</v>
          </cell>
          <cell r="G71" t="str">
            <v>34-44</v>
          </cell>
          <cell r="H71">
            <v>3698</v>
          </cell>
          <cell r="I71">
            <v>1680.91</v>
          </cell>
          <cell r="J71">
            <v>1369.63</v>
          </cell>
          <cell r="K71">
            <v>-0.62962952947539208</v>
          </cell>
          <cell r="L71">
            <v>-0.18518540552438856</v>
          </cell>
        </row>
        <row r="72">
          <cell r="B72" t="str">
            <v>04.13.09260005</v>
          </cell>
          <cell r="C72" t="str">
            <v>04.13.0926</v>
          </cell>
          <cell r="D72" t="str">
            <v>0005</v>
          </cell>
          <cell r="E72" t="str">
            <v>CALCA DE COURO FLARE ZIPER FRONTAL</v>
          </cell>
          <cell r="F72" t="str">
            <v>PRETO</v>
          </cell>
          <cell r="G72" t="str">
            <v>36-44</v>
          </cell>
          <cell r="H72">
            <v>3998</v>
          </cell>
          <cell r="I72">
            <v>1817.27</v>
          </cell>
          <cell r="J72">
            <v>1480.74</v>
          </cell>
          <cell r="K72">
            <v>-0.62962981490745373</v>
          </cell>
          <cell r="L72">
            <v>-0.18518436996153564</v>
          </cell>
        </row>
        <row r="73">
          <cell r="B73" t="str">
            <v>03.01.096601024</v>
          </cell>
          <cell r="C73" t="str">
            <v>03.01.0966</v>
          </cell>
          <cell r="D73" t="str">
            <v>01024</v>
          </cell>
          <cell r="E73" t="str">
            <v>JAQUETA DE COURO MOTOR BASIC COLOR</v>
          </cell>
          <cell r="F73" t="str">
            <v>BEGE SAFARI</v>
          </cell>
          <cell r="G73" t="str">
            <v>36-44</v>
          </cell>
          <cell r="H73">
            <v>2998</v>
          </cell>
          <cell r="I73">
            <v>1362.73</v>
          </cell>
          <cell r="J73">
            <v>1110.3699999999999</v>
          </cell>
          <cell r="K73">
            <v>-0.62962975316877923</v>
          </cell>
          <cell r="L73">
            <v>-0.18518708768428094</v>
          </cell>
        </row>
        <row r="74">
          <cell r="B74" t="str">
            <v>03.01.096601040</v>
          </cell>
          <cell r="C74" t="str">
            <v>03.01.0966</v>
          </cell>
          <cell r="D74" t="str">
            <v>01040</v>
          </cell>
          <cell r="E74" t="str">
            <v>JAQUETA DE COURO MOTOR BASIC COLOR</v>
          </cell>
          <cell r="F74" t="str">
            <v>VERDE DUFFEL</v>
          </cell>
          <cell r="G74" t="str">
            <v>36-44</v>
          </cell>
          <cell r="H74">
            <v>2998</v>
          </cell>
          <cell r="I74">
            <v>1362.73</v>
          </cell>
          <cell r="J74">
            <v>1110.3699999999999</v>
          </cell>
          <cell r="K74">
            <v>-0.62962975316877923</v>
          </cell>
          <cell r="L74">
            <v>-0.18518708768428094</v>
          </cell>
        </row>
        <row r="75">
          <cell r="B75" t="str">
            <v>03.01.097201035</v>
          </cell>
          <cell r="C75" t="str">
            <v>03.01.0972</v>
          </cell>
          <cell r="D75" t="str">
            <v>01035</v>
          </cell>
          <cell r="E75" t="str">
            <v>JAQUETA DE COURO MOTOR MIX TEXTURAS</v>
          </cell>
          <cell r="F75" t="str">
            <v>VERDE MARCHE</v>
          </cell>
          <cell r="G75" t="str">
            <v>36-44</v>
          </cell>
          <cell r="H75">
            <v>5498</v>
          </cell>
          <cell r="I75">
            <v>2499.09</v>
          </cell>
          <cell r="J75">
            <v>2036.3</v>
          </cell>
          <cell r="K75">
            <v>-0.62962895598399427</v>
          </cell>
          <cell r="L75">
            <v>-0.18518340676006073</v>
          </cell>
        </row>
        <row r="76">
          <cell r="B76" t="str">
            <v>03.01.09730005</v>
          </cell>
          <cell r="C76" t="str">
            <v>03.01.0973</v>
          </cell>
          <cell r="D76" t="str">
            <v>0005</v>
          </cell>
          <cell r="E76" t="str">
            <v>JAQUETA DE COURO DETALHE NERVURA</v>
          </cell>
          <cell r="F76" t="str">
            <v>PRETO</v>
          </cell>
          <cell r="G76" t="str">
            <v>36-44</v>
          </cell>
          <cell r="H76">
            <v>4598</v>
          </cell>
          <cell r="I76">
            <v>2090</v>
          </cell>
          <cell r="J76">
            <v>1702.96</v>
          </cell>
          <cell r="K76">
            <v>-0.62963027403218796</v>
          </cell>
          <cell r="L76">
            <v>-0.18518660287081334</v>
          </cell>
        </row>
        <row r="77">
          <cell r="B77" t="str">
            <v>03.01.09940005</v>
          </cell>
          <cell r="C77" t="str">
            <v>03.01.0994</v>
          </cell>
          <cell r="D77" t="str">
            <v>0005</v>
          </cell>
          <cell r="E77" t="str">
            <v>JAQUETA DE COURO OVERSIZED BASIC</v>
          </cell>
          <cell r="F77" t="str">
            <v>PRETO</v>
          </cell>
          <cell r="G77" t="str">
            <v>36-44</v>
          </cell>
          <cell r="H77">
            <v>5998</v>
          </cell>
          <cell r="I77">
            <v>2726.36</v>
          </cell>
          <cell r="J77">
            <v>2221.48</v>
          </cell>
          <cell r="K77">
            <v>-0.62962987662554182</v>
          </cell>
          <cell r="L77">
            <v>-0.18518464179345362</v>
          </cell>
        </row>
        <row r="78">
          <cell r="B78" t="str">
            <v>03.01.10140005</v>
          </cell>
          <cell r="C78" t="str">
            <v>03.01.1014</v>
          </cell>
          <cell r="D78" t="str">
            <v>0005</v>
          </cell>
          <cell r="E78" t="str">
            <v>JAQUETA DE COURO CURTA BOTAO VAZADO</v>
          </cell>
          <cell r="F78" t="str">
            <v>PRETO</v>
          </cell>
          <cell r="G78" t="str">
            <v>36-44</v>
          </cell>
          <cell r="H78">
            <v>3798</v>
          </cell>
          <cell r="I78">
            <v>1726.36</v>
          </cell>
          <cell r="J78">
            <v>1406.67</v>
          </cell>
          <cell r="K78">
            <v>-0.62962875197472346</v>
          </cell>
          <cell r="L78">
            <v>-0.18518153803378201</v>
          </cell>
        </row>
        <row r="79">
          <cell r="B79" t="str">
            <v>07.20.449801040</v>
          </cell>
          <cell r="C79" t="str">
            <v>07.20.4498</v>
          </cell>
          <cell r="D79" t="str">
            <v>01040</v>
          </cell>
          <cell r="E79" t="str">
            <v>VESTIDO DE COURO ROSIES</v>
          </cell>
          <cell r="F79" t="str">
            <v>VERDE DUFFEL</v>
          </cell>
          <cell r="G79" t="str">
            <v>36-44</v>
          </cell>
          <cell r="H79">
            <v>2998</v>
          </cell>
          <cell r="I79">
            <v>1362.73</v>
          </cell>
          <cell r="J79">
            <v>1110.3699999999999</v>
          </cell>
          <cell r="K79">
            <v>-0.62962975316877923</v>
          </cell>
          <cell r="L79">
            <v>-0.18518708768428094</v>
          </cell>
        </row>
        <row r="80">
          <cell r="B80" t="str">
            <v>07.20.45040005</v>
          </cell>
          <cell r="C80" t="str">
            <v>07.20.4504</v>
          </cell>
          <cell r="D80" t="str">
            <v>0005</v>
          </cell>
          <cell r="E80" t="str">
            <v>VESTIDO DE COURO  E TWEED GOLA ALTA</v>
          </cell>
          <cell r="F80" t="str">
            <v>PRETO</v>
          </cell>
          <cell r="G80" t="str">
            <v>P-M-G</v>
          </cell>
          <cell r="H80">
            <v>3998</v>
          </cell>
          <cell r="I80">
            <v>1817.27</v>
          </cell>
          <cell r="J80">
            <v>1480.74</v>
          </cell>
          <cell r="K80">
            <v>-0.62962981490745373</v>
          </cell>
          <cell r="L80">
            <v>-0.18518436996153564</v>
          </cell>
        </row>
        <row r="81">
          <cell r="B81" t="str">
            <v>07.47.03910005</v>
          </cell>
          <cell r="C81" t="str">
            <v>07.47.0391</v>
          </cell>
          <cell r="D81" t="str">
            <v>0005</v>
          </cell>
          <cell r="E81" t="str">
            <v>MACAQUINHO DE COURO MANGA LACO</v>
          </cell>
          <cell r="F81" t="str">
            <v>PRETO</v>
          </cell>
          <cell r="G81" t="str">
            <v>34-44</v>
          </cell>
          <cell r="H81">
            <v>4598</v>
          </cell>
          <cell r="I81">
            <v>2090</v>
          </cell>
          <cell r="J81">
            <v>1702.96</v>
          </cell>
          <cell r="K81">
            <v>-0.62963027403218796</v>
          </cell>
          <cell r="L81">
            <v>-0.18518660287081334</v>
          </cell>
        </row>
        <row r="82">
          <cell r="B82" t="str">
            <v>25.02.26970005</v>
          </cell>
          <cell r="C82" t="str">
            <v>25.02.2697</v>
          </cell>
          <cell r="D82" t="str">
            <v>0005</v>
          </cell>
          <cell r="E82" t="str">
            <v>SAIA LIKE LEATHER ASSIMÉTRICA CINTO ZH24</v>
          </cell>
          <cell r="F82" t="str">
            <v>PRETO</v>
          </cell>
          <cell r="G82" t="str">
            <v>36-44</v>
          </cell>
          <cell r="H82">
            <v>798</v>
          </cell>
          <cell r="I82">
            <v>362.73</v>
          </cell>
          <cell r="J82">
            <v>295.56</v>
          </cell>
          <cell r="K82">
            <v>-0.62962406015037597</v>
          </cell>
          <cell r="L82">
            <v>-0.18517905880406915</v>
          </cell>
        </row>
        <row r="83">
          <cell r="B83" t="str">
            <v>25.02.26970012</v>
          </cell>
          <cell r="C83" t="str">
            <v>25.02.2697</v>
          </cell>
          <cell r="D83" t="str">
            <v>0012</v>
          </cell>
          <cell r="E83" t="str">
            <v>SAIA LIKE LEATHER ASSIMÉTRICA CINTO ZH24</v>
          </cell>
          <cell r="F83" t="str">
            <v>MARROM HERMES</v>
          </cell>
          <cell r="G83" t="str">
            <v>36-44</v>
          </cell>
          <cell r="H83">
            <v>798</v>
          </cell>
          <cell r="I83">
            <v>362.73</v>
          </cell>
          <cell r="J83">
            <v>295.56</v>
          </cell>
          <cell r="K83">
            <v>-0.62962406015037597</v>
          </cell>
          <cell r="L83">
            <v>-0.18517905880406915</v>
          </cell>
        </row>
        <row r="84">
          <cell r="B84" t="str">
            <v>25.02.28790005</v>
          </cell>
          <cell r="C84" t="str">
            <v>25.02.2879</v>
          </cell>
          <cell r="D84" t="str">
            <v>0005</v>
          </cell>
          <cell r="E84" t="str">
            <v>SAIA MILITAR ELÁSTICO LIKE LEATHER</v>
          </cell>
          <cell r="F84" t="str">
            <v>PRETO</v>
          </cell>
          <cell r="G84" t="str">
            <v>P-M-G-GG</v>
          </cell>
          <cell r="H84">
            <v>798</v>
          </cell>
          <cell r="I84">
            <v>362.73</v>
          </cell>
          <cell r="J84">
            <v>295.56</v>
          </cell>
          <cell r="K84">
            <v>-0.62962406015037597</v>
          </cell>
          <cell r="L84">
            <v>-0.18517905880406915</v>
          </cell>
        </row>
        <row r="85">
          <cell r="B85" t="str">
            <v>25.02.28796222</v>
          </cell>
          <cell r="C85" t="str">
            <v>25.02.2879</v>
          </cell>
          <cell r="D85" t="str">
            <v>6222</v>
          </cell>
          <cell r="E85" t="str">
            <v>SAIA MILITAR ELÁSTICO LIKE LEATHER</v>
          </cell>
          <cell r="F85" t="str">
            <v>VERDE DEEP</v>
          </cell>
          <cell r="G85" t="str">
            <v>P-M-G-GG</v>
          </cell>
          <cell r="H85">
            <v>798</v>
          </cell>
          <cell r="I85">
            <v>362.73</v>
          </cell>
          <cell r="J85">
            <v>295.56</v>
          </cell>
          <cell r="K85">
            <v>-0.62962406015037597</v>
          </cell>
          <cell r="L85">
            <v>-0.18517905880406915</v>
          </cell>
        </row>
        <row r="86">
          <cell r="B86" t="str">
            <v>04.13.07790005</v>
          </cell>
          <cell r="C86" t="str">
            <v>04.13.0779</v>
          </cell>
          <cell r="D86" t="str">
            <v>0005</v>
          </cell>
          <cell r="E86" t="str">
            <v>CALÇA LIKE LEATHER SKINNY COM ZÍPER ZH37</v>
          </cell>
          <cell r="F86" t="str">
            <v>PRETA</v>
          </cell>
          <cell r="G86" t="str">
            <v>36-44</v>
          </cell>
          <cell r="H86">
            <v>798</v>
          </cell>
          <cell r="I86">
            <v>362.73</v>
          </cell>
          <cell r="J86">
            <v>295.56</v>
          </cell>
          <cell r="K86">
            <v>-0.62962406015037597</v>
          </cell>
          <cell r="L86">
            <v>-0.18517905880406915</v>
          </cell>
        </row>
        <row r="87">
          <cell r="B87" t="str">
            <v>25.01.27540005</v>
          </cell>
          <cell r="C87" t="str">
            <v>25.01.2754</v>
          </cell>
          <cell r="D87" t="str">
            <v>0005</v>
          </cell>
          <cell r="E87" t="str">
            <v>CALÇA JOGGING LIKE LEATHER</v>
          </cell>
          <cell r="F87" t="str">
            <v>PRETO</v>
          </cell>
          <cell r="G87" t="str">
            <v>P-M-G-GG</v>
          </cell>
          <cell r="H87">
            <v>898</v>
          </cell>
          <cell r="I87">
            <v>408.18</v>
          </cell>
          <cell r="J87">
            <v>332.59</v>
          </cell>
          <cell r="K87">
            <v>-0.62963251670378617</v>
          </cell>
          <cell r="L87">
            <v>-0.18518790729580092</v>
          </cell>
        </row>
        <row r="88">
          <cell r="B88" t="str">
            <v>25.01.27546222</v>
          </cell>
          <cell r="C88" t="str">
            <v>25.01.2754</v>
          </cell>
          <cell r="D88" t="str">
            <v>6222</v>
          </cell>
          <cell r="E88" t="str">
            <v>CALÇA JOGGING LIKE LEATHER</v>
          </cell>
          <cell r="F88" t="str">
            <v>VERDE DEEP</v>
          </cell>
          <cell r="G88" t="str">
            <v>P-M-G-GG</v>
          </cell>
          <cell r="H88">
            <v>898</v>
          </cell>
          <cell r="I88">
            <v>408.18</v>
          </cell>
          <cell r="J88">
            <v>332.59</v>
          </cell>
          <cell r="K88">
            <v>-0.62963251670378617</v>
          </cell>
          <cell r="L88">
            <v>-0.18518790729580092</v>
          </cell>
        </row>
        <row r="89">
          <cell r="B89" t="str">
            <v>04.16.02330105</v>
          </cell>
          <cell r="C89" t="str">
            <v>04.16.0233</v>
          </cell>
          <cell r="D89" t="str">
            <v>0105</v>
          </cell>
          <cell r="E89" t="str">
            <v>CALCA JEANS BOY BOYFRIEND RASGOS</v>
          </cell>
          <cell r="F89" t="str">
            <v>JEANS MEDIO</v>
          </cell>
          <cell r="G89" t="str">
            <v>36-44</v>
          </cell>
          <cell r="H89">
            <v>398</v>
          </cell>
          <cell r="I89">
            <v>180.91</v>
          </cell>
          <cell r="J89">
            <v>147.41</v>
          </cell>
          <cell r="K89">
            <v>-0.62962311557788952</v>
          </cell>
          <cell r="L89">
            <v>-0.18517494886960373</v>
          </cell>
        </row>
        <row r="90">
          <cell r="B90" t="str">
            <v>04.16.02342290</v>
          </cell>
          <cell r="C90" t="str">
            <v>04.16.0234</v>
          </cell>
          <cell r="D90" t="str">
            <v>2290</v>
          </cell>
          <cell r="E90" t="str">
            <v>CALCA BOYFRIEND HIGH BARRA DESTROYED BLA</v>
          </cell>
          <cell r="F90" t="str">
            <v>JEANS BLACK MEDIO</v>
          </cell>
          <cell r="G90" t="str">
            <v>36-44</v>
          </cell>
          <cell r="H90">
            <v>328</v>
          </cell>
          <cell r="I90">
            <v>149.09</v>
          </cell>
          <cell r="J90">
            <v>121.48</v>
          </cell>
          <cell r="K90">
            <v>-0.62963414634146342</v>
          </cell>
          <cell r="L90">
            <v>-0.18519015359849755</v>
          </cell>
        </row>
        <row r="91">
          <cell r="B91" t="str">
            <v>04.69.17120105</v>
          </cell>
          <cell r="C91" t="str">
            <v>04.69.1712</v>
          </cell>
          <cell r="D91" t="str">
            <v>0105</v>
          </cell>
          <cell r="E91" t="str">
            <v>CALCA JEANS BASIC SKINNY HIGH COURINHO V</v>
          </cell>
          <cell r="F91" t="str">
            <v>JEANS MEDIO</v>
          </cell>
          <cell r="G91" t="str">
            <v>36-44</v>
          </cell>
          <cell r="H91">
            <v>328</v>
          </cell>
          <cell r="I91">
            <v>149.09</v>
          </cell>
          <cell r="J91">
            <v>121.48</v>
          </cell>
          <cell r="K91">
            <v>-0.62963414634146342</v>
          </cell>
          <cell r="L91">
            <v>-0.18519015359849755</v>
          </cell>
        </row>
        <row r="92">
          <cell r="B92" t="str">
            <v>04.69.17130101</v>
          </cell>
          <cell r="C92" t="str">
            <v>04.69.1713</v>
          </cell>
          <cell r="D92" t="str">
            <v>0101</v>
          </cell>
          <cell r="E92" t="str">
            <v>CALCA JEANS BASIC SKINNY MIDI</v>
          </cell>
          <cell r="F92" t="str">
            <v>JEANS CLARO</v>
          </cell>
          <cell r="G92" t="str">
            <v>36-44</v>
          </cell>
          <cell r="H92">
            <v>298</v>
          </cell>
          <cell r="I92">
            <v>135.44999999999999</v>
          </cell>
          <cell r="J92">
            <v>110.37</v>
          </cell>
          <cell r="K92">
            <v>-0.62963087248322147</v>
          </cell>
          <cell r="L92">
            <v>-0.18516057585825019</v>
          </cell>
        </row>
        <row r="93">
          <cell r="B93" t="str">
            <v>04.69.17140105</v>
          </cell>
          <cell r="C93" t="str">
            <v>04.69.1714</v>
          </cell>
          <cell r="D93" t="str">
            <v>0105</v>
          </cell>
          <cell r="E93" t="str">
            <v>CALCA JEANS BASIC SKINNY HIGH DESTROYED</v>
          </cell>
          <cell r="F93" t="str">
            <v>JEANS MEDIO</v>
          </cell>
          <cell r="G93" t="str">
            <v>36-44</v>
          </cell>
          <cell r="H93">
            <v>398</v>
          </cell>
          <cell r="I93">
            <v>180.91</v>
          </cell>
          <cell r="J93">
            <v>147.41</v>
          </cell>
          <cell r="K93">
            <v>-0.62962311557788952</v>
          </cell>
          <cell r="L93">
            <v>-0.18517494886960373</v>
          </cell>
        </row>
        <row r="94">
          <cell r="B94" t="str">
            <v>04.69.17160105</v>
          </cell>
          <cell r="C94" t="str">
            <v>04.69.1716</v>
          </cell>
          <cell r="D94" t="str">
            <v>0105</v>
          </cell>
          <cell r="E94" t="str">
            <v>CALCA BASIC SKINNY LONG HIGH TRAVETES VE</v>
          </cell>
          <cell r="F94" t="str">
            <v>JEANS MEDIO</v>
          </cell>
          <cell r="G94" t="str">
            <v>36-44</v>
          </cell>
          <cell r="H94">
            <v>298</v>
          </cell>
          <cell r="I94">
            <v>135.44999999999999</v>
          </cell>
          <cell r="J94">
            <v>110.37</v>
          </cell>
          <cell r="K94">
            <v>-0.62963087248322147</v>
          </cell>
          <cell r="L94">
            <v>-0.18516057585825019</v>
          </cell>
        </row>
        <row r="95">
          <cell r="B95" t="str">
            <v>04.69.17210105</v>
          </cell>
          <cell r="C95" t="str">
            <v>04.69.1721</v>
          </cell>
          <cell r="D95" t="str">
            <v>0105</v>
          </cell>
          <cell r="E95" t="str">
            <v>CALCA JEANS ROCK SKINNY MIDI BARRA DESTR</v>
          </cell>
          <cell r="F95" t="str">
            <v>JEANS MEDIO</v>
          </cell>
          <cell r="G95" t="str">
            <v>36-44</v>
          </cell>
          <cell r="H95">
            <v>398</v>
          </cell>
          <cell r="I95">
            <v>180.91</v>
          </cell>
          <cell r="J95">
            <v>147.41</v>
          </cell>
          <cell r="K95">
            <v>-0.62962311557788952</v>
          </cell>
          <cell r="L95">
            <v>-0.18517494886960373</v>
          </cell>
        </row>
        <row r="96">
          <cell r="B96" t="str">
            <v>04.69.17250109</v>
          </cell>
          <cell r="C96" t="str">
            <v>04.69.1725</v>
          </cell>
          <cell r="D96" t="str">
            <v>0109</v>
          </cell>
          <cell r="E96" t="str">
            <v>CALCA  BASIC SKINNY HIGH DEGRAU BARRA</v>
          </cell>
          <cell r="F96" t="str">
            <v>JEANS ESCURO</v>
          </cell>
          <cell r="G96" t="str">
            <v>36-44</v>
          </cell>
          <cell r="H96">
            <v>298</v>
          </cell>
          <cell r="I96">
            <v>135.44999999999999</v>
          </cell>
          <cell r="J96">
            <v>110.37</v>
          </cell>
          <cell r="K96">
            <v>-0.62963087248322147</v>
          </cell>
          <cell r="L96">
            <v>-0.18516057585825019</v>
          </cell>
        </row>
        <row r="97">
          <cell r="B97" t="str">
            <v>04.69.17340105</v>
          </cell>
          <cell r="C97" t="str">
            <v>04.69.1734</v>
          </cell>
          <cell r="D97" t="str">
            <v>0105</v>
          </cell>
          <cell r="E97" t="str">
            <v>CALCA BASIC SKINNY HIGH PUIDOS LEVES</v>
          </cell>
          <cell r="F97" t="str">
            <v>JEANS MEDIO</v>
          </cell>
          <cell r="G97" t="str">
            <v>36-44</v>
          </cell>
          <cell r="H97">
            <v>348</v>
          </cell>
          <cell r="I97">
            <v>158.18</v>
          </cell>
          <cell r="J97">
            <v>128.88999999999999</v>
          </cell>
          <cell r="K97">
            <v>-0.62962643678160923</v>
          </cell>
          <cell r="L97">
            <v>-0.18516879504362127</v>
          </cell>
        </row>
        <row r="98">
          <cell r="B98" t="str">
            <v>04.69.17350105</v>
          </cell>
          <cell r="C98" t="str">
            <v>04.69.1735</v>
          </cell>
          <cell r="D98" t="str">
            <v>0105</v>
          </cell>
          <cell r="E98" t="str">
            <v>CALCA BASIC SKINNY MIDI RASGOS</v>
          </cell>
          <cell r="F98" t="str">
            <v>JEANS MEDIO</v>
          </cell>
          <cell r="G98" t="str">
            <v>36-44</v>
          </cell>
          <cell r="H98">
            <v>328</v>
          </cell>
          <cell r="I98">
            <v>149.09</v>
          </cell>
          <cell r="J98">
            <v>121.48</v>
          </cell>
          <cell r="K98">
            <v>-0.62963414634146342</v>
          </cell>
          <cell r="L98">
            <v>-0.18519015359849755</v>
          </cell>
        </row>
        <row r="99">
          <cell r="B99" t="str">
            <v>04.80.00250109</v>
          </cell>
          <cell r="C99" t="str">
            <v>04.80.0025</v>
          </cell>
          <cell r="D99" t="str">
            <v>0109</v>
          </cell>
          <cell r="E99" t="str">
            <v>CALCA JEANS BOY CARROT ZIP BOLSO RELOGIO</v>
          </cell>
          <cell r="F99" t="str">
            <v>JEANS ESCURO</v>
          </cell>
          <cell r="G99" t="str">
            <v>36-44</v>
          </cell>
          <cell r="H99">
            <v>398</v>
          </cell>
          <cell r="I99">
            <v>180.91</v>
          </cell>
          <cell r="J99">
            <v>147.41</v>
          </cell>
          <cell r="K99">
            <v>-0.62962311557788952</v>
          </cell>
          <cell r="L99">
            <v>-0.18517494886960373</v>
          </cell>
        </row>
        <row r="100">
          <cell r="B100" t="str">
            <v>25.01.28691530</v>
          </cell>
          <cell r="C100" t="str">
            <v>25.01.2869</v>
          </cell>
          <cell r="D100" t="str">
            <v>1530</v>
          </cell>
          <cell r="E100" t="str">
            <v>CALCA JEANS VINTAGE</v>
          </cell>
          <cell r="F100" t="str">
            <v>JEANS CLARO</v>
          </cell>
          <cell r="G100" t="str">
            <v>36-44</v>
          </cell>
          <cell r="H100">
            <v>498</v>
          </cell>
          <cell r="I100">
            <v>226.36</v>
          </cell>
          <cell r="J100">
            <v>184.44</v>
          </cell>
          <cell r="K100">
            <v>-0.62963855421686743</v>
          </cell>
          <cell r="L100">
            <v>-0.18519172998763034</v>
          </cell>
        </row>
        <row r="101">
          <cell r="B101" t="str">
            <v>25.01.29100088</v>
          </cell>
          <cell r="C101" t="str">
            <v>25.01.2910</v>
          </cell>
          <cell r="D101" t="str">
            <v>0088</v>
          </cell>
          <cell r="E101" t="str">
            <v>CALCA SKINNY BLACK JEANS</v>
          </cell>
          <cell r="F101" t="str">
            <v>BLACK JEANS</v>
          </cell>
          <cell r="G101" t="str">
            <v>36-44</v>
          </cell>
          <cell r="H101">
            <v>498</v>
          </cell>
          <cell r="I101">
            <v>226.36</v>
          </cell>
          <cell r="J101">
            <v>184.44</v>
          </cell>
          <cell r="K101">
            <v>-0.62963855421686743</v>
          </cell>
          <cell r="L101">
            <v>-0.18519172998763034</v>
          </cell>
        </row>
        <row r="102">
          <cell r="B102" t="str">
            <v>03.01.09540088</v>
          </cell>
          <cell r="C102" t="str">
            <v>03.01.0954</v>
          </cell>
          <cell r="D102" t="str">
            <v>0088</v>
          </cell>
          <cell r="E102" t="str">
            <v>JAQUETA PERFECTO BLACK</v>
          </cell>
          <cell r="F102" t="str">
            <v>JEANS CLARO</v>
          </cell>
          <cell r="G102" t="str">
            <v>P-M-G</v>
          </cell>
          <cell r="H102">
            <v>998</v>
          </cell>
          <cell r="I102">
            <v>453.64</v>
          </cell>
          <cell r="J102">
            <v>369.63</v>
          </cell>
          <cell r="K102">
            <v>-0.629629258517034</v>
          </cell>
          <cell r="L102">
            <v>-0.18519090027334451</v>
          </cell>
        </row>
        <row r="103">
          <cell r="B103" t="str">
            <v>03.01.09610101</v>
          </cell>
          <cell r="C103" t="str">
            <v>03.01.0961</v>
          </cell>
          <cell r="D103" t="str">
            <v>0101</v>
          </cell>
          <cell r="E103" t="str">
            <v>JAQUETA JEANS OVERSIZED RESPINGOS</v>
          </cell>
          <cell r="F103" t="str">
            <v>JEANS CLARO</v>
          </cell>
          <cell r="G103" t="str">
            <v>P-M-G</v>
          </cell>
          <cell r="H103">
            <v>598</v>
          </cell>
          <cell r="I103">
            <v>271.82</v>
          </cell>
          <cell r="J103">
            <v>221.48</v>
          </cell>
          <cell r="K103">
            <v>-0.62963210702341144</v>
          </cell>
          <cell r="L103">
            <v>-0.18519608564491208</v>
          </cell>
        </row>
        <row r="104">
          <cell r="B104" t="str">
            <v>03.01.09620109</v>
          </cell>
          <cell r="C104" t="str">
            <v>03.01.0962</v>
          </cell>
          <cell r="D104" t="str">
            <v>0109</v>
          </cell>
          <cell r="E104" t="str">
            <v>JAQUETA CLASSIC AMACIADA</v>
          </cell>
          <cell r="F104" t="str">
            <v>JEANS ESCURO</v>
          </cell>
          <cell r="G104" t="str">
            <v>P-M-G</v>
          </cell>
          <cell r="H104">
            <v>498</v>
          </cell>
          <cell r="I104">
            <v>226.36</v>
          </cell>
          <cell r="J104">
            <v>184.44</v>
          </cell>
          <cell r="K104">
            <v>-0.62963855421686743</v>
          </cell>
          <cell r="L104">
            <v>-0.18519172998763034</v>
          </cell>
        </row>
        <row r="105">
          <cell r="B105" t="str">
            <v>07.20.45131531</v>
          </cell>
          <cell r="C105" t="str">
            <v>07.20.4513</v>
          </cell>
          <cell r="D105" t="str">
            <v>1531</v>
          </cell>
          <cell r="E105" t="str">
            <v>CHEMISE JEANS</v>
          </cell>
          <cell r="F105" t="str">
            <v>JEANS ESCURO</v>
          </cell>
          <cell r="G105" t="str">
            <v>P-M-G</v>
          </cell>
          <cell r="H105">
            <v>798</v>
          </cell>
          <cell r="I105">
            <v>362.73</v>
          </cell>
          <cell r="J105">
            <v>295.56</v>
          </cell>
          <cell r="K105">
            <v>-0.62962406015037597</v>
          </cell>
          <cell r="L105">
            <v>-0.18517905880406915</v>
          </cell>
        </row>
        <row r="106">
          <cell r="B106" t="str">
            <v>08.04.01670109</v>
          </cell>
          <cell r="C106" t="str">
            <v>08.04.0167</v>
          </cell>
          <cell r="D106" t="str">
            <v>0109</v>
          </cell>
          <cell r="E106" t="str">
            <v>MACACAO JUMPSUIT JEANS ML CINTO COURO FA</v>
          </cell>
          <cell r="F106" t="str">
            <v>JEANS ESCURO</v>
          </cell>
          <cell r="G106" t="str">
            <v>P-M-G</v>
          </cell>
          <cell r="H106">
            <v>998</v>
          </cell>
          <cell r="I106">
            <v>453.64</v>
          </cell>
          <cell r="J106">
            <v>369.63</v>
          </cell>
          <cell r="K106">
            <v>-0.629629258517034</v>
          </cell>
          <cell r="L106">
            <v>-0.18519090027334451</v>
          </cell>
        </row>
        <row r="107">
          <cell r="B107" t="str">
            <v>25.01.289001035</v>
          </cell>
          <cell r="C107" t="str">
            <v>25.01.2890</v>
          </cell>
          <cell r="D107" t="str">
            <v>01035</v>
          </cell>
          <cell r="E107" t="str">
            <v>CALCA MOLETOM VERDE MARCHE</v>
          </cell>
          <cell r="F107" t="str">
            <v>VERDE MARCHE</v>
          </cell>
          <cell r="G107" t="str">
            <v>P-M-G</v>
          </cell>
          <cell r="H107">
            <v>748</v>
          </cell>
          <cell r="I107">
            <v>340</v>
          </cell>
          <cell r="J107">
            <v>277.04000000000002</v>
          </cell>
          <cell r="K107">
            <v>-0.62962566844919787</v>
          </cell>
          <cell r="L107">
            <v>-0.18517647058823528</v>
          </cell>
        </row>
        <row r="108">
          <cell r="B108" t="str">
            <v>25.01.289101036</v>
          </cell>
          <cell r="C108" t="str">
            <v>25.01.2891</v>
          </cell>
          <cell r="D108" t="str">
            <v>01036</v>
          </cell>
          <cell r="E108" t="str">
            <v>CALCA MOLETOM VERMELHO TERROSO</v>
          </cell>
          <cell r="F108" t="str">
            <v>VERMELHO TERROSO</v>
          </cell>
          <cell r="G108" t="str">
            <v>P-M-G</v>
          </cell>
          <cell r="H108">
            <v>698</v>
          </cell>
          <cell r="I108">
            <v>317.27</v>
          </cell>
          <cell r="J108">
            <v>258.52</v>
          </cell>
          <cell r="K108">
            <v>-0.62962750716332383</v>
          </cell>
          <cell r="L108">
            <v>-0.18517351152015638</v>
          </cell>
        </row>
        <row r="109">
          <cell r="B109" t="str">
            <v>25.01.289301035</v>
          </cell>
          <cell r="C109" t="str">
            <v>25.01.2893</v>
          </cell>
          <cell r="D109" t="str">
            <v>01035</v>
          </cell>
          <cell r="E109" t="str">
            <v>CALCA TIK BANDAGEM PRETO E MARCHE</v>
          </cell>
          <cell r="F109" t="str">
            <v>VERDE MARCHE/PRETO</v>
          </cell>
          <cell r="G109" t="str">
            <v>P-M-G</v>
          </cell>
          <cell r="H109">
            <v>748</v>
          </cell>
          <cell r="I109">
            <v>340</v>
          </cell>
          <cell r="J109">
            <v>277.04000000000002</v>
          </cell>
          <cell r="K109">
            <v>-0.62962566844919787</v>
          </cell>
          <cell r="L109">
            <v>-0.18517647058823528</v>
          </cell>
        </row>
        <row r="110">
          <cell r="B110" t="str">
            <v>25.01.291521103</v>
          </cell>
          <cell r="C110" t="str">
            <v>25.01.2915</v>
          </cell>
          <cell r="D110" t="str">
            <v>21103</v>
          </cell>
          <cell r="E110" t="str">
            <v>LEGGING TEXTURA MAPA LENNON</v>
          </cell>
          <cell r="F110" t="str">
            <v>EST TEXTURA MAPA LENNON</v>
          </cell>
          <cell r="G110" t="str">
            <v>P-M-G</v>
          </cell>
          <cell r="H110">
            <v>398</v>
          </cell>
          <cell r="I110">
            <v>180.91</v>
          </cell>
          <cell r="J110">
            <v>147.41</v>
          </cell>
          <cell r="K110">
            <v>-0.62962311557788952</v>
          </cell>
          <cell r="L110">
            <v>-0.18517494886960373</v>
          </cell>
        </row>
        <row r="111">
          <cell r="B111" t="str">
            <v>69.03.003921103</v>
          </cell>
          <cell r="C111" t="str">
            <v>69.03.0039</v>
          </cell>
          <cell r="D111" t="str">
            <v>21103</v>
          </cell>
          <cell r="E111" t="str">
            <v>BLUSA TULE GAML TEXTURA MAPA LENNON</v>
          </cell>
          <cell r="F111" t="str">
            <v>EST TEXTURA MAPA LENNON</v>
          </cell>
          <cell r="G111" t="str">
            <v>P-M-G-GG</v>
          </cell>
          <cell r="H111">
            <v>298</v>
          </cell>
          <cell r="I111">
            <v>135.44999999999999</v>
          </cell>
          <cell r="J111">
            <v>110.37</v>
          </cell>
          <cell r="K111">
            <v>-0.62963087248322147</v>
          </cell>
          <cell r="L111">
            <v>-0.18516057585825019</v>
          </cell>
        </row>
        <row r="112">
          <cell r="B112" t="str">
            <v>69.03.004221015</v>
          </cell>
          <cell r="C112" t="str">
            <v>69.03.0042</v>
          </cell>
          <cell r="D112" t="str">
            <v>21015</v>
          </cell>
          <cell r="E112" t="str">
            <v>BLUSA TULE GAML FIG CONSTELACAO PT</v>
          </cell>
          <cell r="F112" t="str">
            <v>EST FIG CONSTELACAO PRETO</v>
          </cell>
          <cell r="G112" t="str">
            <v>P-M-G-GG</v>
          </cell>
          <cell r="H112">
            <v>298</v>
          </cell>
          <cell r="I112">
            <v>135.44999999999999</v>
          </cell>
          <cell r="J112">
            <v>110.37</v>
          </cell>
          <cell r="K112">
            <v>-0.62963087248322147</v>
          </cell>
          <cell r="L112">
            <v>-0.18516057585825019</v>
          </cell>
        </row>
        <row r="113">
          <cell r="B113" t="str">
            <v>69.11.067221013</v>
          </cell>
          <cell r="C113" t="str">
            <v>69.11.0672</v>
          </cell>
          <cell r="D113" t="str">
            <v>21013</v>
          </cell>
          <cell r="E113" t="str">
            <v>RAGLAN DRAGAO TATTOO PRET</v>
          </cell>
          <cell r="F113" t="str">
            <v>EST DRAGÃO TATTOO PRET M</v>
          </cell>
          <cell r="G113" t="str">
            <v>P-M-G-GG</v>
          </cell>
          <cell r="H113">
            <v>268</v>
          </cell>
          <cell r="I113">
            <v>121.82</v>
          </cell>
          <cell r="J113">
            <v>99.26</v>
          </cell>
          <cell r="K113">
            <v>-0.62962686567164172</v>
          </cell>
          <cell r="L113">
            <v>-0.18519126580200285</v>
          </cell>
        </row>
        <row r="114">
          <cell r="B114" t="str">
            <v>69.11.067521092</v>
          </cell>
          <cell r="C114" t="str">
            <v>69.11.0675</v>
          </cell>
          <cell r="D114" t="str">
            <v>21092</v>
          </cell>
          <cell r="E114" t="str">
            <v>RAGLAN POIS LUA PRETO</v>
          </cell>
          <cell r="F114" t="str">
            <v>EST POIS LUA PRETO P</v>
          </cell>
          <cell r="G114" t="str">
            <v>P-M-G-GG</v>
          </cell>
          <cell r="H114">
            <v>268</v>
          </cell>
          <cell r="I114">
            <v>121.82</v>
          </cell>
          <cell r="J114">
            <v>99.26</v>
          </cell>
          <cell r="K114">
            <v>-0.62962686567164172</v>
          </cell>
          <cell r="L114">
            <v>-0.18519126580200285</v>
          </cell>
        </row>
        <row r="115">
          <cell r="B115" t="str">
            <v>69.11.067821011</v>
          </cell>
          <cell r="C115" t="str">
            <v>69.11.0678</v>
          </cell>
          <cell r="D115" t="str">
            <v>21011</v>
          </cell>
          <cell r="E115" t="str">
            <v>RAGLAN DRAGAO TATTOO LENNON</v>
          </cell>
          <cell r="F115" t="str">
            <v>EST DRAGAO TATTOO LENNON M</v>
          </cell>
          <cell r="G115" t="str">
            <v>P-M-G-GG</v>
          </cell>
          <cell r="H115">
            <v>268</v>
          </cell>
          <cell r="I115">
            <v>121.82</v>
          </cell>
          <cell r="J115">
            <v>99.26</v>
          </cell>
          <cell r="K115">
            <v>-0.62962686567164172</v>
          </cell>
          <cell r="L115">
            <v>-0.18519126580200285</v>
          </cell>
        </row>
        <row r="116">
          <cell r="B116" t="str">
            <v>69.12.027721013</v>
          </cell>
          <cell r="C116" t="str">
            <v>69.12.0277</v>
          </cell>
          <cell r="D116" t="str">
            <v>21013</v>
          </cell>
          <cell r="E116" t="str">
            <v>BLUSA TULE GAML DRAGAO TATTOO PRET</v>
          </cell>
          <cell r="F116" t="str">
            <v>EST DRAGAO TATTOO PRET M</v>
          </cell>
          <cell r="G116" t="str">
            <v>P-M-G-GG</v>
          </cell>
          <cell r="H116">
            <v>298</v>
          </cell>
          <cell r="I116">
            <v>135.44999999999999</v>
          </cell>
          <cell r="J116">
            <v>110.37</v>
          </cell>
          <cell r="K116">
            <v>-0.62963087248322147</v>
          </cell>
          <cell r="L116">
            <v>-0.18516057585825019</v>
          </cell>
        </row>
        <row r="117">
          <cell r="B117" t="str">
            <v>69.12.030021092</v>
          </cell>
          <cell r="C117" t="str">
            <v>69.12.0300</v>
          </cell>
          <cell r="D117" t="str">
            <v>21092</v>
          </cell>
          <cell r="E117" t="str">
            <v>TEE DVMC POIS LUA PRETO</v>
          </cell>
          <cell r="F117" t="str">
            <v>EST POIS LUA PRETO P</v>
          </cell>
          <cell r="G117" t="str">
            <v>P-M-G-GG</v>
          </cell>
          <cell r="H117">
            <v>198</v>
          </cell>
          <cell r="I117">
            <v>90</v>
          </cell>
          <cell r="J117">
            <v>73.33</v>
          </cell>
          <cell r="K117">
            <v>-0.62964646464646468</v>
          </cell>
          <cell r="L117">
            <v>-0.18522222222222229</v>
          </cell>
        </row>
        <row r="118">
          <cell r="B118" t="str">
            <v>03.07.109201036</v>
          </cell>
          <cell r="C118" t="str">
            <v>03.07.1092</v>
          </cell>
          <cell r="D118" t="str">
            <v>01036</v>
          </cell>
          <cell r="E118" t="str">
            <v>CASACO MOLETOM VERMELHO TERROSO</v>
          </cell>
          <cell r="F118" t="str">
            <v>VERMELHO TERROSO</v>
          </cell>
          <cell r="G118" t="str">
            <v>P-M-G</v>
          </cell>
          <cell r="H118">
            <v>598</v>
          </cell>
          <cell r="I118">
            <v>271.82</v>
          </cell>
          <cell r="J118">
            <v>221.48</v>
          </cell>
          <cell r="K118">
            <v>-0.62963210702341144</v>
          </cell>
          <cell r="L118">
            <v>-0.18519608564491208</v>
          </cell>
        </row>
        <row r="119">
          <cell r="B119" t="str">
            <v>03.07.10940005</v>
          </cell>
          <cell r="C119" t="str">
            <v>03.07.1094</v>
          </cell>
          <cell r="D119" t="str">
            <v>0005</v>
          </cell>
          <cell r="E119" t="str">
            <v>TOP ANML TRICOS PRETO</v>
          </cell>
          <cell r="F119" t="str">
            <v>PRETO</v>
          </cell>
          <cell r="G119" t="str">
            <v>P-M-G</v>
          </cell>
          <cell r="H119">
            <v>548</v>
          </cell>
          <cell r="I119">
            <v>249.09</v>
          </cell>
          <cell r="J119">
            <v>202.96</v>
          </cell>
          <cell r="K119">
            <v>-0.62963503649635033</v>
          </cell>
          <cell r="L119">
            <v>-0.18519410654783408</v>
          </cell>
        </row>
        <row r="120">
          <cell r="B120" t="str">
            <v>44.01.10670005</v>
          </cell>
          <cell r="C120" t="str">
            <v>44.01.1067</v>
          </cell>
          <cell r="D120" t="str">
            <v>0005</v>
          </cell>
          <cell r="E120" t="str">
            <v>BLUSA MALHA CREPE POLO OFF WHITE</v>
          </cell>
          <cell r="F120" t="str">
            <v>OFF WHITE</v>
          </cell>
          <cell r="G120" t="str">
            <v>P-M-G</v>
          </cell>
          <cell r="H120">
            <v>548</v>
          </cell>
          <cell r="I120">
            <v>249.09</v>
          </cell>
          <cell r="J120">
            <v>202.96</v>
          </cell>
          <cell r="K120">
            <v>-0.62963503649635033</v>
          </cell>
          <cell r="L120">
            <v>-0.18519410654783408</v>
          </cell>
        </row>
        <row r="121">
          <cell r="B121" t="str">
            <v>44.11.004901035</v>
          </cell>
          <cell r="C121" t="str">
            <v>44.11.0049</v>
          </cell>
          <cell r="D121" t="str">
            <v>01035</v>
          </cell>
          <cell r="E121" t="str">
            <v>BLUSA GOLTA ALTA WOOL VERDE MARCHE</v>
          </cell>
          <cell r="F121" t="str">
            <v>VERDE MARCHE</v>
          </cell>
          <cell r="G121" t="str">
            <v>P-M-G</v>
          </cell>
          <cell r="H121">
            <v>448</v>
          </cell>
          <cell r="I121">
            <v>203.64</v>
          </cell>
          <cell r="J121">
            <v>165.93</v>
          </cell>
          <cell r="K121">
            <v>-0.62962053571428567</v>
          </cell>
          <cell r="L121">
            <v>-0.18517972893341184</v>
          </cell>
        </row>
        <row r="122">
          <cell r="B122" t="str">
            <v>44.11.00500005</v>
          </cell>
          <cell r="C122" t="str">
            <v>44.11.0050</v>
          </cell>
          <cell r="D122" t="str">
            <v>0005</v>
          </cell>
          <cell r="E122" t="str">
            <v>BLUSA GOLA ROLE PB</v>
          </cell>
          <cell r="F122" t="str">
            <v>PRETO/OFF</v>
          </cell>
          <cell r="G122" t="str">
            <v>P-M-G</v>
          </cell>
          <cell r="H122">
            <v>498</v>
          </cell>
          <cell r="I122">
            <v>226.36</v>
          </cell>
          <cell r="J122">
            <v>184.44</v>
          </cell>
          <cell r="K122">
            <v>-0.62963855421686743</v>
          </cell>
          <cell r="L122">
            <v>-0.18519172998763034</v>
          </cell>
        </row>
        <row r="123">
          <cell r="B123" t="str">
            <v>44.11.00550005</v>
          </cell>
          <cell r="C123" t="str">
            <v>44.11.0055</v>
          </cell>
          <cell r="D123" t="str">
            <v>0005</v>
          </cell>
          <cell r="E123" t="str">
            <v>SEGUNDA PELE MALHA CREPE PB E DUFFEL</v>
          </cell>
          <cell r="F123" t="str">
            <v>PRETO/OFF WHITE/VERDE DUFFEL</v>
          </cell>
          <cell r="G123" t="str">
            <v>P-M-G</v>
          </cell>
          <cell r="H123">
            <v>598</v>
          </cell>
          <cell r="I123">
            <v>271.82</v>
          </cell>
          <cell r="J123">
            <v>221.48</v>
          </cell>
          <cell r="K123">
            <v>-0.62963210702341144</v>
          </cell>
          <cell r="L123">
            <v>-0.18519608564491208</v>
          </cell>
        </row>
        <row r="124">
          <cell r="B124" t="str">
            <v>44.11.00600005</v>
          </cell>
          <cell r="C124" t="str">
            <v>44.11.0060</v>
          </cell>
          <cell r="D124" t="str">
            <v>0005</v>
          </cell>
          <cell r="E124" t="str">
            <v>BLUSA MALHA CREPE POLO PRETA</v>
          </cell>
          <cell r="F124" t="str">
            <v>PRETO</v>
          </cell>
          <cell r="G124" t="str">
            <v>P-M-G</v>
          </cell>
          <cell r="H124">
            <v>548</v>
          </cell>
          <cell r="I124">
            <v>249.09</v>
          </cell>
          <cell r="J124">
            <v>202.96</v>
          </cell>
          <cell r="K124">
            <v>-0.62963503649635033</v>
          </cell>
          <cell r="L124">
            <v>-0.18519410654783408</v>
          </cell>
        </row>
        <row r="125">
          <cell r="B125" t="str">
            <v>44.11.00610005</v>
          </cell>
          <cell r="C125" t="str">
            <v>44.11.0061</v>
          </cell>
          <cell r="D125" t="str">
            <v>0005</v>
          </cell>
          <cell r="E125" t="str">
            <v>BLUSA GOLTA ALTA WOOL PRETA</v>
          </cell>
          <cell r="F125" t="str">
            <v>PRETO</v>
          </cell>
          <cell r="G125" t="str">
            <v>P-M-G</v>
          </cell>
          <cell r="H125">
            <v>448</v>
          </cell>
          <cell r="I125">
            <v>203.64</v>
          </cell>
          <cell r="J125">
            <v>165.93</v>
          </cell>
          <cell r="K125">
            <v>-0.62962053571428567</v>
          </cell>
          <cell r="L125">
            <v>-0.18517972893341184</v>
          </cell>
        </row>
        <row r="126">
          <cell r="B126" t="str">
            <v>44.11.006301036</v>
          </cell>
          <cell r="C126" t="str">
            <v>44.11.0063</v>
          </cell>
          <cell r="D126" t="str">
            <v>01036</v>
          </cell>
          <cell r="E126" t="str">
            <v>BLUSA GOLA ALTA WOOL VERMELHO TERROSO</v>
          </cell>
          <cell r="F126" t="str">
            <v>VERMELHO TERROSO</v>
          </cell>
          <cell r="G126" t="str">
            <v>P-M-G</v>
          </cell>
          <cell r="H126">
            <v>448</v>
          </cell>
          <cell r="I126">
            <v>203.64</v>
          </cell>
          <cell r="J126">
            <v>165.93</v>
          </cell>
          <cell r="K126">
            <v>-0.62962053571428567</v>
          </cell>
          <cell r="L126">
            <v>-0.18517972893341184</v>
          </cell>
        </row>
        <row r="127">
          <cell r="B127" t="str">
            <v>44.11.006401035</v>
          </cell>
          <cell r="C127" t="str">
            <v>44.11.0064</v>
          </cell>
          <cell r="D127" t="str">
            <v>01035</v>
          </cell>
          <cell r="E127" t="str">
            <v>BLUSA MANGA AMPLA VERDE DUFFEL</v>
          </cell>
          <cell r="F127" t="str">
            <v>VERDE DUFFEL</v>
          </cell>
          <cell r="G127" t="str">
            <v>P-M-G</v>
          </cell>
          <cell r="H127">
            <v>348</v>
          </cell>
          <cell r="I127">
            <v>158.18</v>
          </cell>
          <cell r="J127">
            <v>128.88999999999999</v>
          </cell>
          <cell r="K127">
            <v>-0.62962643678160923</v>
          </cell>
          <cell r="L127">
            <v>-0.18516879504362127</v>
          </cell>
        </row>
        <row r="128">
          <cell r="B128" t="str">
            <v>44.20.002121316</v>
          </cell>
          <cell r="C128" t="str">
            <v>44.20.0021</v>
          </cell>
          <cell r="D128" t="str">
            <v>21316</v>
          </cell>
          <cell r="E128" t="str">
            <v>BLUSA LISTRA BABADO SAFARI E MODART</v>
          </cell>
          <cell r="F128" t="str">
            <v>EST LISTRA MODART E SAFARI </v>
          </cell>
          <cell r="G128" t="str">
            <v>P-M-G-GG</v>
          </cell>
          <cell r="H128">
            <v>298</v>
          </cell>
          <cell r="I128">
            <v>135.44999999999999</v>
          </cell>
          <cell r="J128">
            <v>110.37</v>
          </cell>
          <cell r="K128">
            <v>-0.62963087248322147</v>
          </cell>
          <cell r="L128">
            <v>-0.18516057585825019</v>
          </cell>
        </row>
        <row r="129">
          <cell r="B129" t="str">
            <v>44.20.002221308</v>
          </cell>
          <cell r="C129" t="str">
            <v>44.20.0022</v>
          </cell>
          <cell r="D129" t="str">
            <v>21308</v>
          </cell>
          <cell r="E129" t="str">
            <v>BLUSA LISTRA BABADO MARINHO E OFF</v>
          </cell>
          <cell r="F129" t="str">
            <v>EST LISTRA  MARITIME E OFF </v>
          </cell>
          <cell r="G129" t="str">
            <v>P-M-G-GG</v>
          </cell>
          <cell r="H129">
            <v>298</v>
          </cell>
          <cell r="I129">
            <v>135.44999999999999</v>
          </cell>
          <cell r="J129">
            <v>110.37</v>
          </cell>
          <cell r="K129">
            <v>-0.62963087248322147</v>
          </cell>
          <cell r="L129">
            <v>-0.18516057585825019</v>
          </cell>
        </row>
        <row r="130">
          <cell r="B130" t="str">
            <v>44.20.002821318</v>
          </cell>
          <cell r="C130" t="str">
            <v>44.20.0028</v>
          </cell>
          <cell r="D130" t="str">
            <v>21318</v>
          </cell>
          <cell r="E130" t="str">
            <v>BLUSA ANML LISTRA SEAGRASS E DUFFEL</v>
          </cell>
          <cell r="F130" t="str">
            <v>EST LISTRA SEAGRASS E DUFFEL </v>
          </cell>
          <cell r="G130" t="str">
            <v>P-M-G-GG</v>
          </cell>
          <cell r="H130">
            <v>228</v>
          </cell>
          <cell r="I130">
            <v>103.64</v>
          </cell>
          <cell r="J130">
            <v>84.44</v>
          </cell>
          <cell r="K130">
            <v>-0.62964912280701757</v>
          </cell>
          <cell r="L130">
            <v>-0.18525665766113475</v>
          </cell>
        </row>
        <row r="131">
          <cell r="B131" t="str">
            <v>44.20.00300003</v>
          </cell>
          <cell r="C131" t="str">
            <v>44.20.0030</v>
          </cell>
          <cell r="D131" t="str">
            <v>0003</v>
          </cell>
          <cell r="E131" t="str">
            <v>CROPPED GOLA ALTA BASIC</v>
          </cell>
          <cell r="F131" t="str">
            <v>OFF WHITE</v>
          </cell>
          <cell r="G131" t="str">
            <v>P-M-G</v>
          </cell>
          <cell r="H131">
            <v>448</v>
          </cell>
          <cell r="I131">
            <v>203.64</v>
          </cell>
          <cell r="J131">
            <v>165.93</v>
          </cell>
          <cell r="K131">
            <v>-0.62962053571428567</v>
          </cell>
          <cell r="L131">
            <v>-0.18517972893341184</v>
          </cell>
        </row>
        <row r="132">
          <cell r="B132" t="str">
            <v>44.20.00300005</v>
          </cell>
          <cell r="C132" t="str">
            <v>44.20.0030</v>
          </cell>
          <cell r="D132" t="str">
            <v>0005</v>
          </cell>
          <cell r="E132" t="str">
            <v>CROPPED GOLA ALTA BASIC</v>
          </cell>
          <cell r="F132" t="str">
            <v>PRETO</v>
          </cell>
          <cell r="G132" t="str">
            <v>P-M-G</v>
          </cell>
          <cell r="H132">
            <v>448</v>
          </cell>
          <cell r="I132">
            <v>203.64</v>
          </cell>
          <cell r="J132">
            <v>165.93</v>
          </cell>
          <cell r="K132">
            <v>-0.62962053571428567</v>
          </cell>
          <cell r="L132">
            <v>-0.18517972893341184</v>
          </cell>
        </row>
        <row r="133">
          <cell r="B133" t="str">
            <v>44.20.003601033</v>
          </cell>
          <cell r="C133" t="str">
            <v>44.20.0036</v>
          </cell>
          <cell r="D133" t="str">
            <v>01033</v>
          </cell>
          <cell r="E133" t="str">
            <v>CROPPED GOLA ALTA VERMELHO POPPY</v>
          </cell>
          <cell r="F133" t="str">
            <v>VERMELHO POPPY</v>
          </cell>
          <cell r="G133" t="str">
            <v>P-M-G</v>
          </cell>
          <cell r="H133">
            <v>448</v>
          </cell>
          <cell r="I133">
            <v>203.64</v>
          </cell>
          <cell r="J133">
            <v>165.93</v>
          </cell>
          <cell r="K133">
            <v>-0.62962053571428567</v>
          </cell>
          <cell r="L133">
            <v>-0.18517972893341184</v>
          </cell>
        </row>
        <row r="134">
          <cell r="B134" t="str">
            <v>59.08.00080002</v>
          </cell>
          <cell r="C134" t="str">
            <v>59.08.0008</v>
          </cell>
          <cell r="D134" t="str">
            <v>0002</v>
          </cell>
          <cell r="E134" t="str">
            <v>BLUSA LOVE MANGA LONGA BRANCA</v>
          </cell>
          <cell r="F134" t="str">
            <v>BRANCO</v>
          </cell>
          <cell r="G134" t="str">
            <v>P-M-G</v>
          </cell>
          <cell r="H134">
            <v>298</v>
          </cell>
          <cell r="I134">
            <v>135.44999999999999</v>
          </cell>
          <cell r="J134">
            <v>110.37</v>
          </cell>
          <cell r="K134">
            <v>-0.62963087248322147</v>
          </cell>
          <cell r="L134">
            <v>-0.18516057585825019</v>
          </cell>
        </row>
        <row r="135">
          <cell r="B135" t="str">
            <v>59.11.01470005</v>
          </cell>
          <cell r="C135" t="str">
            <v>59.11.0147</v>
          </cell>
          <cell r="D135" t="str">
            <v>0005</v>
          </cell>
          <cell r="E135" t="str">
            <v>REGATA DRAGAO PRETO E MARCHE</v>
          </cell>
          <cell r="F135" t="str">
            <v>PRETO E VERDE MARCHE</v>
          </cell>
          <cell r="G135" t="str">
            <v>P-M-G</v>
          </cell>
          <cell r="H135">
            <v>328</v>
          </cell>
          <cell r="I135">
            <v>149.09</v>
          </cell>
          <cell r="J135">
            <v>121.48</v>
          </cell>
          <cell r="K135">
            <v>-0.62963414634146342</v>
          </cell>
          <cell r="L135">
            <v>-0.18519015359849755</v>
          </cell>
        </row>
        <row r="136">
          <cell r="B136" t="str">
            <v>59.12.02710002</v>
          </cell>
          <cell r="C136" t="str">
            <v>59.12.0271</v>
          </cell>
          <cell r="D136" t="str">
            <v>0002</v>
          </cell>
          <cell r="E136" t="str">
            <v>T-SHIRT SIGN AQUARIUS</v>
          </cell>
          <cell r="F136" t="str">
            <v>BRANCO</v>
          </cell>
          <cell r="G136" t="str">
            <v>P-M-G</v>
          </cell>
          <cell r="H136">
            <v>218</v>
          </cell>
          <cell r="I136">
            <v>99.09</v>
          </cell>
          <cell r="J136">
            <v>80.739999999999995</v>
          </cell>
          <cell r="K136">
            <v>-0.62963302752293582</v>
          </cell>
          <cell r="L136">
            <v>-0.18518518518518523</v>
          </cell>
        </row>
        <row r="137">
          <cell r="B137" t="str">
            <v>59.12.02720002</v>
          </cell>
          <cell r="C137" t="str">
            <v>59.12.0272</v>
          </cell>
          <cell r="D137" t="str">
            <v>0002</v>
          </cell>
          <cell r="E137" t="str">
            <v>T-SHIRT SIGN ARIES</v>
          </cell>
          <cell r="F137" t="str">
            <v>BRANCO</v>
          </cell>
          <cell r="G137" t="str">
            <v>P-M-G</v>
          </cell>
          <cell r="H137">
            <v>218</v>
          </cell>
          <cell r="I137">
            <v>99.09</v>
          </cell>
          <cell r="J137">
            <v>80.739999999999995</v>
          </cell>
          <cell r="K137">
            <v>-0.62963302752293582</v>
          </cell>
          <cell r="L137">
            <v>-0.18518518518518523</v>
          </cell>
        </row>
        <row r="138">
          <cell r="B138" t="str">
            <v>59.12.02731407</v>
          </cell>
          <cell r="C138" t="str">
            <v>59.12.0273</v>
          </cell>
          <cell r="D138" t="str">
            <v>1407</v>
          </cell>
          <cell r="E138" t="str">
            <v>T-SHIRT CANCER</v>
          </cell>
          <cell r="F138" t="str">
            <v>MESCLA</v>
          </cell>
          <cell r="G138" t="str">
            <v>P-M-G</v>
          </cell>
          <cell r="H138">
            <v>218</v>
          </cell>
          <cell r="I138">
            <v>99.09</v>
          </cell>
          <cell r="J138">
            <v>80.739999999999995</v>
          </cell>
          <cell r="K138">
            <v>-0.62963302752293582</v>
          </cell>
          <cell r="L138">
            <v>-0.18518518518518523</v>
          </cell>
        </row>
        <row r="139">
          <cell r="B139" t="str">
            <v>59.12.02781407</v>
          </cell>
          <cell r="C139" t="str">
            <v>59.12.0278</v>
          </cell>
          <cell r="D139" t="str">
            <v>1407</v>
          </cell>
          <cell r="E139" t="str">
            <v>T-SHIRT SIGN GEMINI</v>
          </cell>
          <cell r="F139" t="str">
            <v>MESCLA</v>
          </cell>
          <cell r="G139" t="str">
            <v>P-M-G</v>
          </cell>
          <cell r="H139">
            <v>218</v>
          </cell>
          <cell r="I139">
            <v>99.09</v>
          </cell>
          <cell r="J139">
            <v>80.739999999999995</v>
          </cell>
          <cell r="K139">
            <v>-0.62963302752293582</v>
          </cell>
          <cell r="L139">
            <v>-0.18518518518518523</v>
          </cell>
        </row>
        <row r="140">
          <cell r="B140" t="str">
            <v>59.12.02790002</v>
          </cell>
          <cell r="C140" t="str">
            <v>59.12.0279</v>
          </cell>
          <cell r="D140" t="str">
            <v>0002</v>
          </cell>
          <cell r="E140" t="str">
            <v>T-SHIRT SIGN LEO</v>
          </cell>
          <cell r="F140" t="str">
            <v>BRANCO</v>
          </cell>
          <cell r="G140" t="str">
            <v>P-M-G</v>
          </cell>
          <cell r="H140">
            <v>218</v>
          </cell>
          <cell r="I140">
            <v>99.09</v>
          </cell>
          <cell r="J140">
            <v>80.739999999999995</v>
          </cell>
          <cell r="K140">
            <v>-0.62963302752293582</v>
          </cell>
          <cell r="L140">
            <v>-0.18518518518518523</v>
          </cell>
        </row>
        <row r="141">
          <cell r="B141" t="str">
            <v>59.12.02800002</v>
          </cell>
          <cell r="C141" t="str">
            <v>59.12.0280</v>
          </cell>
          <cell r="D141" t="str">
            <v>0002</v>
          </cell>
          <cell r="E141" t="str">
            <v>T-SHIRT SIGN LIBRA</v>
          </cell>
          <cell r="F141" t="str">
            <v>BRANCO</v>
          </cell>
          <cell r="G141" t="str">
            <v>P-M-G</v>
          </cell>
          <cell r="H141">
            <v>218</v>
          </cell>
          <cell r="I141">
            <v>99.09</v>
          </cell>
          <cell r="J141">
            <v>80.739999999999995</v>
          </cell>
          <cell r="K141">
            <v>-0.62963302752293582</v>
          </cell>
          <cell r="L141">
            <v>-0.18518518518518523</v>
          </cell>
        </row>
        <row r="142">
          <cell r="B142" t="str">
            <v>59.12.02840002</v>
          </cell>
          <cell r="C142" t="str">
            <v>59.12.0284</v>
          </cell>
          <cell r="D142" t="str">
            <v>0002</v>
          </cell>
          <cell r="E142" t="str">
            <v>REGATA MARTE BRANCA</v>
          </cell>
          <cell r="F142" t="str">
            <v>BRANCO</v>
          </cell>
          <cell r="G142" t="str">
            <v>P-M-G</v>
          </cell>
          <cell r="H142">
            <v>268</v>
          </cell>
          <cell r="I142">
            <v>121.82</v>
          </cell>
          <cell r="J142">
            <v>99.26</v>
          </cell>
          <cell r="K142">
            <v>-0.62962686567164172</v>
          </cell>
          <cell r="L142">
            <v>-0.18519126580200285</v>
          </cell>
        </row>
        <row r="143">
          <cell r="B143" t="str">
            <v>59.12.028501027</v>
          </cell>
          <cell r="C143" t="str">
            <v>59.12.0285</v>
          </cell>
          <cell r="D143" t="str">
            <v>01027</v>
          </cell>
          <cell r="E143" t="str">
            <v>REGATA MARTE CINZA LUA</v>
          </cell>
          <cell r="F143" t="str">
            <v>CINZA LUA</v>
          </cell>
          <cell r="G143" t="str">
            <v>P-M-G</v>
          </cell>
          <cell r="H143">
            <v>268</v>
          </cell>
          <cell r="I143">
            <v>121.82</v>
          </cell>
          <cell r="J143">
            <v>99.26</v>
          </cell>
          <cell r="K143">
            <v>-0.62962686567164172</v>
          </cell>
          <cell r="L143">
            <v>-0.18519126580200285</v>
          </cell>
        </row>
        <row r="144">
          <cell r="B144" t="str">
            <v>59.12.02871407</v>
          </cell>
          <cell r="C144" t="str">
            <v>59.12.0287</v>
          </cell>
          <cell r="D144" t="str">
            <v>1407</v>
          </cell>
          <cell r="E144" t="str">
            <v>T-SHIRT SIGN SCORPIO</v>
          </cell>
          <cell r="F144" t="str">
            <v>MESCLA</v>
          </cell>
          <cell r="G144" t="str">
            <v>P-M-G</v>
          </cell>
          <cell r="H144">
            <v>218</v>
          </cell>
          <cell r="I144">
            <v>99.09</v>
          </cell>
          <cell r="J144">
            <v>80.739999999999995</v>
          </cell>
          <cell r="K144">
            <v>-0.62963302752293582</v>
          </cell>
          <cell r="L144">
            <v>-0.18518518518518523</v>
          </cell>
        </row>
        <row r="145">
          <cell r="B145" t="str">
            <v>59.12.02881407</v>
          </cell>
          <cell r="C145" t="str">
            <v>59.12.0288</v>
          </cell>
          <cell r="D145" t="str">
            <v>1407</v>
          </cell>
          <cell r="E145" t="str">
            <v>T-SHIRT SIGN VIRGO</v>
          </cell>
          <cell r="F145" t="str">
            <v>MESCLA</v>
          </cell>
          <cell r="G145" t="str">
            <v>P-M-G</v>
          </cell>
          <cell r="H145">
            <v>218</v>
          </cell>
          <cell r="I145">
            <v>99.09</v>
          </cell>
          <cell r="J145">
            <v>80.739999999999995</v>
          </cell>
          <cell r="K145">
            <v>-0.62963302752293582</v>
          </cell>
          <cell r="L145">
            <v>-0.18518518518518523</v>
          </cell>
        </row>
        <row r="146">
          <cell r="B146" t="str">
            <v>59.12.02891407</v>
          </cell>
          <cell r="C146" t="str">
            <v>59.12.0289</v>
          </cell>
          <cell r="D146" t="str">
            <v>1407</v>
          </cell>
          <cell r="E146" t="str">
            <v>T-SHIRT SIGN PISCES</v>
          </cell>
          <cell r="F146" t="str">
            <v>MESCLA</v>
          </cell>
          <cell r="G146" t="str">
            <v>P-M-G</v>
          </cell>
          <cell r="H146">
            <v>218</v>
          </cell>
          <cell r="I146">
            <v>99.09</v>
          </cell>
          <cell r="J146">
            <v>80.739999999999995</v>
          </cell>
          <cell r="K146">
            <v>-0.62963302752293582</v>
          </cell>
          <cell r="L146">
            <v>-0.18518518518518523</v>
          </cell>
        </row>
        <row r="147">
          <cell r="B147" t="str">
            <v>59.12.02900002</v>
          </cell>
          <cell r="C147" t="str">
            <v>59.12.0290</v>
          </cell>
          <cell r="D147" t="str">
            <v>0002</v>
          </cell>
          <cell r="E147" t="str">
            <v>T-SHIRT SIGN SAGITTARIUS</v>
          </cell>
          <cell r="F147" t="str">
            <v>BRANCO</v>
          </cell>
          <cell r="G147" t="str">
            <v>P-M-G</v>
          </cell>
          <cell r="H147">
            <v>218</v>
          </cell>
          <cell r="I147">
            <v>99.09</v>
          </cell>
          <cell r="J147">
            <v>80.739999999999995</v>
          </cell>
          <cell r="K147">
            <v>-0.62963302752293582</v>
          </cell>
          <cell r="L147">
            <v>-0.18518518518518523</v>
          </cell>
        </row>
        <row r="148">
          <cell r="B148" t="str">
            <v>59.12.02911407</v>
          </cell>
          <cell r="C148" t="str">
            <v>59.12.0291</v>
          </cell>
          <cell r="D148" t="str">
            <v>1407</v>
          </cell>
          <cell r="E148" t="str">
            <v>T-SHIRT SIGN TAURUS</v>
          </cell>
          <cell r="F148" t="str">
            <v>MESCLA</v>
          </cell>
          <cell r="G148" t="str">
            <v>P-M-G</v>
          </cell>
          <cell r="H148">
            <v>218</v>
          </cell>
          <cell r="I148">
            <v>99.09</v>
          </cell>
          <cell r="J148">
            <v>80.739999999999995</v>
          </cell>
          <cell r="K148">
            <v>-0.62963302752293582</v>
          </cell>
          <cell r="L148">
            <v>-0.18518518518518523</v>
          </cell>
        </row>
        <row r="149">
          <cell r="B149" t="str">
            <v>59.12.030301032</v>
          </cell>
          <cell r="C149" t="str">
            <v>59.12.0303</v>
          </cell>
          <cell r="D149" t="str">
            <v>01032</v>
          </cell>
          <cell r="E149" t="str">
            <v>T-SHIRT MINI ET LARANJA MODART</v>
          </cell>
          <cell r="F149" t="str">
            <v>LARANJA MODART</v>
          </cell>
          <cell r="G149" t="str">
            <v>P-M-G</v>
          </cell>
          <cell r="H149">
            <v>268</v>
          </cell>
          <cell r="I149">
            <v>121.82</v>
          </cell>
          <cell r="J149">
            <v>99.26</v>
          </cell>
          <cell r="K149">
            <v>-0.62962686567164172</v>
          </cell>
          <cell r="L149">
            <v>-0.18519126580200285</v>
          </cell>
        </row>
        <row r="150">
          <cell r="B150" t="str">
            <v>59.12.03050002</v>
          </cell>
          <cell r="C150" t="str">
            <v>59.12.0305</v>
          </cell>
          <cell r="D150" t="str">
            <v>0002</v>
          </cell>
          <cell r="E150" t="str">
            <v>T-SHIRT SIGN CAPRICORN</v>
          </cell>
          <cell r="F150" t="str">
            <v>BRANCO</v>
          </cell>
          <cell r="G150" t="str">
            <v>P-M-G</v>
          </cell>
          <cell r="H150">
            <v>218</v>
          </cell>
          <cell r="I150">
            <v>99.09</v>
          </cell>
          <cell r="J150">
            <v>80.739999999999995</v>
          </cell>
          <cell r="K150">
            <v>-0.62963302752293582</v>
          </cell>
          <cell r="L150">
            <v>-0.18518518518518523</v>
          </cell>
        </row>
        <row r="151">
          <cell r="B151" t="str">
            <v>43.01.04921407</v>
          </cell>
          <cell r="C151" t="str">
            <v>43.01.0492</v>
          </cell>
          <cell r="D151" t="str">
            <v>1407</v>
          </cell>
          <cell r="E151" t="str">
            <v>RAGLAN DESCONSTRUIDA MESCLA</v>
          </cell>
          <cell r="F151" t="str">
            <v>MESCLA</v>
          </cell>
          <cell r="G151" t="str">
            <v>P-M-G-GG</v>
          </cell>
          <cell r="H151">
            <v>168</v>
          </cell>
          <cell r="I151">
            <v>76.36</v>
          </cell>
          <cell r="J151">
            <v>62.22</v>
          </cell>
          <cell r="K151">
            <v>-0.62964285714285717</v>
          </cell>
          <cell r="L151">
            <v>-0.18517548454688315</v>
          </cell>
        </row>
        <row r="152">
          <cell r="B152" t="str">
            <v>43.01.04930005</v>
          </cell>
          <cell r="C152" t="str">
            <v>43.01.0493</v>
          </cell>
          <cell r="D152" t="str">
            <v>0005</v>
          </cell>
          <cell r="E152" t="str">
            <v>SEGUNDA PELE MALHA BASIC</v>
          </cell>
          <cell r="F152" t="str">
            <v>PRETO</v>
          </cell>
          <cell r="G152" t="str">
            <v>P-M-G-GG</v>
          </cell>
          <cell r="H152">
            <v>198</v>
          </cell>
          <cell r="I152">
            <v>90</v>
          </cell>
          <cell r="J152">
            <v>73.33</v>
          </cell>
          <cell r="K152">
            <v>-0.62964646464646468</v>
          </cell>
          <cell r="L152">
            <v>-0.18522222222222229</v>
          </cell>
        </row>
        <row r="153">
          <cell r="B153" t="str">
            <v>43.01.050401040</v>
          </cell>
          <cell r="C153" t="str">
            <v>43.01.0504</v>
          </cell>
          <cell r="D153" t="str">
            <v>01040</v>
          </cell>
          <cell r="E153" t="str">
            <v>BLUSA AMPLA MG LONGA DUFFEL</v>
          </cell>
          <cell r="F153" t="str">
            <v>VERDE DUFFEL</v>
          </cell>
          <cell r="G153" t="str">
            <v>P-M-G-GG</v>
          </cell>
          <cell r="H153">
            <v>178</v>
          </cell>
          <cell r="I153">
            <v>80.91</v>
          </cell>
          <cell r="J153">
            <v>65.930000000000007</v>
          </cell>
          <cell r="K153">
            <v>-0.62960674157303365</v>
          </cell>
          <cell r="L153">
            <v>-0.18514398714621172</v>
          </cell>
        </row>
        <row r="154">
          <cell r="B154" t="str">
            <v>43.01.050501036</v>
          </cell>
          <cell r="C154" t="str">
            <v>43.01.0505</v>
          </cell>
          <cell r="D154" t="str">
            <v>01036</v>
          </cell>
          <cell r="E154" t="str">
            <v>BLUSA AMPLA MG LONGA TERROSO</v>
          </cell>
          <cell r="F154" t="str">
            <v>VERMELHO TERROSO</v>
          </cell>
          <cell r="G154" t="str">
            <v>P-M-G-GG</v>
          </cell>
          <cell r="H154">
            <v>178</v>
          </cell>
          <cell r="I154">
            <v>80.91</v>
          </cell>
          <cell r="J154">
            <v>65.930000000000007</v>
          </cell>
          <cell r="K154">
            <v>-0.62960674157303365</v>
          </cell>
          <cell r="L154">
            <v>-0.18514398714621172</v>
          </cell>
        </row>
        <row r="155">
          <cell r="B155" t="str">
            <v>43.01.05071407</v>
          </cell>
          <cell r="C155" t="str">
            <v>43.01.0507</v>
          </cell>
          <cell r="D155" t="str">
            <v>1407</v>
          </cell>
          <cell r="E155" t="str">
            <v>SEGUNDA PELE GOLA ALTA MESCLA</v>
          </cell>
          <cell r="F155" t="str">
            <v>MESCLA</v>
          </cell>
          <cell r="G155" t="str">
            <v>P-M-G-GG</v>
          </cell>
          <cell r="H155">
            <v>198</v>
          </cell>
          <cell r="I155">
            <v>90</v>
          </cell>
          <cell r="J155">
            <v>73.33</v>
          </cell>
          <cell r="K155">
            <v>-0.62964646464646468</v>
          </cell>
          <cell r="L155">
            <v>-0.18522222222222229</v>
          </cell>
        </row>
        <row r="156">
          <cell r="B156" t="str">
            <v>43.01.051101040</v>
          </cell>
          <cell r="C156" t="str">
            <v>43.01.0511</v>
          </cell>
          <cell r="D156" t="str">
            <v>01040</v>
          </cell>
          <cell r="E156" t="str">
            <v>BLUSA GOLA MALHA BASIC DUFFEL</v>
          </cell>
          <cell r="F156" t="str">
            <v>VERDE DUFFEL</v>
          </cell>
          <cell r="G156" t="str">
            <v>P-M-G-GG</v>
          </cell>
          <cell r="H156">
            <v>158</v>
          </cell>
          <cell r="I156">
            <v>71.819999999999993</v>
          </cell>
          <cell r="J156">
            <v>58.52</v>
          </cell>
          <cell r="K156">
            <v>-0.62962025316455694</v>
          </cell>
          <cell r="L156">
            <v>-0.18518518518518512</v>
          </cell>
        </row>
        <row r="157">
          <cell r="B157" t="str">
            <v>43.01.05140002</v>
          </cell>
          <cell r="C157" t="str">
            <v>43.01.0514</v>
          </cell>
          <cell r="D157" t="str">
            <v>0002</v>
          </cell>
          <cell r="E157" t="str">
            <v>BLUSA GOLA MALHA BASIC</v>
          </cell>
          <cell r="F157" t="str">
            <v>BRANCO</v>
          </cell>
          <cell r="G157" t="str">
            <v>P-M-G-GG</v>
          </cell>
          <cell r="H157">
            <v>158</v>
          </cell>
          <cell r="I157">
            <v>71.819999999999993</v>
          </cell>
          <cell r="J157">
            <v>58.52</v>
          </cell>
          <cell r="K157">
            <v>-0.62962025316455694</v>
          </cell>
          <cell r="L157">
            <v>-0.18518518518518512</v>
          </cell>
        </row>
        <row r="158">
          <cell r="B158" t="str">
            <v>43.01.05140005</v>
          </cell>
          <cell r="C158" t="str">
            <v>43.01.0514</v>
          </cell>
          <cell r="D158" t="str">
            <v>0005</v>
          </cell>
          <cell r="E158" t="str">
            <v>BLUSA GOLA MALHA BASIC</v>
          </cell>
          <cell r="F158" t="str">
            <v>PRETO</v>
          </cell>
          <cell r="G158" t="str">
            <v>P-M-G-GG</v>
          </cell>
          <cell r="H158">
            <v>158</v>
          </cell>
          <cell r="I158">
            <v>71.819999999999993</v>
          </cell>
          <cell r="J158">
            <v>58.52</v>
          </cell>
          <cell r="K158">
            <v>-0.62962025316455694</v>
          </cell>
          <cell r="L158">
            <v>-0.18518518518518512</v>
          </cell>
        </row>
        <row r="159">
          <cell r="B159" t="str">
            <v>43.01.051901028</v>
          </cell>
          <cell r="C159" t="str">
            <v>43.01.0519</v>
          </cell>
          <cell r="D159" t="str">
            <v>01028</v>
          </cell>
          <cell r="E159" t="str">
            <v>RAGLAN DESCONSTRUIDA LARANJA EXUBERANCE</v>
          </cell>
          <cell r="F159" t="str">
            <v>LARANJA EXUBERANCE</v>
          </cell>
          <cell r="G159" t="str">
            <v>P-M-G-GG</v>
          </cell>
          <cell r="H159">
            <v>168</v>
          </cell>
          <cell r="I159">
            <v>76.36</v>
          </cell>
          <cell r="J159">
            <v>62.22</v>
          </cell>
          <cell r="K159">
            <v>-0.62964285714285717</v>
          </cell>
          <cell r="L159">
            <v>-0.18517548454688315</v>
          </cell>
        </row>
        <row r="160">
          <cell r="B160" t="str">
            <v>43.03.017801040</v>
          </cell>
          <cell r="C160" t="str">
            <v>43.03.0178</v>
          </cell>
          <cell r="D160" t="str">
            <v>01040</v>
          </cell>
          <cell r="E160" t="str">
            <v>REGATA MIX ALCA FINA DUFFEL</v>
          </cell>
          <cell r="F160" t="str">
            <v>VERDE DUFFEL</v>
          </cell>
          <cell r="G160" t="str">
            <v>P-M-G-GG</v>
          </cell>
          <cell r="H160">
            <v>118</v>
          </cell>
          <cell r="I160">
            <v>53.64</v>
          </cell>
          <cell r="J160">
            <v>43.7</v>
          </cell>
          <cell r="K160">
            <v>-0.62966101694915255</v>
          </cell>
          <cell r="L160">
            <v>-0.18530947054436986</v>
          </cell>
        </row>
        <row r="161">
          <cell r="B161" t="str">
            <v>43.03.01791407</v>
          </cell>
          <cell r="C161" t="str">
            <v>43.03.0179</v>
          </cell>
          <cell r="D161" t="str">
            <v>1407</v>
          </cell>
          <cell r="E161" t="str">
            <v>REGATA MIX ALCA FINA MESCLA</v>
          </cell>
          <cell r="F161" t="str">
            <v>MESCLA</v>
          </cell>
          <cell r="G161" t="str">
            <v>P-M-G-GG</v>
          </cell>
          <cell r="H161">
            <v>118</v>
          </cell>
          <cell r="I161">
            <v>53.64</v>
          </cell>
          <cell r="J161">
            <v>43.7</v>
          </cell>
          <cell r="K161">
            <v>-0.62966101694915255</v>
          </cell>
          <cell r="L161">
            <v>-0.18530947054436986</v>
          </cell>
        </row>
        <row r="162">
          <cell r="B162" t="str">
            <v>07.72.00200005</v>
          </cell>
          <cell r="C162" t="str">
            <v>07.72.0020</v>
          </cell>
          <cell r="D162" t="str">
            <v>0005</v>
          </cell>
          <cell r="E162" t="str">
            <v>VESTIDO ANML TRICOS PRETO</v>
          </cell>
          <cell r="F162" t="str">
            <v>PRETO</v>
          </cell>
          <cell r="G162" t="str">
            <v>P-M-G</v>
          </cell>
          <cell r="H162">
            <v>598</v>
          </cell>
          <cell r="I162">
            <v>271.82</v>
          </cell>
          <cell r="J162">
            <v>221.48</v>
          </cell>
          <cell r="K162">
            <v>-0.62963210702341144</v>
          </cell>
          <cell r="L162">
            <v>-0.18519608564491208</v>
          </cell>
        </row>
        <row r="163">
          <cell r="B163" t="str">
            <v>07.74.003521312</v>
          </cell>
          <cell r="C163" t="str">
            <v>07.74.0035</v>
          </cell>
          <cell r="D163" t="str">
            <v>21312</v>
          </cell>
          <cell r="E163" t="str">
            <v>VESTIDO REGATA LISTRA MARINHO E OFF</v>
          </cell>
          <cell r="F163" t="str">
            <v>EST LISTRA MARITIME E OFF</v>
          </cell>
          <cell r="G163" t="str">
            <v>P-M-G</v>
          </cell>
          <cell r="H163">
            <v>498</v>
          </cell>
          <cell r="I163">
            <v>226.36</v>
          </cell>
          <cell r="J163">
            <v>184.44</v>
          </cell>
          <cell r="K163">
            <v>-0.62963855421686743</v>
          </cell>
          <cell r="L163">
            <v>-0.18519172998763034</v>
          </cell>
        </row>
        <row r="164">
          <cell r="B164" t="str">
            <v>07.74.003720011</v>
          </cell>
          <cell r="C164" t="str">
            <v>07.74.0037</v>
          </cell>
          <cell r="D164" t="str">
            <v>20011</v>
          </cell>
          <cell r="E164" t="str">
            <v>VESTIDO LONGO DRAGAO TATTOO LENNON</v>
          </cell>
          <cell r="F164" t="str">
            <v>EST DRAGAO TATTOO LENNON M ¨</v>
          </cell>
          <cell r="G164" t="str">
            <v>P-M-G</v>
          </cell>
          <cell r="H164">
            <v>498</v>
          </cell>
          <cell r="I164">
            <v>226.36</v>
          </cell>
          <cell r="J164">
            <v>184.44</v>
          </cell>
          <cell r="K164">
            <v>-0.62963855421686743</v>
          </cell>
          <cell r="L164">
            <v>-0.18519172998763034</v>
          </cell>
        </row>
        <row r="165">
          <cell r="B165" t="str">
            <v>07.74.003921309</v>
          </cell>
          <cell r="C165" t="str">
            <v>07.74.0039</v>
          </cell>
          <cell r="D165" t="str">
            <v>21309</v>
          </cell>
          <cell r="E165" t="str">
            <v>VESTIDO BABADO LISTRA MARINHO E OFF</v>
          </cell>
          <cell r="F165" t="str">
            <v>EST LISTRA MARITIME E OFF </v>
          </cell>
          <cell r="G165" t="str">
            <v>P-M-G</v>
          </cell>
          <cell r="H165">
            <v>498</v>
          </cell>
          <cell r="I165">
            <v>226.36</v>
          </cell>
          <cell r="J165">
            <v>184.44</v>
          </cell>
          <cell r="K165">
            <v>-0.62963855421686743</v>
          </cell>
          <cell r="L165">
            <v>-0.18519172998763034</v>
          </cell>
        </row>
        <row r="166">
          <cell r="B166" t="str">
            <v>07.76.000321013</v>
          </cell>
          <cell r="C166" t="str">
            <v>07.76.0003</v>
          </cell>
          <cell r="D166" t="str">
            <v>21013</v>
          </cell>
          <cell r="E166" t="str">
            <v>VESTIDO AMPLO DRAGAO TATTOO PRET</v>
          </cell>
          <cell r="F166" t="str">
            <v>EST DRAGÃO TATTOO PRET M</v>
          </cell>
          <cell r="G166" t="str">
            <v>P-M-G</v>
          </cell>
          <cell r="H166">
            <v>598</v>
          </cell>
          <cell r="I166">
            <v>271.82</v>
          </cell>
          <cell r="J166">
            <v>221.48</v>
          </cell>
          <cell r="K166">
            <v>-0.62963210702341144</v>
          </cell>
          <cell r="L166">
            <v>-0.18519608564491208</v>
          </cell>
        </row>
        <row r="167">
          <cell r="B167" t="str">
            <v>07.78.018201040</v>
          </cell>
          <cell r="C167" t="str">
            <v>07.78.0182</v>
          </cell>
          <cell r="D167" t="str">
            <v>01040</v>
          </cell>
          <cell r="E167" t="str">
            <v>VESTIDO MIDI GUIPURE VERDE DUFFEL</v>
          </cell>
          <cell r="F167" t="str">
            <v>VERDE DUFFEL</v>
          </cell>
          <cell r="G167" t="str">
            <v>P-M-G</v>
          </cell>
          <cell r="H167">
            <v>798</v>
          </cell>
          <cell r="I167">
            <v>362.73</v>
          </cell>
          <cell r="J167">
            <v>295.56</v>
          </cell>
          <cell r="K167">
            <v>-0.62962406015037597</v>
          </cell>
          <cell r="L167">
            <v>-0.18517905880406915</v>
          </cell>
        </row>
        <row r="168">
          <cell r="B168" t="str">
            <v>07.78.01830005</v>
          </cell>
          <cell r="C168" t="str">
            <v>07.78.0183</v>
          </cell>
          <cell r="D168" t="str">
            <v>0005</v>
          </cell>
          <cell r="E168" t="str">
            <v>VESTIDO MIDI GUIPURE PRETO</v>
          </cell>
          <cell r="F168" t="str">
            <v>PRETO</v>
          </cell>
          <cell r="G168" t="str">
            <v>P-M-G</v>
          </cell>
          <cell r="H168">
            <v>798</v>
          </cell>
          <cell r="I168">
            <v>362.73</v>
          </cell>
          <cell r="J168">
            <v>295.56</v>
          </cell>
          <cell r="K168">
            <v>-0.62962406015037597</v>
          </cell>
          <cell r="L168">
            <v>-0.18517905880406915</v>
          </cell>
        </row>
        <row r="169">
          <cell r="B169" t="str">
            <v>07.78.019521011</v>
          </cell>
          <cell r="C169" t="str">
            <v>07.78.0195</v>
          </cell>
          <cell r="D169" t="str">
            <v>21011</v>
          </cell>
          <cell r="E169" t="str">
            <v>VESTIDO GOLINHA DRAGAO TATTOO LENNON</v>
          </cell>
          <cell r="F169" t="str">
            <v>EST DRAGAO TATTOO LENNON M ¨</v>
          </cell>
          <cell r="G169" t="str">
            <v>P-M-G</v>
          </cell>
          <cell r="H169">
            <v>358</v>
          </cell>
          <cell r="I169">
            <v>162.72999999999999</v>
          </cell>
          <cell r="J169">
            <v>132.59</v>
          </cell>
          <cell r="K169">
            <v>-0.62963687150837988</v>
          </cell>
          <cell r="L169">
            <v>-0.18521477293676636</v>
          </cell>
        </row>
        <row r="170">
          <cell r="B170" t="str">
            <v>07.78.019621014</v>
          </cell>
          <cell r="C170" t="str">
            <v>07.78.0196</v>
          </cell>
          <cell r="D170" t="str">
            <v>21014</v>
          </cell>
          <cell r="E170" t="str">
            <v>VESTIDO GOLINHA DRAGAO TATTOO PRET</v>
          </cell>
          <cell r="F170" t="str">
            <v>EST DRAGAO TATTOO PRET M</v>
          </cell>
          <cell r="G170" t="str">
            <v>P-M-G</v>
          </cell>
          <cell r="H170">
            <v>398</v>
          </cell>
          <cell r="I170">
            <v>180.91</v>
          </cell>
          <cell r="J170">
            <v>147.41</v>
          </cell>
          <cell r="K170">
            <v>-0.62962311557788952</v>
          </cell>
          <cell r="L170">
            <v>-0.18517494886960373</v>
          </cell>
        </row>
        <row r="171">
          <cell r="B171" t="str">
            <v>07.78.02030005</v>
          </cell>
          <cell r="C171" t="str">
            <v>07.78.0203</v>
          </cell>
          <cell r="D171" t="str">
            <v>0005</v>
          </cell>
          <cell r="E171" t="str">
            <v>VESTIDO GOLINHA BABADOS PRETO</v>
          </cell>
          <cell r="F171" t="str">
            <v>PRETO</v>
          </cell>
          <cell r="G171" t="str">
            <v>P-M-G</v>
          </cell>
          <cell r="H171">
            <v>298</v>
          </cell>
          <cell r="I171">
            <v>135.44999999999999</v>
          </cell>
          <cell r="J171">
            <v>110.37</v>
          </cell>
          <cell r="K171">
            <v>-0.62963087248322147</v>
          </cell>
          <cell r="L171">
            <v>-0.18516057585825019</v>
          </cell>
        </row>
        <row r="172">
          <cell r="B172" t="str">
            <v>07.78.020521302</v>
          </cell>
          <cell r="C172" t="str">
            <v>07.78.0205</v>
          </cell>
          <cell r="D172" t="str">
            <v>21302</v>
          </cell>
          <cell r="E172" t="str">
            <v>VESTIDO ANML LISTRA SEAGRASS E DUFFEL</v>
          </cell>
          <cell r="F172" t="str">
            <v>EST LISTRA SEAGRASS E DUFFEL </v>
          </cell>
          <cell r="G172" t="str">
            <v>P-M-G</v>
          </cell>
          <cell r="H172">
            <v>358</v>
          </cell>
          <cell r="I172">
            <v>162.72999999999999</v>
          </cell>
          <cell r="J172">
            <v>132.59</v>
          </cell>
          <cell r="K172">
            <v>-0.62963687150837988</v>
          </cell>
          <cell r="L172">
            <v>-0.18521477293676636</v>
          </cell>
        </row>
        <row r="173">
          <cell r="B173" t="str">
            <v>07.79.011521306</v>
          </cell>
          <cell r="C173" t="str">
            <v>07.79.0115</v>
          </cell>
          <cell r="D173" t="str">
            <v>21306</v>
          </cell>
          <cell r="E173" t="str">
            <v>T-DRESS RECORTES LISTRA SEAGRASS DUFFEL</v>
          </cell>
          <cell r="F173" t="str">
            <v>EST LISTRA SEAGRASS E DUFFEL </v>
          </cell>
          <cell r="G173" t="str">
            <v>P-M-G-GG</v>
          </cell>
          <cell r="H173">
            <v>398</v>
          </cell>
          <cell r="I173">
            <v>180.91</v>
          </cell>
          <cell r="J173">
            <v>147.41</v>
          </cell>
          <cell r="K173">
            <v>-0.62962311557788952</v>
          </cell>
          <cell r="L173">
            <v>-0.18517494886960373</v>
          </cell>
        </row>
        <row r="174">
          <cell r="B174" t="str">
            <v>07.79.011721314</v>
          </cell>
          <cell r="C174" t="str">
            <v>07.79.0117</v>
          </cell>
          <cell r="D174" t="str">
            <v>21314</v>
          </cell>
          <cell r="E174" t="str">
            <v>VESTIDO WRAP LISTRA SAFARI E MODART</v>
          </cell>
          <cell r="F174" t="str">
            <v>EST LISTRA MODART E SAFARI </v>
          </cell>
          <cell r="G174" t="str">
            <v>P-M-G-GG</v>
          </cell>
          <cell r="H174">
            <v>398</v>
          </cell>
          <cell r="I174">
            <v>180.91</v>
          </cell>
          <cell r="J174">
            <v>147.41</v>
          </cell>
          <cell r="K174">
            <v>-0.62962311557788952</v>
          </cell>
          <cell r="L174">
            <v>-0.18517494886960373</v>
          </cell>
        </row>
        <row r="175">
          <cell r="B175" t="str">
            <v>07.79.012201036</v>
          </cell>
          <cell r="C175" t="str">
            <v>07.79.0122</v>
          </cell>
          <cell r="D175" t="str">
            <v>01036</v>
          </cell>
          <cell r="E175" t="str">
            <v>VESTIDO MANGA AMPLA VERMELHO TERROSO</v>
          </cell>
          <cell r="F175" t="str">
            <v>VERMELHO TERROSO</v>
          </cell>
          <cell r="G175" t="str">
            <v>P-M-G</v>
          </cell>
          <cell r="H175">
            <v>598</v>
          </cell>
          <cell r="I175">
            <v>271.82</v>
          </cell>
          <cell r="J175">
            <v>221.48</v>
          </cell>
          <cell r="K175">
            <v>-0.62963210702341144</v>
          </cell>
          <cell r="L175">
            <v>-0.18519608564491208</v>
          </cell>
        </row>
        <row r="176">
          <cell r="B176" t="str">
            <v>07.79.013221312</v>
          </cell>
          <cell r="C176" t="str">
            <v>07.79.0132</v>
          </cell>
          <cell r="D176" t="str">
            <v>21312</v>
          </cell>
          <cell r="E176" t="str">
            <v>VESTIDO WRAP LISTRA MARINHO E OFF</v>
          </cell>
          <cell r="F176" t="str">
            <v>EST LISTRA MARITIME E OFF </v>
          </cell>
          <cell r="G176" t="str">
            <v>P-M-G-GG</v>
          </cell>
          <cell r="H176">
            <v>398</v>
          </cell>
          <cell r="I176">
            <v>180.91</v>
          </cell>
          <cell r="J176">
            <v>147.41</v>
          </cell>
          <cell r="K176">
            <v>-0.62962311557788952</v>
          </cell>
          <cell r="L176">
            <v>-0.18517494886960373</v>
          </cell>
        </row>
        <row r="177">
          <cell r="B177" t="str">
            <v>07.80.007921316</v>
          </cell>
          <cell r="C177" t="str">
            <v>07.80.0079</v>
          </cell>
          <cell r="D177" t="str">
            <v>21316</v>
          </cell>
          <cell r="E177" t="str">
            <v>VESTIDO PAREO LISTRA SAFARI E MODART</v>
          </cell>
          <cell r="F177" t="str">
            <v>EST LISTRA MODART E SAFARI </v>
          </cell>
          <cell r="G177" t="str">
            <v>P-M-G-GG</v>
          </cell>
          <cell r="H177">
            <v>398</v>
          </cell>
          <cell r="I177">
            <v>180.91</v>
          </cell>
          <cell r="J177">
            <v>147.41</v>
          </cell>
          <cell r="K177">
            <v>-0.62962311557788952</v>
          </cell>
          <cell r="L177">
            <v>-0.18517494886960373</v>
          </cell>
        </row>
        <row r="178">
          <cell r="B178" t="str">
            <v>07.80.008401035</v>
          </cell>
          <cell r="C178" t="str">
            <v>07.80.0084</v>
          </cell>
          <cell r="D178" t="str">
            <v>01035</v>
          </cell>
          <cell r="E178" t="str">
            <v>VESTIDO GOLINHA PRETO OFF E DUFFEL</v>
          </cell>
          <cell r="F178" t="str">
            <v>VERDE DUFFEL/PRETO/OFF</v>
          </cell>
          <cell r="G178" t="str">
            <v>P-M-G</v>
          </cell>
          <cell r="H178">
            <v>898</v>
          </cell>
          <cell r="I178">
            <v>408.18</v>
          </cell>
          <cell r="J178">
            <v>332.59</v>
          </cell>
          <cell r="K178">
            <v>-0.62963251670378617</v>
          </cell>
          <cell r="L178">
            <v>-0.18518790729580092</v>
          </cell>
        </row>
        <row r="179">
          <cell r="B179" t="str">
            <v>07.80.00890005</v>
          </cell>
          <cell r="C179" t="str">
            <v>07.80.0089</v>
          </cell>
          <cell r="D179" t="str">
            <v>0005</v>
          </cell>
          <cell r="E179" t="str">
            <v>VESTIDO SPORT GOLA ALTA PB</v>
          </cell>
          <cell r="F179" t="str">
            <v>PRETO/OFF WHITE</v>
          </cell>
          <cell r="G179" t="str">
            <v>P-M-G</v>
          </cell>
          <cell r="H179">
            <v>898</v>
          </cell>
          <cell r="I179">
            <v>408.18</v>
          </cell>
          <cell r="J179">
            <v>332.59</v>
          </cell>
          <cell r="K179">
            <v>-0.62963251670378617</v>
          </cell>
          <cell r="L179">
            <v>-0.18518790729580092</v>
          </cell>
        </row>
        <row r="180">
          <cell r="B180" t="str">
            <v>07.80.00900003</v>
          </cell>
          <cell r="C180" t="str">
            <v>07.80.0090</v>
          </cell>
          <cell r="D180" t="str">
            <v>0003</v>
          </cell>
          <cell r="E180" t="str">
            <v>VESTIDO FLOR LOCALIZADA OFF WHITE</v>
          </cell>
          <cell r="F180" t="str">
            <v>OFF WHITE</v>
          </cell>
          <cell r="G180" t="str">
            <v>P-M-G</v>
          </cell>
          <cell r="H180">
            <v>498</v>
          </cell>
          <cell r="I180">
            <v>226.36</v>
          </cell>
          <cell r="J180">
            <v>184.44</v>
          </cell>
          <cell r="K180">
            <v>-0.62963855421686743</v>
          </cell>
          <cell r="L180">
            <v>-0.18519172998763034</v>
          </cell>
        </row>
        <row r="181">
          <cell r="B181" t="str">
            <v>07.80.009121302</v>
          </cell>
          <cell r="C181" t="str">
            <v>07.80.0091</v>
          </cell>
          <cell r="D181" t="str">
            <v>21302</v>
          </cell>
          <cell r="E181" t="str">
            <v>VESTIDO PAREO LISTRA SEAGRASS E DUFFEL</v>
          </cell>
          <cell r="F181" t="str">
            <v>EST LISTRA SEAGRASS E DUFFEL </v>
          </cell>
          <cell r="G181" t="str">
            <v>P-M-G-GG</v>
          </cell>
          <cell r="H181">
            <v>398</v>
          </cell>
          <cell r="I181">
            <v>180.91</v>
          </cell>
          <cell r="J181">
            <v>147.41</v>
          </cell>
          <cell r="K181">
            <v>-0.62962311557788952</v>
          </cell>
          <cell r="L181">
            <v>-0.18517494886960373</v>
          </cell>
        </row>
        <row r="182">
          <cell r="B182" t="str">
            <v>07.93.17830005</v>
          </cell>
          <cell r="C182" t="str">
            <v>07.93.1783</v>
          </cell>
          <cell r="D182" t="str">
            <v>0005</v>
          </cell>
          <cell r="E182" t="str">
            <v>MACACAO MOLETINHO FIVELA PRETO</v>
          </cell>
          <cell r="F182" t="str">
            <v>PRETO</v>
          </cell>
          <cell r="G182" t="str">
            <v>P-M-G</v>
          </cell>
          <cell r="H182">
            <v>698</v>
          </cell>
          <cell r="I182">
            <v>317.27</v>
          </cell>
          <cell r="J182">
            <v>258.52</v>
          </cell>
          <cell r="K182">
            <v>-0.62962750716332383</v>
          </cell>
          <cell r="L182">
            <v>-0.18517351152015638</v>
          </cell>
        </row>
        <row r="183">
          <cell r="B183" t="str">
            <v>07.93.17870005</v>
          </cell>
          <cell r="C183" t="str">
            <v>07.93.1787</v>
          </cell>
          <cell r="D183" t="str">
            <v>0005</v>
          </cell>
          <cell r="E183" t="str">
            <v>MACACAO GOLA ALTA SEM MANGA PRETO</v>
          </cell>
          <cell r="F183" t="str">
            <v>PRETO</v>
          </cell>
          <cell r="G183" t="str">
            <v>P-M-G-GG</v>
          </cell>
          <cell r="H183">
            <v>548</v>
          </cell>
          <cell r="I183">
            <v>249.09</v>
          </cell>
          <cell r="J183">
            <v>202.96</v>
          </cell>
          <cell r="K183">
            <v>-0.62963503649635033</v>
          </cell>
          <cell r="L183">
            <v>-0.18519410654783408</v>
          </cell>
        </row>
        <row r="184">
          <cell r="B184" t="str">
            <v>07.93.178901036</v>
          </cell>
          <cell r="C184" t="str">
            <v>07.93.1789</v>
          </cell>
          <cell r="D184" t="str">
            <v>01036</v>
          </cell>
          <cell r="E184" t="str">
            <v>MACACAO MOLETINHO VERMELHO TERROSO</v>
          </cell>
          <cell r="F184" t="str">
            <v>VERMELHO TERROSO</v>
          </cell>
          <cell r="G184" t="str">
            <v>P-M-G</v>
          </cell>
          <cell r="H184">
            <v>548</v>
          </cell>
          <cell r="I184">
            <v>249.09</v>
          </cell>
          <cell r="J184">
            <v>202.96</v>
          </cell>
          <cell r="K184">
            <v>-0.62963503649635033</v>
          </cell>
          <cell r="L184">
            <v>-0.18519410654783408</v>
          </cell>
        </row>
        <row r="185">
          <cell r="B185" t="str">
            <v>25.05.280301040</v>
          </cell>
          <cell r="C185" t="str">
            <v>25.05.2803</v>
          </cell>
          <cell r="D185" t="str">
            <v>01040</v>
          </cell>
          <cell r="E185" t="str">
            <v>SHORT SARJA BOX OFF RASGOS COM REFORCO</v>
          </cell>
          <cell r="F185" t="str">
            <v>VERDE DUFFEL</v>
          </cell>
          <cell r="G185" t="str">
            <v>34-44</v>
          </cell>
          <cell r="H185">
            <v>348</v>
          </cell>
          <cell r="I185">
            <v>158.18</v>
          </cell>
          <cell r="J185">
            <v>128.88999999999999</v>
          </cell>
          <cell r="K185">
            <v>-0.62962643678160923</v>
          </cell>
          <cell r="L185">
            <v>-0.18516879504362127</v>
          </cell>
        </row>
        <row r="186">
          <cell r="B186" t="str">
            <v>25.31.004801026</v>
          </cell>
          <cell r="C186" t="str">
            <v>25.31.0048</v>
          </cell>
          <cell r="D186" t="str">
            <v>01026</v>
          </cell>
          <cell r="E186" t="str">
            <v>SAIA SARJA BASIC OFF RASGOS COM REFORCO</v>
          </cell>
          <cell r="F186" t="str">
            <v>BEGE SAND</v>
          </cell>
          <cell r="G186" t="str">
            <v>36-44</v>
          </cell>
          <cell r="H186">
            <v>348</v>
          </cell>
          <cell r="I186">
            <v>158.18</v>
          </cell>
          <cell r="J186">
            <v>128.88999999999999</v>
          </cell>
          <cell r="K186">
            <v>-0.62962643678160923</v>
          </cell>
          <cell r="L186">
            <v>-0.18516879504362127</v>
          </cell>
        </row>
        <row r="187">
          <cell r="B187" t="str">
            <v>25.31.004801035</v>
          </cell>
          <cell r="C187" t="str">
            <v>25.31.0048</v>
          </cell>
          <cell r="D187" t="str">
            <v>01035</v>
          </cell>
          <cell r="E187" t="str">
            <v>SAIA SARJA BASIC OFF RASGOS COM REFORCO</v>
          </cell>
          <cell r="F187" t="str">
            <v>VERDE MARCHE</v>
          </cell>
          <cell r="G187" t="str">
            <v>36-44</v>
          </cell>
          <cell r="H187">
            <v>348</v>
          </cell>
          <cell r="I187">
            <v>158.18</v>
          </cell>
          <cell r="J187">
            <v>128.88999999999999</v>
          </cell>
          <cell r="K187">
            <v>-0.62962643678160923</v>
          </cell>
          <cell r="L187">
            <v>-0.18516879504362127</v>
          </cell>
        </row>
        <row r="188">
          <cell r="B188" t="str">
            <v>04.69.171701035</v>
          </cell>
          <cell r="C188" t="str">
            <v>04.69.1717</v>
          </cell>
          <cell r="D188" t="str">
            <v>01035</v>
          </cell>
          <cell r="E188" t="str">
            <v>CALCA SARJA HIGH  SUPER AMARRACAO COS</v>
          </cell>
          <cell r="F188" t="str">
            <v>VERDE MARCHE</v>
          </cell>
          <cell r="G188" t="str">
            <v>36-44</v>
          </cell>
          <cell r="H188">
            <v>448</v>
          </cell>
          <cell r="I188">
            <v>203.64</v>
          </cell>
          <cell r="J188">
            <v>165.93</v>
          </cell>
          <cell r="K188">
            <v>-0.62962053571428567</v>
          </cell>
          <cell r="L188">
            <v>-0.18517972893341184</v>
          </cell>
        </row>
        <row r="189">
          <cell r="B189" t="str">
            <v>04.69.17280005</v>
          </cell>
          <cell r="C189" t="str">
            <v>04.69.1728</v>
          </cell>
          <cell r="D189" t="str">
            <v>0005</v>
          </cell>
          <cell r="E189" t="str">
            <v>CALCA BASIC SKINNY HIGH AMARRACAO</v>
          </cell>
          <cell r="F189" t="str">
            <v>PRETO</v>
          </cell>
          <cell r="G189" t="str">
            <v>36-44</v>
          </cell>
          <cell r="H189">
            <v>798</v>
          </cell>
          <cell r="I189">
            <v>362.73</v>
          </cell>
          <cell r="J189">
            <v>295.56</v>
          </cell>
          <cell r="K189">
            <v>-0.62962406015037597</v>
          </cell>
          <cell r="L189">
            <v>-0.18517905880406915</v>
          </cell>
        </row>
        <row r="190">
          <cell r="B190" t="str">
            <v>04.69.173001026</v>
          </cell>
          <cell r="C190" t="str">
            <v>04.69.1730</v>
          </cell>
          <cell r="D190" t="str">
            <v>01026</v>
          </cell>
          <cell r="E190" t="str">
            <v>CALCA BASIC SKINNY HIGH COLOR STONED</v>
          </cell>
          <cell r="F190" t="str">
            <v>BEGE SAND</v>
          </cell>
          <cell r="G190" t="str">
            <v>36-44</v>
          </cell>
          <cell r="H190">
            <v>298</v>
          </cell>
          <cell r="I190">
            <v>135.44999999999999</v>
          </cell>
          <cell r="J190">
            <v>110.37</v>
          </cell>
          <cell r="K190">
            <v>-0.62963087248322147</v>
          </cell>
          <cell r="L190">
            <v>-0.18516057585825019</v>
          </cell>
        </row>
        <row r="191">
          <cell r="B191" t="str">
            <v>04.69.173001032</v>
          </cell>
          <cell r="C191" t="str">
            <v>04.69.1730</v>
          </cell>
          <cell r="D191" t="str">
            <v>01032</v>
          </cell>
          <cell r="E191" t="str">
            <v>CALCA BASIC SKINNY HIGH COLOR STONED</v>
          </cell>
          <cell r="F191" t="str">
            <v>LARANJA MODART</v>
          </cell>
          <cell r="G191" t="str">
            <v>36-44</v>
          </cell>
          <cell r="H191">
            <v>298</v>
          </cell>
          <cell r="I191">
            <v>135.44999999999999</v>
          </cell>
          <cell r="J191">
            <v>110.37</v>
          </cell>
          <cell r="K191">
            <v>-0.62963087248322147</v>
          </cell>
          <cell r="L191">
            <v>-0.18516057585825019</v>
          </cell>
        </row>
        <row r="192">
          <cell r="B192" t="str">
            <v>04.69.173001035</v>
          </cell>
          <cell r="C192" t="str">
            <v>04.69.1730</v>
          </cell>
          <cell r="D192" t="str">
            <v>01035</v>
          </cell>
          <cell r="E192" t="str">
            <v>CALCA BASIC SKINNY HIGH COLOR STONED</v>
          </cell>
          <cell r="F192" t="str">
            <v>VERDE MARCHE</v>
          </cell>
          <cell r="G192" t="str">
            <v>36-44</v>
          </cell>
          <cell r="H192">
            <v>298</v>
          </cell>
          <cell r="I192">
            <v>135.44999999999999</v>
          </cell>
          <cell r="J192">
            <v>110.37</v>
          </cell>
          <cell r="K192">
            <v>-0.62963087248322147</v>
          </cell>
          <cell r="L192">
            <v>-0.18516057585825019</v>
          </cell>
        </row>
        <row r="193">
          <cell r="B193" t="str">
            <v>04.69.17310005</v>
          </cell>
          <cell r="C193" t="str">
            <v>04.69.1731</v>
          </cell>
          <cell r="D193" t="str">
            <v>0005</v>
          </cell>
          <cell r="E193" t="str">
            <v>CALCA BASIC SKINNY LONG HIGH PREMIUM COL</v>
          </cell>
          <cell r="F193" t="str">
            <v>PRETO</v>
          </cell>
          <cell r="G193" t="str">
            <v>36-44</v>
          </cell>
          <cell r="H193">
            <v>498</v>
          </cell>
          <cell r="I193">
            <v>226.36</v>
          </cell>
          <cell r="J193">
            <v>184.44</v>
          </cell>
          <cell r="K193">
            <v>-0.62963855421686743</v>
          </cell>
          <cell r="L193">
            <v>-0.18519172998763034</v>
          </cell>
        </row>
        <row r="194">
          <cell r="B194" t="str">
            <v>04.69.173101031</v>
          </cell>
          <cell r="C194" t="str">
            <v>04.69.1731</v>
          </cell>
          <cell r="D194" t="str">
            <v>01031</v>
          </cell>
          <cell r="E194" t="str">
            <v>CALCA BASIC SKINNY LONG HIGH PREMIUM COL</v>
          </cell>
          <cell r="F194" t="str">
            <v>BEGE SAUTERN</v>
          </cell>
          <cell r="G194" t="str">
            <v>36-44</v>
          </cell>
          <cell r="H194">
            <v>498</v>
          </cell>
          <cell r="I194">
            <v>226.36</v>
          </cell>
          <cell r="J194">
            <v>184.44</v>
          </cell>
          <cell r="K194">
            <v>-0.62963855421686743</v>
          </cell>
          <cell r="L194">
            <v>-0.18519172998763034</v>
          </cell>
        </row>
        <row r="195">
          <cell r="B195" t="str">
            <v>04.69.173201016</v>
          </cell>
          <cell r="C195" t="str">
            <v>04.69.1732</v>
          </cell>
          <cell r="D195" t="str">
            <v>01016</v>
          </cell>
          <cell r="E195" t="str">
            <v>CALCA BASIC SKINNY MIDI COLOR</v>
          </cell>
          <cell r="F195" t="str">
            <v>CINZA SEAGRASS</v>
          </cell>
          <cell r="G195" t="str">
            <v>36-44</v>
          </cell>
          <cell r="H195">
            <v>298</v>
          </cell>
          <cell r="I195">
            <v>135.44999999999999</v>
          </cell>
          <cell r="J195">
            <v>110.37</v>
          </cell>
          <cell r="K195">
            <v>-0.62963087248322147</v>
          </cell>
          <cell r="L195">
            <v>-0.18516057585825019</v>
          </cell>
        </row>
        <row r="196">
          <cell r="B196" t="str">
            <v>04.69.173201040</v>
          </cell>
          <cell r="C196" t="str">
            <v>04.69.1732</v>
          </cell>
          <cell r="D196" t="str">
            <v>01040</v>
          </cell>
          <cell r="E196" t="str">
            <v>CALCA BASIC SKINNY MIDI COLOR</v>
          </cell>
          <cell r="F196" t="str">
            <v>VERDE DUFFEL</v>
          </cell>
          <cell r="G196" t="str">
            <v>36-44</v>
          </cell>
          <cell r="H196">
            <v>298</v>
          </cell>
          <cell r="I196">
            <v>135.44999999999999</v>
          </cell>
          <cell r="J196">
            <v>110.37</v>
          </cell>
          <cell r="K196">
            <v>-0.62963087248322147</v>
          </cell>
          <cell r="L196">
            <v>-0.18516057585825019</v>
          </cell>
        </row>
        <row r="197">
          <cell r="B197" t="str">
            <v>04.81.007101035</v>
          </cell>
          <cell r="C197" t="str">
            <v>04.81.0071</v>
          </cell>
          <cell r="D197" t="str">
            <v>01035</v>
          </cell>
          <cell r="E197" t="str">
            <v>CALCA SARJA BOY BOYFRIEND OFF RASGOS REF</v>
          </cell>
          <cell r="F197" t="str">
            <v>VERDE MARCHE</v>
          </cell>
          <cell r="G197" t="str">
            <v>36-44</v>
          </cell>
          <cell r="H197">
            <v>398</v>
          </cell>
          <cell r="I197">
            <v>180.91</v>
          </cell>
          <cell r="J197">
            <v>147.41</v>
          </cell>
          <cell r="K197">
            <v>-0.62962311557788952</v>
          </cell>
          <cell r="L197">
            <v>-0.18517494886960373</v>
          </cell>
        </row>
        <row r="198">
          <cell r="B198" t="str">
            <v>04.81.00760005</v>
          </cell>
          <cell r="C198" t="str">
            <v>04.81.0076</v>
          </cell>
          <cell r="D198" t="str">
            <v>0005</v>
          </cell>
          <cell r="E198" t="str">
            <v>CALCA JOGGER ESPORTE NYLON E SARJA</v>
          </cell>
          <cell r="F198" t="str">
            <v>PRETO</v>
          </cell>
          <cell r="G198" t="str">
            <v>36-44</v>
          </cell>
          <cell r="H198">
            <v>498</v>
          </cell>
          <cell r="I198">
            <v>226.36</v>
          </cell>
          <cell r="J198">
            <v>184.44</v>
          </cell>
          <cell r="K198">
            <v>-0.62963855421686743</v>
          </cell>
          <cell r="L198">
            <v>-0.18519172998763034</v>
          </cell>
        </row>
        <row r="199">
          <cell r="B199" t="str">
            <v>25.01.28620300</v>
          </cell>
          <cell r="C199" t="str">
            <v>25.01.2862</v>
          </cell>
          <cell r="D199" t="str">
            <v>0300</v>
          </cell>
          <cell r="E199" t="str">
            <v>CALCA CARROT UTILITARIA</v>
          </cell>
          <cell r="F199" t="str">
            <v>VERDE DUFFEL</v>
          </cell>
          <cell r="G199" t="str">
            <v>36-44</v>
          </cell>
          <cell r="H199">
            <v>598</v>
          </cell>
          <cell r="I199">
            <v>271.82</v>
          </cell>
          <cell r="J199">
            <v>221.48</v>
          </cell>
          <cell r="K199">
            <v>-0.62963210702341144</v>
          </cell>
          <cell r="L199">
            <v>-0.18519608564491208</v>
          </cell>
        </row>
        <row r="200">
          <cell r="B200" t="str">
            <v>25.30.003601026</v>
          </cell>
          <cell r="C200" t="str">
            <v>25.30.0036</v>
          </cell>
          <cell r="D200" t="str">
            <v>01026</v>
          </cell>
          <cell r="E200" t="str">
            <v>CALCA DE SARJA CARGO MAQUINETADO</v>
          </cell>
          <cell r="F200" t="str">
            <v>BEGE SAND</v>
          </cell>
          <cell r="G200" t="str">
            <v>36-44</v>
          </cell>
          <cell r="H200">
            <v>498</v>
          </cell>
          <cell r="I200">
            <v>226.36</v>
          </cell>
          <cell r="J200">
            <v>184.44</v>
          </cell>
          <cell r="K200">
            <v>-0.62963855421686743</v>
          </cell>
          <cell r="L200">
            <v>-0.18519172998763034</v>
          </cell>
        </row>
        <row r="201">
          <cell r="B201" t="str">
            <v>25.30.003601040</v>
          </cell>
          <cell r="C201" t="str">
            <v>25.30.0036</v>
          </cell>
          <cell r="D201" t="str">
            <v>01040</v>
          </cell>
          <cell r="E201" t="str">
            <v>CALCA DE SARJA CARGO MAQUINETADO</v>
          </cell>
          <cell r="F201" t="str">
            <v>VERDE DUFFEL</v>
          </cell>
          <cell r="G201" t="str">
            <v>36-44</v>
          </cell>
          <cell r="H201">
            <v>498</v>
          </cell>
          <cell r="I201">
            <v>226.36</v>
          </cell>
          <cell r="J201">
            <v>184.44</v>
          </cell>
          <cell r="K201">
            <v>-0.62963855421686743</v>
          </cell>
          <cell r="L201">
            <v>-0.18519172998763034</v>
          </cell>
        </row>
        <row r="202">
          <cell r="B202" t="str">
            <v>03.01.096301035</v>
          </cell>
          <cell r="C202" t="str">
            <v>03.01.0963</v>
          </cell>
          <cell r="D202" t="str">
            <v>01035</v>
          </cell>
          <cell r="E202" t="str">
            <v>JAQUETA DE SARJA COM BOTOES</v>
          </cell>
          <cell r="F202" t="str">
            <v>VERDE MARCHE</v>
          </cell>
          <cell r="G202" t="str">
            <v>P-M-G</v>
          </cell>
          <cell r="H202">
            <v>498</v>
          </cell>
          <cell r="I202">
            <v>226.36</v>
          </cell>
          <cell r="J202">
            <v>184.44</v>
          </cell>
          <cell r="K202">
            <v>-0.62963855421686743</v>
          </cell>
          <cell r="L202">
            <v>-0.18519172998763034</v>
          </cell>
        </row>
        <row r="203">
          <cell r="B203" t="str">
            <v>08.04.016601024</v>
          </cell>
          <cell r="C203" t="str">
            <v>08.04.0166</v>
          </cell>
          <cell r="D203" t="str">
            <v>01024</v>
          </cell>
          <cell r="E203" t="str">
            <v>MACACAO SARJA  BOLSO FRONTAL</v>
          </cell>
          <cell r="F203" t="str">
            <v>BEGE SAFARI</v>
          </cell>
          <cell r="G203" t="str">
            <v>P-M-G</v>
          </cell>
          <cell r="H203">
            <v>498</v>
          </cell>
          <cell r="I203">
            <v>226.36</v>
          </cell>
          <cell r="J203">
            <v>184.44</v>
          </cell>
          <cell r="K203">
            <v>-0.62963855421686743</v>
          </cell>
          <cell r="L203">
            <v>-0.18519172998763034</v>
          </cell>
        </row>
        <row r="204">
          <cell r="B204" t="str">
            <v>04.13.091021015</v>
          </cell>
          <cell r="C204" t="str">
            <v>04.13.0910</v>
          </cell>
          <cell r="D204">
            <v>21015</v>
          </cell>
          <cell r="E204" t="str">
            <v>CALCA SEDA JUPITER</v>
          </cell>
          <cell r="F204" t="str">
            <v>EST FIG CONSTELACAO PRETO</v>
          </cell>
          <cell r="G204" t="str">
            <v>36-44</v>
          </cell>
          <cell r="H204">
            <v>1198</v>
          </cell>
          <cell r="I204">
            <v>544.54999999999995</v>
          </cell>
          <cell r="J204">
            <v>443.7</v>
          </cell>
          <cell r="K204">
            <v>-0.62963272120200342</v>
          </cell>
          <cell r="L204">
            <v>-0.18519878799008349</v>
          </cell>
        </row>
        <row r="205">
          <cell r="B205" t="str">
            <v>04.13.092421104</v>
          </cell>
          <cell r="C205" t="str">
            <v>04.13.0924</v>
          </cell>
          <cell r="D205">
            <v>21104</v>
          </cell>
          <cell r="E205" t="str">
            <v>CALCA SEDA ASTROS</v>
          </cell>
          <cell r="F205" t="str">
            <v>EST TEXTURA MAPA PB G</v>
          </cell>
          <cell r="G205" t="str">
            <v>36-44</v>
          </cell>
          <cell r="H205">
            <v>1398</v>
          </cell>
          <cell r="I205">
            <v>635.45000000000005</v>
          </cell>
          <cell r="J205">
            <v>517.78</v>
          </cell>
          <cell r="K205">
            <v>-0.62962804005722461</v>
          </cell>
          <cell r="L205">
            <v>-0.18517585962703609</v>
          </cell>
        </row>
        <row r="206">
          <cell r="B206" t="str">
            <v>25.01.284721096</v>
          </cell>
          <cell r="C206" t="str">
            <v>25.01.2847</v>
          </cell>
          <cell r="D206">
            <v>21096</v>
          </cell>
          <cell r="E206" t="str">
            <v>CALCA TAPECARIA GEOMETRICA</v>
          </cell>
          <cell r="F206" t="str">
            <v>EST TAPECARIA GEOMETRICO LARANJA</v>
          </cell>
          <cell r="G206" t="str">
            <v>36-44</v>
          </cell>
          <cell r="H206">
            <v>898</v>
          </cell>
          <cell r="I206">
            <v>408.18</v>
          </cell>
          <cell r="J206">
            <v>332.59</v>
          </cell>
          <cell r="K206">
            <v>-0.62963251670378617</v>
          </cell>
          <cell r="L206">
            <v>-0.18518790729580092</v>
          </cell>
        </row>
        <row r="207">
          <cell r="B207" t="str">
            <v>24.01.161521096</v>
          </cell>
          <cell r="C207" t="str">
            <v>24.01.1615</v>
          </cell>
          <cell r="D207">
            <v>21096</v>
          </cell>
          <cell r="E207" t="str">
            <v>CAMISA AMARRACAO TAPECARIA GEOMETRICO</v>
          </cell>
          <cell r="F207" t="str">
            <v>EST TAPECARIA GEOMETRICO LARANJA</v>
          </cell>
          <cell r="G207" t="str">
            <v>36-44</v>
          </cell>
          <cell r="H207">
            <v>698</v>
          </cell>
          <cell r="I207">
            <v>317.27</v>
          </cell>
          <cell r="J207">
            <v>258.52</v>
          </cell>
          <cell r="K207">
            <v>-0.62962750716332383</v>
          </cell>
          <cell r="L207">
            <v>-0.18517351152015638</v>
          </cell>
        </row>
        <row r="208">
          <cell r="B208" t="str">
            <v>24.01.163021104</v>
          </cell>
          <cell r="C208" t="str">
            <v>24.01.1630</v>
          </cell>
          <cell r="D208">
            <v>21104</v>
          </cell>
          <cell r="E208" t="str">
            <v>CAMISA NEBLINA</v>
          </cell>
          <cell r="F208" t="str">
            <v>EST TEXTURA MAPA PB G</v>
          </cell>
          <cell r="G208" t="str">
            <v>36-44</v>
          </cell>
          <cell r="H208">
            <v>698</v>
          </cell>
          <cell r="I208">
            <v>317.27</v>
          </cell>
          <cell r="J208">
            <v>258.52</v>
          </cell>
          <cell r="K208">
            <v>-0.62962750716332383</v>
          </cell>
          <cell r="L208">
            <v>-0.18517351152015638</v>
          </cell>
        </row>
        <row r="209">
          <cell r="B209" t="str">
            <v>24.01.163101032</v>
          </cell>
          <cell r="C209" t="str">
            <v>24.01.1631</v>
          </cell>
          <cell r="D209" t="str">
            <v>01032</v>
          </cell>
          <cell r="E209" t="str">
            <v>CAMISA SEDA LEO</v>
          </cell>
          <cell r="F209" t="str">
            <v>LARANJA MODART</v>
          </cell>
          <cell r="G209" t="str">
            <v>36-44</v>
          </cell>
          <cell r="H209">
            <v>798</v>
          </cell>
          <cell r="I209">
            <v>362.73</v>
          </cell>
          <cell r="J209">
            <v>295.56</v>
          </cell>
          <cell r="K209">
            <v>-0.62962406015037597</v>
          </cell>
          <cell r="L209">
            <v>-0.18517905880406915</v>
          </cell>
        </row>
        <row r="210">
          <cell r="B210" t="str">
            <v>24.01.163721015</v>
          </cell>
          <cell r="C210" t="str">
            <v>24.01.1637</v>
          </cell>
          <cell r="D210">
            <v>21015</v>
          </cell>
          <cell r="E210" t="str">
            <v>CAMISA CONSTELACAO</v>
          </cell>
          <cell r="F210" t="str">
            <v>EST FIG CONSTELACAO PRETO</v>
          </cell>
          <cell r="G210" t="str">
            <v>36-44</v>
          </cell>
          <cell r="H210">
            <v>698</v>
          </cell>
          <cell r="I210">
            <v>317.27</v>
          </cell>
          <cell r="J210">
            <v>258.52</v>
          </cell>
          <cell r="K210">
            <v>-0.62962750716332383</v>
          </cell>
          <cell r="L210">
            <v>-0.18517351152015638</v>
          </cell>
        </row>
        <row r="211">
          <cell r="B211" t="str">
            <v>24.01.164021102</v>
          </cell>
          <cell r="C211" t="str">
            <v>24.01.1640</v>
          </cell>
          <cell r="D211">
            <v>21102</v>
          </cell>
          <cell r="E211" t="str">
            <v>CAMISA ESFERA</v>
          </cell>
          <cell r="F211" t="str">
            <v>EST TEXTURA MAPA EXUBERANCE E LAZULI G</v>
          </cell>
          <cell r="G211" t="str">
            <v>P-M-G</v>
          </cell>
          <cell r="H211">
            <v>698</v>
          </cell>
          <cell r="I211">
            <v>317.27</v>
          </cell>
          <cell r="J211">
            <v>258.52</v>
          </cell>
          <cell r="K211">
            <v>-0.62962750716332383</v>
          </cell>
          <cell r="L211">
            <v>-0.18517351152015638</v>
          </cell>
        </row>
        <row r="212">
          <cell r="B212" t="str">
            <v>52.13.354521104</v>
          </cell>
          <cell r="C212" t="str">
            <v>52.13.3545</v>
          </cell>
          <cell r="D212">
            <v>21104</v>
          </cell>
          <cell r="E212" t="str">
            <v>TOP CRUZEIRO DO SUL</v>
          </cell>
          <cell r="F212" t="str">
            <v>EST TEXTURA MAPA PB G</v>
          </cell>
          <cell r="G212" t="str">
            <v>36-44</v>
          </cell>
          <cell r="H212">
            <v>598</v>
          </cell>
          <cell r="I212">
            <v>271.82</v>
          </cell>
          <cell r="J212">
            <v>221.48</v>
          </cell>
          <cell r="K212">
            <v>-0.62963210702341144</v>
          </cell>
          <cell r="L212">
            <v>-0.18519608564491208</v>
          </cell>
        </row>
        <row r="213">
          <cell r="B213" t="str">
            <v>03.14.008921096</v>
          </cell>
          <cell r="C213" t="str">
            <v>03.14.0089</v>
          </cell>
          <cell r="D213">
            <v>21096</v>
          </cell>
          <cell r="E213" t="str">
            <v>KIMONO TAPECARIA GEOMETRICO</v>
          </cell>
          <cell r="F213" t="str">
            <v>EST TAPECARIA GEOMETRICO LARANJA</v>
          </cell>
          <cell r="G213" t="str">
            <v>UNICO</v>
          </cell>
          <cell r="H213">
            <v>898</v>
          </cell>
          <cell r="I213">
            <v>408.18</v>
          </cell>
          <cell r="J213">
            <v>332.59</v>
          </cell>
          <cell r="K213">
            <v>-0.62963251670378617</v>
          </cell>
          <cell r="L213">
            <v>-0.18518790729580092</v>
          </cell>
        </row>
        <row r="214">
          <cell r="B214" t="str">
            <v>52.10.40480005</v>
          </cell>
          <cell r="C214" t="str">
            <v>52.10.4048</v>
          </cell>
          <cell r="D214" t="str">
            <v>0005</v>
          </cell>
          <cell r="E214" t="str">
            <v>TOP POIS LUREX GOLA ALTA</v>
          </cell>
          <cell r="F214" t="str">
            <v>PRETO</v>
          </cell>
          <cell r="G214" t="str">
            <v>36 A 44</v>
          </cell>
          <cell r="H214">
            <v>798</v>
          </cell>
          <cell r="I214">
            <v>362.73</v>
          </cell>
          <cell r="J214">
            <v>295.56</v>
          </cell>
          <cell r="K214">
            <v>-0.62962406015037597</v>
          </cell>
          <cell r="L214">
            <v>-0.18517905880406915</v>
          </cell>
        </row>
        <row r="215">
          <cell r="B215" t="str">
            <v>52.10.417421015</v>
          </cell>
          <cell r="C215" t="str">
            <v>52.10.4174</v>
          </cell>
          <cell r="D215">
            <v>21015</v>
          </cell>
          <cell r="E215" t="str">
            <v>BODY GEMINI CONSTELACAO</v>
          </cell>
          <cell r="F215" t="str">
            <v>EST FIG CONSTELACAO PRETO</v>
          </cell>
          <cell r="G215" t="str">
            <v>36-44</v>
          </cell>
          <cell r="H215">
            <v>698</v>
          </cell>
          <cell r="I215">
            <v>317.27</v>
          </cell>
          <cell r="J215">
            <v>258.52</v>
          </cell>
          <cell r="K215">
            <v>-0.62962750716332383</v>
          </cell>
          <cell r="L215">
            <v>-0.18517351152015638</v>
          </cell>
        </row>
        <row r="216">
          <cell r="B216" t="str">
            <v>52.10.417721104</v>
          </cell>
          <cell r="C216" t="str">
            <v>52.10.4177</v>
          </cell>
          <cell r="D216">
            <v>21104</v>
          </cell>
          <cell r="E216" t="str">
            <v>TOP TELESCOPIO</v>
          </cell>
          <cell r="F216" t="str">
            <v>EST TEXTURA MAPA PB G</v>
          </cell>
          <cell r="G216" t="str">
            <v>36-42</v>
          </cell>
          <cell r="H216">
            <v>458</v>
          </cell>
          <cell r="I216">
            <v>208.18</v>
          </cell>
          <cell r="J216">
            <v>169.63</v>
          </cell>
          <cell r="K216">
            <v>-0.62962882096069872</v>
          </cell>
          <cell r="L216">
            <v>-0.18517628974925548</v>
          </cell>
        </row>
        <row r="217">
          <cell r="B217" t="str">
            <v>52.13.352621096</v>
          </cell>
          <cell r="C217" t="str">
            <v>52.13.3526</v>
          </cell>
          <cell r="D217">
            <v>21096</v>
          </cell>
          <cell r="E217" t="str">
            <v>TOP ALCINHA TAPECARIA GEOMETRICO</v>
          </cell>
          <cell r="F217" t="str">
            <v>EST TAPECARIA GEOMETRICO LARANJA</v>
          </cell>
          <cell r="G217" t="str">
            <v>36-44</v>
          </cell>
          <cell r="H217">
            <v>398</v>
          </cell>
          <cell r="I217">
            <v>180.91</v>
          </cell>
          <cell r="J217">
            <v>147.41</v>
          </cell>
          <cell r="K217">
            <v>-0.62962311557788952</v>
          </cell>
          <cell r="L217">
            <v>-0.18517494886960373</v>
          </cell>
        </row>
        <row r="218">
          <cell r="B218" t="str">
            <v>52.13.352721046</v>
          </cell>
          <cell r="C218" t="str">
            <v>52.13.3527</v>
          </cell>
          <cell r="D218">
            <v>21046</v>
          </cell>
          <cell r="E218" t="str">
            <v>TOP GOLA ALTA GRAVATARIA SEED ORIGINAL</v>
          </cell>
          <cell r="F218" t="str">
            <v>EST GRAVATARIA SEED ORIGINAL</v>
          </cell>
          <cell r="G218" t="str">
            <v>36-44</v>
          </cell>
          <cell r="H218">
            <v>458</v>
          </cell>
          <cell r="I218">
            <v>208.18</v>
          </cell>
          <cell r="J218">
            <v>169.63</v>
          </cell>
          <cell r="K218">
            <v>-0.62962882096069872</v>
          </cell>
          <cell r="L218">
            <v>-0.18517628974925548</v>
          </cell>
        </row>
        <row r="219">
          <cell r="B219" t="str">
            <v>52.13.353121015</v>
          </cell>
          <cell r="C219" t="str">
            <v>52.13.3531</v>
          </cell>
          <cell r="D219">
            <v>21015</v>
          </cell>
          <cell r="E219" t="str">
            <v>TOP MELISSA CONSTELACAO</v>
          </cell>
          <cell r="F219" t="str">
            <v>EST FIG CONSTELACAO PRETO</v>
          </cell>
          <cell r="G219" t="str">
            <v>36-44</v>
          </cell>
          <cell r="H219">
            <v>498</v>
          </cell>
          <cell r="I219">
            <v>226.36</v>
          </cell>
          <cell r="J219">
            <v>184.44</v>
          </cell>
          <cell r="K219">
            <v>-0.62963855421686743</v>
          </cell>
          <cell r="L219">
            <v>-0.18519172998763034</v>
          </cell>
        </row>
        <row r="220">
          <cell r="B220" t="str">
            <v>52.13.353321102</v>
          </cell>
          <cell r="C220" t="str">
            <v>52.13.3533</v>
          </cell>
          <cell r="D220">
            <v>21102</v>
          </cell>
          <cell r="E220" t="str">
            <v>TOP WIZZI MAPA</v>
          </cell>
          <cell r="F220" t="str">
            <v>EST TEXTURA MAPA EXUBERANCE E LAZULI G</v>
          </cell>
          <cell r="G220" t="str">
            <v>36-44</v>
          </cell>
          <cell r="H220">
            <v>398</v>
          </cell>
          <cell r="I220">
            <v>180.91</v>
          </cell>
          <cell r="J220">
            <v>147.41</v>
          </cell>
          <cell r="K220">
            <v>-0.62962311557788952</v>
          </cell>
          <cell r="L220">
            <v>-0.18517494886960373</v>
          </cell>
        </row>
        <row r="221">
          <cell r="B221" t="str">
            <v>52.13.353621361</v>
          </cell>
          <cell r="C221" t="str">
            <v>52.13.3536</v>
          </cell>
          <cell r="D221">
            <v>21361</v>
          </cell>
          <cell r="E221" t="str">
            <v>BATA FLORAL ORIENTAL DUFFY</v>
          </cell>
          <cell r="F221" t="str">
            <v>EST FLORAL ORIENTAL DUFYY</v>
          </cell>
          <cell r="G221" t="str">
            <v>36-44</v>
          </cell>
          <cell r="H221">
            <v>598</v>
          </cell>
          <cell r="I221">
            <v>271.82</v>
          </cell>
          <cell r="J221">
            <v>221.48</v>
          </cell>
          <cell r="K221">
            <v>-0.62963210702341144</v>
          </cell>
          <cell r="L221">
            <v>-0.18519608564491208</v>
          </cell>
        </row>
        <row r="222">
          <cell r="B222" t="str">
            <v>52.13.353721103</v>
          </cell>
          <cell r="C222" t="str">
            <v>52.13.3537</v>
          </cell>
          <cell r="D222">
            <v>21103</v>
          </cell>
          <cell r="E222" t="str">
            <v>BATA TEXTURA MAPA LENNON</v>
          </cell>
          <cell r="F222" t="str">
            <v>EST TEXTURA MAPA LENNON</v>
          </cell>
          <cell r="G222" t="str">
            <v>36-44</v>
          </cell>
          <cell r="H222">
            <v>698</v>
          </cell>
          <cell r="I222">
            <v>317.27</v>
          </cell>
          <cell r="J222">
            <v>258.52</v>
          </cell>
          <cell r="K222">
            <v>-0.62962750716332383</v>
          </cell>
          <cell r="L222">
            <v>-0.18517351152015638</v>
          </cell>
        </row>
        <row r="223">
          <cell r="B223" t="str">
            <v>52.13.355721103</v>
          </cell>
          <cell r="C223" t="str">
            <v>52.13.3557</v>
          </cell>
          <cell r="D223" t="str">
            <v>21103</v>
          </cell>
          <cell r="E223" t="str">
            <v>TOP VENUS TEXTURA MAPA</v>
          </cell>
          <cell r="F223" t="str">
            <v>EST TEXTURA MAPA LENNON</v>
          </cell>
          <cell r="G223" t="str">
            <v>36-44</v>
          </cell>
          <cell r="H223">
            <v>498</v>
          </cell>
          <cell r="I223">
            <v>226.36</v>
          </cell>
          <cell r="J223">
            <v>184.44</v>
          </cell>
          <cell r="K223">
            <v>-0.62963855421686743</v>
          </cell>
          <cell r="L223">
            <v>-0.18519172998763034</v>
          </cell>
        </row>
        <row r="224">
          <cell r="B224" t="str">
            <v>52.39.016221102</v>
          </cell>
          <cell r="C224" t="str">
            <v>52.39.0162</v>
          </cell>
          <cell r="D224">
            <v>21102</v>
          </cell>
          <cell r="E224" t="str">
            <v>BODY MAPA</v>
          </cell>
          <cell r="F224" t="str">
            <v>EST TEXTURA MAPA EXUBERANCE E LAZULI G</v>
          </cell>
          <cell r="G224" t="str">
            <v>36-44</v>
          </cell>
          <cell r="H224">
            <v>598</v>
          </cell>
          <cell r="I224">
            <v>271.82</v>
          </cell>
          <cell r="J224">
            <v>221.48</v>
          </cell>
          <cell r="K224">
            <v>-0.62963210702341144</v>
          </cell>
          <cell r="L224">
            <v>-0.18519608564491208</v>
          </cell>
        </row>
        <row r="225">
          <cell r="B225" t="str">
            <v>69.11.066301032</v>
          </cell>
          <cell r="C225" t="str">
            <v>69.11.0663</v>
          </cell>
          <cell r="D225" t="str">
            <v>01032</v>
          </cell>
          <cell r="E225" t="str">
            <v>TOP SEDA NASA LARANJA</v>
          </cell>
          <cell r="F225" t="str">
            <v>LARANJA MODART</v>
          </cell>
          <cell r="G225" t="str">
            <v>36-44</v>
          </cell>
          <cell r="H225">
            <v>558</v>
          </cell>
          <cell r="I225">
            <v>253.64</v>
          </cell>
          <cell r="J225">
            <v>206.67</v>
          </cell>
          <cell r="K225">
            <v>-0.62962365591397851</v>
          </cell>
          <cell r="L225">
            <v>-0.18518372496451663</v>
          </cell>
        </row>
        <row r="226">
          <cell r="B226" t="str">
            <v>69.11.06656228</v>
          </cell>
          <cell r="C226" t="str">
            <v>69.11.0665</v>
          </cell>
          <cell r="D226" t="str">
            <v>6228</v>
          </cell>
          <cell r="E226" t="str">
            <v>TSHIRT SEDA SOL DECOTE ZIPER VERMELHA</v>
          </cell>
          <cell r="F226" t="str">
            <v>VERMELHO TULIPA</v>
          </cell>
          <cell r="G226" t="str">
            <v>36-44</v>
          </cell>
          <cell r="H226">
            <v>698</v>
          </cell>
          <cell r="I226">
            <v>317.27</v>
          </cell>
          <cell r="J226">
            <v>258.52</v>
          </cell>
          <cell r="K226">
            <v>-0.62962750716332383</v>
          </cell>
          <cell r="L226">
            <v>-0.18517351152015638</v>
          </cell>
        </row>
        <row r="227">
          <cell r="B227" t="str">
            <v>07.02.584821096</v>
          </cell>
          <cell r="C227" t="str">
            <v>07.02.5848</v>
          </cell>
          <cell r="D227">
            <v>21096</v>
          </cell>
          <cell r="E227" t="str">
            <v>VESTIDO CURTO OMBRO A OMBRO TAPECARIA</v>
          </cell>
          <cell r="F227" t="str">
            <v>EST TAPECARIA GEOMETRICO LARANJA</v>
          </cell>
          <cell r="G227" t="str">
            <v>36-44</v>
          </cell>
          <cell r="H227">
            <v>998</v>
          </cell>
          <cell r="I227">
            <v>453.64</v>
          </cell>
          <cell r="J227">
            <v>369.63</v>
          </cell>
          <cell r="K227">
            <v>-0.629629258517034</v>
          </cell>
          <cell r="L227">
            <v>-0.18519090027334451</v>
          </cell>
        </row>
        <row r="228">
          <cell r="B228" t="str">
            <v>07.02.584901035</v>
          </cell>
          <cell r="C228" t="str">
            <v>07.02.5849</v>
          </cell>
          <cell r="D228" t="str">
            <v>01035</v>
          </cell>
          <cell r="E228" t="str">
            <v>VESTIDO CURTO VERDE MARCHE</v>
          </cell>
          <cell r="F228" t="str">
            <v>VERDE MARCHE</v>
          </cell>
          <cell r="G228" t="str">
            <v>36-42</v>
          </cell>
          <cell r="H228">
            <v>1498</v>
          </cell>
          <cell r="I228">
            <v>680.91</v>
          </cell>
          <cell r="J228">
            <v>554.80999999999995</v>
          </cell>
          <cell r="K228">
            <v>-0.62963284379172235</v>
          </cell>
          <cell r="L228">
            <v>-0.18519334420114264</v>
          </cell>
        </row>
        <row r="229">
          <cell r="B229" t="str">
            <v>07.02.585021046</v>
          </cell>
          <cell r="C229" t="str">
            <v>07.02.5850</v>
          </cell>
          <cell r="D229">
            <v>21046</v>
          </cell>
          <cell r="E229" t="str">
            <v>VESTIDO CURTO GRAVATARIA SEED ORIGINAL</v>
          </cell>
          <cell r="F229" t="str">
            <v>EST GRAVATARIA SEED ORIGINAL</v>
          </cell>
          <cell r="G229" t="str">
            <v>36-44</v>
          </cell>
          <cell r="H229">
            <v>898</v>
          </cell>
          <cell r="I229">
            <v>408.18</v>
          </cell>
          <cell r="J229">
            <v>332.59</v>
          </cell>
          <cell r="K229">
            <v>-0.62963251670378617</v>
          </cell>
          <cell r="L229">
            <v>-0.18518790729580092</v>
          </cell>
        </row>
        <row r="230">
          <cell r="B230" t="str">
            <v>07.02.586021015</v>
          </cell>
          <cell r="C230" t="str">
            <v>07.02.5860</v>
          </cell>
          <cell r="D230">
            <v>21015</v>
          </cell>
          <cell r="E230" t="str">
            <v>VESTIDO UNIVERSO</v>
          </cell>
          <cell r="F230" t="str">
            <v>EST FIG CONSTELACAO PRETO</v>
          </cell>
          <cell r="G230" t="str">
            <v>36-44</v>
          </cell>
          <cell r="H230">
            <v>998</v>
          </cell>
          <cell r="I230">
            <v>453.64</v>
          </cell>
          <cell r="J230">
            <v>369.63</v>
          </cell>
          <cell r="K230">
            <v>-0.629629258517034</v>
          </cell>
          <cell r="L230">
            <v>-0.18519090027334451</v>
          </cell>
        </row>
        <row r="231">
          <cell r="B231" t="str">
            <v>07.02.586121102</v>
          </cell>
          <cell r="C231" t="str">
            <v>07.02.5861</v>
          </cell>
          <cell r="D231">
            <v>21102</v>
          </cell>
          <cell r="E231" t="str">
            <v>VESTIDO SATELITE</v>
          </cell>
          <cell r="F231" t="str">
            <v>EST TEXTURA MAPA EXUBERANCE E LAZULI G</v>
          </cell>
          <cell r="G231" t="str">
            <v>36-44</v>
          </cell>
          <cell r="H231">
            <v>698</v>
          </cell>
          <cell r="I231">
            <v>317.27</v>
          </cell>
          <cell r="J231">
            <v>258.52</v>
          </cell>
          <cell r="K231">
            <v>-0.62962750716332383</v>
          </cell>
          <cell r="L231">
            <v>-0.18517351152015638</v>
          </cell>
        </row>
        <row r="232">
          <cell r="B232" t="str">
            <v>07.02.586621104</v>
          </cell>
          <cell r="C232" t="str">
            <v>07.02.5866</v>
          </cell>
          <cell r="D232">
            <v>21104</v>
          </cell>
          <cell r="E232" t="str">
            <v>VESTIDO SEDA ATMOSFERA</v>
          </cell>
          <cell r="F232" t="str">
            <v>EST TEXTURA MAPA PB G</v>
          </cell>
          <cell r="G232" t="str">
            <v>36-44</v>
          </cell>
          <cell r="H232">
            <v>898</v>
          </cell>
          <cell r="I232">
            <v>408.18</v>
          </cell>
          <cell r="J232">
            <v>332.59</v>
          </cell>
          <cell r="K232">
            <v>-0.62963251670378617</v>
          </cell>
          <cell r="L232">
            <v>-0.18518790729580092</v>
          </cell>
        </row>
        <row r="233">
          <cell r="B233" t="str">
            <v>07.03.031521046</v>
          </cell>
          <cell r="C233" t="str">
            <v>07.03.0315</v>
          </cell>
          <cell r="D233">
            <v>21046</v>
          </cell>
          <cell r="E233" t="str">
            <v>SLEEP DRESS GRAVATARIA SEED ORIGINAL</v>
          </cell>
          <cell r="F233" t="str">
            <v>EST GRAVATARIA SEED ORIGINAL</v>
          </cell>
          <cell r="G233" t="str">
            <v>36-44</v>
          </cell>
          <cell r="H233">
            <v>898</v>
          </cell>
          <cell r="I233">
            <v>408.18</v>
          </cell>
          <cell r="J233">
            <v>332.59</v>
          </cell>
          <cell r="K233">
            <v>-0.62963251670378617</v>
          </cell>
          <cell r="L233">
            <v>-0.18518790729580092</v>
          </cell>
        </row>
        <row r="234">
          <cell r="B234" t="str">
            <v>07.04.064120127</v>
          </cell>
          <cell r="C234" t="str">
            <v>07.04.0641</v>
          </cell>
          <cell r="D234">
            <v>20127</v>
          </cell>
          <cell r="E234" t="str">
            <v>VESTIDO MIDI POIS URCA AMAZON</v>
          </cell>
          <cell r="F234" t="str">
            <v>EST POIS URCA AMAZON E BRANCO HALL</v>
          </cell>
          <cell r="G234" t="str">
            <v>36-44</v>
          </cell>
          <cell r="H234">
            <v>1998</v>
          </cell>
          <cell r="I234">
            <v>908.18</v>
          </cell>
          <cell r="J234">
            <v>740</v>
          </cell>
          <cell r="K234">
            <v>-0.62962962962962965</v>
          </cell>
          <cell r="L234">
            <v>-0.18518355392102881</v>
          </cell>
        </row>
        <row r="235">
          <cell r="B235" t="str">
            <v>07.04.06530005</v>
          </cell>
          <cell r="C235" t="str">
            <v>07.04.0653</v>
          </cell>
          <cell r="D235" t="str">
            <v>0005</v>
          </cell>
          <cell r="E235" t="str">
            <v>VESTIDO POIS LUREX GOLA ALTA</v>
          </cell>
          <cell r="F235" t="str">
            <v>PRETO</v>
          </cell>
          <cell r="G235" t="str">
            <v>P AO XG</v>
          </cell>
          <cell r="H235">
            <v>1498</v>
          </cell>
          <cell r="I235">
            <v>680.91</v>
          </cell>
          <cell r="J235">
            <v>554.80999999999995</v>
          </cell>
          <cell r="K235">
            <v>-0.62963284379172235</v>
          </cell>
          <cell r="L235">
            <v>-0.18519334420114264</v>
          </cell>
        </row>
        <row r="236">
          <cell r="B236" t="str">
            <v>07.04.068720110</v>
          </cell>
          <cell r="C236" t="str">
            <v>07.04.0687</v>
          </cell>
          <cell r="D236" t="str">
            <v>20110</v>
          </cell>
          <cell r="E236" t="str">
            <v>VESTIDO TERESA ESTAMPADO</v>
          </cell>
          <cell r="F236" t="str">
            <v>EST LOCALIZADO COLAGEM BANANEIRA VESTIDO</v>
          </cell>
          <cell r="G236" t="str">
            <v>36-42</v>
          </cell>
          <cell r="H236">
            <v>1198</v>
          </cell>
          <cell r="I236">
            <v>544.54999999999995</v>
          </cell>
          <cell r="J236">
            <v>443.7</v>
          </cell>
          <cell r="K236">
            <v>-0.62963272120200342</v>
          </cell>
          <cell r="L236">
            <v>-0.18519878799008349</v>
          </cell>
        </row>
        <row r="237">
          <cell r="B237" t="str">
            <v>07.04.091721103</v>
          </cell>
          <cell r="C237" t="str">
            <v>07.04.0917</v>
          </cell>
          <cell r="D237">
            <v>21103</v>
          </cell>
          <cell r="E237" t="str">
            <v>VESTIDO MIDI TEXTURA MAPA LENNON</v>
          </cell>
          <cell r="F237" t="str">
            <v>EST TEXTURA MAPA LENNON</v>
          </cell>
          <cell r="G237" t="str">
            <v>36-44</v>
          </cell>
          <cell r="H237">
            <v>898</v>
          </cell>
          <cell r="I237">
            <v>408.18</v>
          </cell>
          <cell r="J237">
            <v>332.59</v>
          </cell>
          <cell r="K237">
            <v>-0.62963251670378617</v>
          </cell>
          <cell r="L237">
            <v>-0.18518790729580092</v>
          </cell>
        </row>
        <row r="238">
          <cell r="B238" t="str">
            <v>07.04.091821103</v>
          </cell>
          <cell r="C238" t="str">
            <v>07.04.0918</v>
          </cell>
          <cell r="D238">
            <v>21103</v>
          </cell>
          <cell r="E238" t="str">
            <v>VESTIDO BALE TEXTURA MAPA LENNON</v>
          </cell>
          <cell r="F238" t="str">
            <v>EST TEXTURA MAPA LENNON</v>
          </cell>
          <cell r="G238" t="str">
            <v>36-42</v>
          </cell>
          <cell r="H238">
            <v>1198</v>
          </cell>
          <cell r="I238">
            <v>544.54999999999995</v>
          </cell>
          <cell r="J238">
            <v>443.7</v>
          </cell>
          <cell r="K238">
            <v>-0.62963272120200342</v>
          </cell>
          <cell r="L238">
            <v>-0.18519878799008349</v>
          </cell>
        </row>
        <row r="239">
          <cell r="B239" t="str">
            <v>07.04.092921102</v>
          </cell>
          <cell r="C239" t="str">
            <v>07.04.0929</v>
          </cell>
          <cell r="D239">
            <v>21102</v>
          </cell>
          <cell r="E239" t="str">
            <v>VESTIDO BERRY MAPA EXUBERANCE</v>
          </cell>
          <cell r="F239" t="str">
            <v>EST TEXTURA MAPA EXUBERANCE E LAZULI G</v>
          </cell>
          <cell r="G239" t="str">
            <v>36-44</v>
          </cell>
          <cell r="H239">
            <v>1198</v>
          </cell>
          <cell r="I239">
            <v>544.54999999999995</v>
          </cell>
          <cell r="J239">
            <v>443.7</v>
          </cell>
          <cell r="K239">
            <v>-0.62963272120200342</v>
          </cell>
          <cell r="L239">
            <v>-0.18519878799008349</v>
          </cell>
        </row>
        <row r="240">
          <cell r="B240" t="str">
            <v>07.04.093221015</v>
          </cell>
          <cell r="C240" t="str">
            <v>07.04.0932</v>
          </cell>
          <cell r="D240">
            <v>21015</v>
          </cell>
          <cell r="E240" t="str">
            <v>VESTIDO AQUARIUS</v>
          </cell>
          <cell r="F240" t="str">
            <v>EST FIG CONSTELACAO PRETO</v>
          </cell>
          <cell r="G240" t="str">
            <v>36-44</v>
          </cell>
          <cell r="H240">
            <v>898</v>
          </cell>
          <cell r="I240">
            <v>408.18</v>
          </cell>
          <cell r="J240">
            <v>332.59</v>
          </cell>
          <cell r="K240">
            <v>-0.62963251670378617</v>
          </cell>
          <cell r="L240">
            <v>-0.18518790729580092</v>
          </cell>
        </row>
        <row r="241">
          <cell r="B241" t="str">
            <v>07.04.093420127</v>
          </cell>
          <cell r="C241" t="str">
            <v>07.04.0934</v>
          </cell>
          <cell r="D241">
            <v>20127</v>
          </cell>
          <cell r="E241" t="str">
            <v>VESTIDO MIDI POIS URCA AMAZON</v>
          </cell>
          <cell r="F241" t="str">
            <v>EST POIS URCA AMAZON E BRANCO HALL</v>
          </cell>
          <cell r="G241" t="str">
            <v>36-44</v>
          </cell>
          <cell r="H241">
            <v>898</v>
          </cell>
          <cell r="I241">
            <v>408.18</v>
          </cell>
          <cell r="J241">
            <v>332.59</v>
          </cell>
          <cell r="K241">
            <v>-0.62963251670378617</v>
          </cell>
          <cell r="L241">
            <v>-0.18518790729580092</v>
          </cell>
        </row>
        <row r="242">
          <cell r="B242" t="str">
            <v>07.04.093521361</v>
          </cell>
          <cell r="C242" t="str">
            <v>07.04.0935</v>
          </cell>
          <cell r="D242">
            <v>21361</v>
          </cell>
          <cell r="E242" t="str">
            <v>VESTIDO OMBRO A OMBRO BABADOS FLORAL</v>
          </cell>
          <cell r="F242" t="str">
            <v>EST FLORAL ORIENTAL DUFYY</v>
          </cell>
          <cell r="G242" t="str">
            <v>36-44</v>
          </cell>
          <cell r="H242">
            <v>998</v>
          </cell>
          <cell r="I242">
            <v>453.64</v>
          </cell>
          <cell r="J242">
            <v>369.63</v>
          </cell>
          <cell r="K242">
            <v>-0.629629258517034</v>
          </cell>
          <cell r="L242">
            <v>-0.18519090027334451</v>
          </cell>
        </row>
        <row r="243">
          <cell r="B243" t="str">
            <v>07.04.093621361</v>
          </cell>
          <cell r="C243" t="str">
            <v>07.04.0936</v>
          </cell>
          <cell r="D243">
            <v>21361</v>
          </cell>
          <cell r="E243" t="str">
            <v>CHEMISE MANGA BUFANTE FLORAL ORIENTAL</v>
          </cell>
          <cell r="F243" t="str">
            <v>EST FLORAL ORIENTAL DUFYY</v>
          </cell>
          <cell r="G243" t="str">
            <v>36-44</v>
          </cell>
          <cell r="H243">
            <v>998</v>
          </cell>
          <cell r="I243">
            <v>453.64</v>
          </cell>
          <cell r="J243">
            <v>369.63</v>
          </cell>
          <cell r="K243">
            <v>-0.629629258517034</v>
          </cell>
          <cell r="L243">
            <v>-0.18519090027334451</v>
          </cell>
        </row>
        <row r="244">
          <cell r="B244" t="str">
            <v>07.04.093801032</v>
          </cell>
          <cell r="C244" t="str">
            <v>07.04.0938</v>
          </cell>
          <cell r="D244" t="str">
            <v>01032</v>
          </cell>
          <cell r="E244" t="str">
            <v>VESTIDO EVEREST</v>
          </cell>
          <cell r="F244" t="str">
            <v>LARANJA MODART</v>
          </cell>
          <cell r="G244" t="str">
            <v>36-44</v>
          </cell>
          <cell r="H244">
            <v>898</v>
          </cell>
          <cell r="I244">
            <v>408.18</v>
          </cell>
          <cell r="J244">
            <v>332.59</v>
          </cell>
          <cell r="K244">
            <v>-0.62963251670378617</v>
          </cell>
          <cell r="L244">
            <v>-0.18518790729580092</v>
          </cell>
        </row>
        <row r="245">
          <cell r="B245" t="str">
            <v>07.04.095421104</v>
          </cell>
          <cell r="C245" t="str">
            <v>07.04.0954</v>
          </cell>
          <cell r="D245">
            <v>21104</v>
          </cell>
          <cell r="E245" t="str">
            <v>VESTIDO PLANETA</v>
          </cell>
          <cell r="F245" t="str">
            <v>EST TEXTURA MAPA PB G</v>
          </cell>
          <cell r="G245" t="str">
            <v>36-44</v>
          </cell>
          <cell r="H245">
            <v>1198</v>
          </cell>
          <cell r="I245">
            <v>544.54999999999995</v>
          </cell>
          <cell r="J245">
            <v>443.7</v>
          </cell>
          <cell r="K245">
            <v>-0.62963272120200342</v>
          </cell>
          <cell r="L245">
            <v>-0.18519878799008349</v>
          </cell>
        </row>
        <row r="246">
          <cell r="B246" t="str">
            <v>07.09.085420127</v>
          </cell>
          <cell r="C246" t="str">
            <v>07.09.0854</v>
          </cell>
          <cell r="D246">
            <v>20127</v>
          </cell>
          <cell r="E246" t="str">
            <v>VESTIDO LONGO POIS URCA AMAZON</v>
          </cell>
          <cell r="F246" t="str">
            <v>EST POIS URCA AMAZON E BRANCO HALL</v>
          </cell>
          <cell r="G246" t="str">
            <v>36-44</v>
          </cell>
          <cell r="H246">
            <v>1598</v>
          </cell>
          <cell r="I246">
            <v>726.36</v>
          </cell>
          <cell r="J246">
            <v>591.85</v>
          </cell>
          <cell r="K246">
            <v>-0.62963078848560694</v>
          </cell>
          <cell r="L246">
            <v>-0.18518365548763693</v>
          </cell>
        </row>
        <row r="247">
          <cell r="B247" t="str">
            <v>07.09.092221103</v>
          </cell>
          <cell r="C247" t="str">
            <v>07.09.0922</v>
          </cell>
          <cell r="D247">
            <v>21103</v>
          </cell>
          <cell r="E247" t="str">
            <v>VESTIDO LONGO TEXTURA MAPA LENNON</v>
          </cell>
          <cell r="F247" t="str">
            <v>EST TEXTURA MAPA LENNON</v>
          </cell>
          <cell r="G247" t="str">
            <v>36-42</v>
          </cell>
          <cell r="H247">
            <v>1498</v>
          </cell>
          <cell r="I247">
            <v>680.91</v>
          </cell>
          <cell r="J247">
            <v>554.80999999999995</v>
          </cell>
          <cell r="K247">
            <v>-0.62963284379172235</v>
          </cell>
          <cell r="L247">
            <v>-0.18519334420114264</v>
          </cell>
        </row>
        <row r="248">
          <cell r="B248" t="str">
            <v>07.09.092421096</v>
          </cell>
          <cell r="C248" t="str">
            <v>07.09.0924</v>
          </cell>
          <cell r="D248">
            <v>21096</v>
          </cell>
          <cell r="E248" t="str">
            <v>VESTIDO ALCINHA TAPECARIA GEOMETRICO</v>
          </cell>
          <cell r="F248" t="str">
            <v>EST TAPECARIA GEOMETRICO LARANJA</v>
          </cell>
          <cell r="G248" t="str">
            <v>36-42</v>
          </cell>
          <cell r="H248">
            <v>998</v>
          </cell>
          <cell r="I248">
            <v>453.64</v>
          </cell>
          <cell r="J248">
            <v>369.63</v>
          </cell>
          <cell r="K248">
            <v>-0.629629258517034</v>
          </cell>
          <cell r="L248">
            <v>-0.18519090027334451</v>
          </cell>
        </row>
        <row r="249">
          <cell r="B249" t="str">
            <v>07.09.092521096</v>
          </cell>
          <cell r="C249" t="str">
            <v>07.09.0925</v>
          </cell>
          <cell r="D249">
            <v>21096</v>
          </cell>
          <cell r="E249" t="str">
            <v>VESTIDO LONGO TAPECARIA GEOMETRICO</v>
          </cell>
          <cell r="F249" t="str">
            <v>EST TAPECARIA GEOMETRICO LARANJA</v>
          </cell>
          <cell r="G249" t="str">
            <v>36-44</v>
          </cell>
          <cell r="H249">
            <v>1298</v>
          </cell>
          <cell r="I249">
            <v>590</v>
          </cell>
          <cell r="J249">
            <v>480.74</v>
          </cell>
          <cell r="K249">
            <v>-0.62963020030816641</v>
          </cell>
          <cell r="L249">
            <v>-0.18518644067796608</v>
          </cell>
        </row>
        <row r="250">
          <cell r="B250" t="str">
            <v>07.20.44146202</v>
          </cell>
          <cell r="C250" t="str">
            <v>07.20.4414</v>
          </cell>
          <cell r="D250">
            <v>6202</v>
          </cell>
          <cell r="E250" t="str">
            <v>VESTIDO DINDI</v>
          </cell>
          <cell r="F250" t="str">
            <v>AZUL MARITIME</v>
          </cell>
          <cell r="G250" t="str">
            <v>36-44</v>
          </cell>
          <cell r="H250">
            <v>598</v>
          </cell>
          <cell r="I250">
            <v>271.82</v>
          </cell>
          <cell r="J250">
            <v>221.48</v>
          </cell>
          <cell r="K250">
            <v>-0.62963210702341144</v>
          </cell>
          <cell r="L250">
            <v>-0.18519608564491208</v>
          </cell>
        </row>
        <row r="251">
          <cell r="B251" t="str">
            <v>07.21.078720109</v>
          </cell>
          <cell r="C251" t="str">
            <v>07.21.0787</v>
          </cell>
          <cell r="D251" t="str">
            <v>20109</v>
          </cell>
          <cell r="E251" t="str">
            <v>VESTIDO BANANEIRA</v>
          </cell>
          <cell r="F251" t="str">
            <v>EST LOCALIZADO COLAGEM BANANEIRA VESTIDO</v>
          </cell>
          <cell r="G251" t="str">
            <v>36-42</v>
          </cell>
          <cell r="H251">
            <v>898</v>
          </cell>
          <cell r="I251">
            <v>408.18</v>
          </cell>
          <cell r="J251">
            <v>332.59</v>
          </cell>
          <cell r="K251">
            <v>-0.62963251670378617</v>
          </cell>
          <cell r="L251">
            <v>-0.18518790729580092</v>
          </cell>
        </row>
        <row r="252">
          <cell r="B252" t="str">
            <v>07.93.16190005</v>
          </cell>
          <cell r="C252" t="str">
            <v>07.93.1619</v>
          </cell>
          <cell r="D252" t="str">
            <v>0005</v>
          </cell>
          <cell r="E252" t="str">
            <v>MACACAO BRILHO POIS LUREX PRETO</v>
          </cell>
          <cell r="F252" t="str">
            <v>PRETO</v>
          </cell>
          <cell r="G252" t="str">
            <v>36-44</v>
          </cell>
          <cell r="H252">
            <v>1798</v>
          </cell>
          <cell r="I252">
            <v>817.27</v>
          </cell>
          <cell r="J252">
            <v>665.93</v>
          </cell>
          <cell r="K252">
            <v>-0.62962736373748607</v>
          </cell>
          <cell r="L252">
            <v>-0.18517748112618848</v>
          </cell>
        </row>
        <row r="253">
          <cell r="B253" t="str">
            <v>07.93.177821104</v>
          </cell>
          <cell r="C253" t="str">
            <v>07.93.1778</v>
          </cell>
          <cell r="D253">
            <v>21104</v>
          </cell>
          <cell r="E253" t="str">
            <v>MACACAO SPACE</v>
          </cell>
          <cell r="F253" t="str">
            <v>EST TEXTURA MAPA PB G</v>
          </cell>
          <cell r="G253" t="str">
            <v>36-44</v>
          </cell>
          <cell r="H253">
            <v>1998</v>
          </cell>
          <cell r="I253">
            <v>908.18</v>
          </cell>
          <cell r="J253">
            <v>740</v>
          </cell>
          <cell r="K253">
            <v>-0.62962962962962965</v>
          </cell>
          <cell r="L253">
            <v>-0.18518355392102881</v>
          </cell>
        </row>
        <row r="254">
          <cell r="B254" t="str">
            <v>24.01.161921046</v>
          </cell>
          <cell r="C254" t="str">
            <v>24.01.1619</v>
          </cell>
          <cell r="D254">
            <v>21046</v>
          </cell>
          <cell r="E254" t="str">
            <v>VESTIDO MIDI MANGAO GRAVATARIA SEED</v>
          </cell>
          <cell r="F254" t="str">
            <v>EST GRAVATARIA SEED ORIGINAL</v>
          </cell>
          <cell r="G254" t="str">
            <v>36-44</v>
          </cell>
          <cell r="H254">
            <v>1298</v>
          </cell>
          <cell r="I254">
            <v>590</v>
          </cell>
          <cell r="J254">
            <v>480.74</v>
          </cell>
          <cell r="K254">
            <v>-0.62963020030816641</v>
          </cell>
          <cell r="L254">
            <v>-0.18518644067796608</v>
          </cell>
        </row>
        <row r="255">
          <cell r="B255" t="str">
            <v>52.39.016121361</v>
          </cell>
          <cell r="C255" t="str">
            <v>52.39.0161</v>
          </cell>
          <cell r="D255" t="str">
            <v>21361</v>
          </cell>
          <cell r="E255" t="str">
            <v>BODY BUZIOS FLORAL ORIENTAL</v>
          </cell>
          <cell r="F255" t="str">
            <v>EST FLORAL ORIENTAL DUFYY</v>
          </cell>
          <cell r="G255" t="str">
            <v>36-44</v>
          </cell>
          <cell r="H255">
            <v>598</v>
          </cell>
          <cell r="I255">
            <v>271.82</v>
          </cell>
          <cell r="J255">
            <v>221.48</v>
          </cell>
          <cell r="K255">
            <v>-0.62963210702341144</v>
          </cell>
          <cell r="L255">
            <v>-0.18519608564491208</v>
          </cell>
        </row>
        <row r="256">
          <cell r="B256" t="str">
            <v>04.13.09130005</v>
          </cell>
          <cell r="C256" t="str">
            <v>04.13.0913</v>
          </cell>
          <cell r="D256" t="str">
            <v>0005</v>
          </cell>
          <cell r="E256" t="str">
            <v>CALÇA LIOCEL AFUNILADA PREGAS SP30W21</v>
          </cell>
          <cell r="F256" t="str">
            <v>PRETO</v>
          </cell>
          <cell r="G256" t="str">
            <v>36-44</v>
          </cell>
          <cell r="H256">
            <v>798</v>
          </cell>
          <cell r="I256">
            <v>362.73</v>
          </cell>
          <cell r="J256">
            <v>295.56</v>
          </cell>
          <cell r="K256">
            <v>-0.62962406015037597</v>
          </cell>
          <cell r="L256">
            <v>-0.18517905880406915</v>
          </cell>
        </row>
        <row r="257">
          <cell r="B257" t="str">
            <v>04.13.091301036</v>
          </cell>
          <cell r="C257" t="str">
            <v>04.13.0913</v>
          </cell>
          <cell r="D257" t="str">
            <v>01036</v>
          </cell>
          <cell r="E257" t="str">
            <v>CALÇA LIOCEL AFUNILADA PREGAS SP30W21</v>
          </cell>
          <cell r="F257" t="str">
            <v>VERMELHO TERROSO</v>
          </cell>
          <cell r="G257" t="str">
            <v>36-44</v>
          </cell>
          <cell r="H257">
            <v>798</v>
          </cell>
          <cell r="I257">
            <v>362.73</v>
          </cell>
          <cell r="J257">
            <v>295.56</v>
          </cell>
          <cell r="K257">
            <v>-0.62962406015037597</v>
          </cell>
          <cell r="L257">
            <v>-0.18517905880406915</v>
          </cell>
        </row>
        <row r="258">
          <cell r="B258" t="str">
            <v>04.13.09140930</v>
          </cell>
          <cell r="C258" t="str">
            <v>04.13.0914</v>
          </cell>
          <cell r="D258" t="str">
            <v>0930</v>
          </cell>
          <cell r="E258" t="str">
            <v>CALÇA LIOCEL LEVE JOGGING SP62W21</v>
          </cell>
          <cell r="F258" t="str">
            <v>VERDE DUFFEL</v>
          </cell>
          <cell r="G258" t="str">
            <v>36-44</v>
          </cell>
          <cell r="H258">
            <v>698</v>
          </cell>
          <cell r="I258">
            <v>317.27</v>
          </cell>
          <cell r="J258">
            <v>258.52</v>
          </cell>
          <cell r="K258">
            <v>-0.62962750716332383</v>
          </cell>
          <cell r="L258">
            <v>-0.18517351152015638</v>
          </cell>
        </row>
        <row r="259">
          <cell r="B259" t="str">
            <v>04.13.091501026</v>
          </cell>
          <cell r="C259" t="str">
            <v>04.13.0915</v>
          </cell>
          <cell r="D259" t="str">
            <v>01026</v>
          </cell>
          <cell r="E259" t="str">
            <v>CALÇA LIOCEL PUNHO AJUSTAVEL SP22W21</v>
          </cell>
          <cell r="F259" t="str">
            <v>BEGE SAND</v>
          </cell>
          <cell r="G259" t="str">
            <v>36-44</v>
          </cell>
          <cell r="H259">
            <v>898</v>
          </cell>
          <cell r="I259">
            <v>408.18</v>
          </cell>
          <cell r="J259">
            <v>332.59</v>
          </cell>
          <cell r="K259">
            <v>-0.62963251670378617</v>
          </cell>
          <cell r="L259">
            <v>-0.18518790729580092</v>
          </cell>
        </row>
        <row r="260">
          <cell r="B260" t="str">
            <v>04.13.091601026</v>
          </cell>
          <cell r="C260" t="str">
            <v>04.13.0916</v>
          </cell>
          <cell r="D260" t="str">
            <v>01026</v>
          </cell>
          <cell r="E260" t="str">
            <v>CALÇA CONFORT BOTÕES</v>
          </cell>
          <cell r="F260" t="str">
            <v>BEGE SAND</v>
          </cell>
          <cell r="G260" t="str">
            <v>36-44</v>
          </cell>
          <cell r="H260">
            <v>798</v>
          </cell>
          <cell r="I260">
            <v>362.73</v>
          </cell>
          <cell r="J260">
            <v>295.56</v>
          </cell>
          <cell r="K260">
            <v>-0.62962406015037597</v>
          </cell>
          <cell r="L260">
            <v>-0.18517905880406915</v>
          </cell>
        </row>
        <row r="261">
          <cell r="B261" t="str">
            <v>25.01.287901016</v>
          </cell>
          <cell r="C261" t="str">
            <v>25.01.2879</v>
          </cell>
          <cell r="D261" t="str">
            <v>01016</v>
          </cell>
          <cell r="E261" t="str">
            <v>CALÇA NYLON ACQUA JOGGING SP03W21</v>
          </cell>
          <cell r="F261" t="str">
            <v>SEAGRASS</v>
          </cell>
          <cell r="G261" t="str">
            <v>36-44</v>
          </cell>
          <cell r="H261">
            <v>598</v>
          </cell>
          <cell r="I261">
            <v>271.82</v>
          </cell>
          <cell r="J261">
            <v>221.48</v>
          </cell>
          <cell r="K261">
            <v>-0.62963210702341144</v>
          </cell>
          <cell r="L261">
            <v>-0.18519608564491208</v>
          </cell>
        </row>
        <row r="262">
          <cell r="B262" t="str">
            <v>03.03.011901016</v>
          </cell>
          <cell r="C262" t="str">
            <v>03.03.0119</v>
          </cell>
          <cell r="D262" t="str">
            <v>01016</v>
          </cell>
          <cell r="E262" t="str">
            <v>PARKA NYLON ACQUA GOLA AMPLA SP67W21</v>
          </cell>
          <cell r="F262" t="str">
            <v>SEAGRASS</v>
          </cell>
          <cell r="G262" t="str">
            <v>P-M-G</v>
          </cell>
          <cell r="H262">
            <v>998</v>
          </cell>
          <cell r="I262">
            <v>453.64</v>
          </cell>
          <cell r="J262">
            <v>369.63</v>
          </cell>
          <cell r="K262">
            <v>-0.629629258517034</v>
          </cell>
          <cell r="L262">
            <v>-0.18519090027334451</v>
          </cell>
        </row>
        <row r="263">
          <cell r="B263" t="str">
            <v>03.61.006001036</v>
          </cell>
          <cell r="C263" t="str">
            <v>03.61.0060</v>
          </cell>
          <cell r="D263" t="str">
            <v>01036</v>
          </cell>
          <cell r="E263" t="str">
            <v>TRENCH COAT LIOCEL BOLSOS SP28W21</v>
          </cell>
          <cell r="F263" t="str">
            <v>VERMELHO TERROSO</v>
          </cell>
          <cell r="G263" t="str">
            <v>36-44</v>
          </cell>
          <cell r="H263">
            <v>1498</v>
          </cell>
          <cell r="I263">
            <v>680.91</v>
          </cell>
          <cell r="J263">
            <v>554.80999999999995</v>
          </cell>
          <cell r="K263">
            <v>-0.62963284379172235</v>
          </cell>
          <cell r="L263">
            <v>-0.18519334420114264</v>
          </cell>
        </row>
        <row r="264">
          <cell r="B264" t="str">
            <v>03.61.006001040</v>
          </cell>
          <cell r="C264" t="str">
            <v>03.61.0060</v>
          </cell>
          <cell r="D264" t="str">
            <v>01040</v>
          </cell>
          <cell r="E264" t="str">
            <v>TRENCH COAT LIOCEL BOLSOS SP28W21</v>
          </cell>
          <cell r="F264" t="str">
            <v>VERDE DUFFEL</v>
          </cell>
          <cell r="G264" t="str">
            <v>36-44</v>
          </cell>
          <cell r="H264">
            <v>1498</v>
          </cell>
          <cell r="I264">
            <v>680.91</v>
          </cell>
          <cell r="J264">
            <v>554.80999999999995</v>
          </cell>
          <cell r="K264">
            <v>-0.62963284379172235</v>
          </cell>
          <cell r="L264">
            <v>-0.18519334420114264</v>
          </cell>
        </row>
        <row r="265">
          <cell r="B265" t="str">
            <v>25.01.28771407</v>
          </cell>
          <cell r="C265" t="str">
            <v>25.01.2877</v>
          </cell>
          <cell r="D265" t="str">
            <v>1407</v>
          </cell>
          <cell r="E265" t="str">
            <v>LEGGING TRICOT MESCLA</v>
          </cell>
          <cell r="F265" t="str">
            <v>MESCLA</v>
          </cell>
          <cell r="G265" t="str">
            <v>P-M-G</v>
          </cell>
          <cell r="H265">
            <v>498</v>
          </cell>
          <cell r="I265">
            <v>226.36</v>
          </cell>
          <cell r="J265">
            <v>184.44</v>
          </cell>
          <cell r="K265">
            <v>-0.62963855421686743</v>
          </cell>
          <cell r="L265">
            <v>-0.18519172998763034</v>
          </cell>
        </row>
        <row r="266">
          <cell r="B266" t="str">
            <v>25.01.28820005</v>
          </cell>
          <cell r="C266" t="str">
            <v>25.01.2882</v>
          </cell>
          <cell r="D266" t="str">
            <v>0005</v>
          </cell>
          <cell r="E266" t="str">
            <v>CALCA TRICOT CANELADA BOTOES</v>
          </cell>
          <cell r="F266" t="str">
            <v>PRETO</v>
          </cell>
          <cell r="G266" t="str">
            <v>P-M-G-GG</v>
          </cell>
          <cell r="H266">
            <v>598</v>
          </cell>
          <cell r="I266">
            <v>271.82</v>
          </cell>
          <cell r="J266">
            <v>221.48</v>
          </cell>
          <cell r="K266">
            <v>-0.62963210702341144</v>
          </cell>
          <cell r="L266">
            <v>-0.18519608564491208</v>
          </cell>
        </row>
        <row r="267">
          <cell r="B267" t="str">
            <v>78.06.01260005</v>
          </cell>
          <cell r="C267" t="str">
            <v>78.06.0126</v>
          </cell>
          <cell r="D267" t="str">
            <v>0005</v>
          </cell>
          <cell r="E267" t="str">
            <v>LEGGING TRICOT MIX NERVURAS</v>
          </cell>
          <cell r="F267" t="str">
            <v>PRETO</v>
          </cell>
          <cell r="G267" t="str">
            <v>P-M-G</v>
          </cell>
          <cell r="H267">
            <v>798</v>
          </cell>
          <cell r="I267">
            <v>362.73</v>
          </cell>
          <cell r="J267">
            <v>295.56</v>
          </cell>
          <cell r="K267">
            <v>-0.62962406015037597</v>
          </cell>
          <cell r="L267">
            <v>-0.18517905880406915</v>
          </cell>
        </row>
        <row r="268">
          <cell r="B268" t="str">
            <v>78.01.03460005</v>
          </cell>
          <cell r="C268" t="str">
            <v>78.01.0346</v>
          </cell>
          <cell r="D268" t="str">
            <v>0005</v>
          </cell>
          <cell r="E268" t="str">
            <v>BLUSA TRICOT METALIZADA</v>
          </cell>
          <cell r="F268" t="str">
            <v>PRETO</v>
          </cell>
          <cell r="G268" t="str">
            <v>P-M-G</v>
          </cell>
          <cell r="H268">
            <v>698</v>
          </cell>
          <cell r="I268">
            <v>317.27</v>
          </cell>
          <cell r="J268">
            <v>258.52</v>
          </cell>
          <cell r="K268">
            <v>-0.62962750716332383</v>
          </cell>
          <cell r="L268">
            <v>-0.18517351152015638</v>
          </cell>
        </row>
        <row r="269">
          <cell r="B269" t="str">
            <v>78.01.03466006</v>
          </cell>
          <cell r="C269" t="str">
            <v>78.01.0346</v>
          </cell>
          <cell r="D269" t="str">
            <v>6006</v>
          </cell>
          <cell r="E269" t="str">
            <v>BLUSA TRICOT METALIZADA</v>
          </cell>
          <cell r="F269" t="str">
            <v>CAMEL MAPLE</v>
          </cell>
          <cell r="G269" t="str">
            <v>P-M-G</v>
          </cell>
          <cell r="H269">
            <v>698</v>
          </cell>
          <cell r="I269">
            <v>317.27</v>
          </cell>
          <cell r="J269">
            <v>258.52</v>
          </cell>
          <cell r="K269">
            <v>-0.62962750716332383</v>
          </cell>
          <cell r="L269">
            <v>-0.18517351152015638</v>
          </cell>
        </row>
        <row r="270">
          <cell r="B270" t="str">
            <v>78.01.04416216</v>
          </cell>
          <cell r="C270" t="str">
            <v>78.01.0441</v>
          </cell>
          <cell r="D270" t="str">
            <v>6216</v>
          </cell>
          <cell r="E270" t="str">
            <v>BLUSA TRICOT CANELADA LUREX OURO</v>
          </cell>
          <cell r="F270" t="str">
            <v>MARROM OURO</v>
          </cell>
          <cell r="G270" t="str">
            <v>P-M-G</v>
          </cell>
          <cell r="H270">
            <v>658</v>
          </cell>
          <cell r="I270">
            <v>299.08999999999997</v>
          </cell>
          <cell r="J270">
            <v>243.7</v>
          </cell>
          <cell r="K270">
            <v>-0.62963525835866263</v>
          </cell>
          <cell r="L270">
            <v>-0.18519509177839444</v>
          </cell>
        </row>
        <row r="271">
          <cell r="B271" t="str">
            <v>78.01.05000005</v>
          </cell>
          <cell r="C271" t="str">
            <v>78.01.0500</v>
          </cell>
          <cell r="D271" t="str">
            <v>0005</v>
          </cell>
          <cell r="E271" t="str">
            <v>BLUSA TRICOT CUT DECOTE OMBRO A OMBRO</v>
          </cell>
          <cell r="F271" t="str">
            <v>PRETO</v>
          </cell>
          <cell r="G271" t="str">
            <v>P-M-G</v>
          </cell>
          <cell r="H271">
            <v>498</v>
          </cell>
          <cell r="I271">
            <v>226.36</v>
          </cell>
          <cell r="J271">
            <v>184.44</v>
          </cell>
          <cell r="K271">
            <v>-0.62963855421686743</v>
          </cell>
          <cell r="L271">
            <v>-0.18519172998763034</v>
          </cell>
        </row>
        <row r="272">
          <cell r="B272" t="str">
            <v>78.01.05030003</v>
          </cell>
          <cell r="C272" t="str">
            <v>78.01.0503</v>
          </cell>
          <cell r="D272" t="str">
            <v>0003</v>
          </cell>
          <cell r="E272" t="str">
            <v>BLUSA TRICOT CANELADA FENDA E GOLA ALTA</v>
          </cell>
          <cell r="F272" t="str">
            <v>OFF WHITE</v>
          </cell>
          <cell r="G272" t="str">
            <v>P-M-G</v>
          </cell>
          <cell r="H272">
            <v>598</v>
          </cell>
          <cell r="I272">
            <v>271.82</v>
          </cell>
          <cell r="J272">
            <v>221.48</v>
          </cell>
          <cell r="K272">
            <v>-0.62963210702341144</v>
          </cell>
          <cell r="L272">
            <v>-0.18519608564491208</v>
          </cell>
        </row>
        <row r="273">
          <cell r="B273" t="str">
            <v>78.01.05030005</v>
          </cell>
          <cell r="C273" t="str">
            <v>78.01.0503</v>
          </cell>
          <cell r="D273" t="str">
            <v>0005</v>
          </cell>
          <cell r="E273" t="str">
            <v>BLUSA TRICOT CANELADA FENDA E GOLA ALTA</v>
          </cell>
          <cell r="F273" t="str">
            <v>PRETO</v>
          </cell>
          <cell r="G273" t="str">
            <v>P-M-G</v>
          </cell>
          <cell r="H273">
            <v>598</v>
          </cell>
          <cell r="I273">
            <v>271.82</v>
          </cell>
          <cell r="J273">
            <v>221.48</v>
          </cell>
          <cell r="K273">
            <v>-0.62963210702341144</v>
          </cell>
          <cell r="L273">
            <v>-0.18519608564491208</v>
          </cell>
        </row>
        <row r="274">
          <cell r="B274" t="str">
            <v>78.01.05060005</v>
          </cell>
          <cell r="C274" t="str">
            <v>78.01.0506</v>
          </cell>
          <cell r="D274" t="str">
            <v>0005</v>
          </cell>
          <cell r="E274" t="str">
            <v>BLUSA TRICOT CANELADA LUREX GOLA ALTA</v>
          </cell>
          <cell r="F274" t="str">
            <v>PRETO/COBRE</v>
          </cell>
          <cell r="G274" t="str">
            <v>P-M-G</v>
          </cell>
          <cell r="H274">
            <v>398</v>
          </cell>
          <cell r="I274">
            <v>180.91</v>
          </cell>
          <cell r="J274">
            <v>147.41</v>
          </cell>
          <cell r="K274">
            <v>-0.62962311557788952</v>
          </cell>
          <cell r="L274">
            <v>-0.18517494886960373</v>
          </cell>
        </row>
        <row r="275">
          <cell r="B275" t="str">
            <v>78.01.05061100</v>
          </cell>
          <cell r="C275" t="str">
            <v>78.01.0506</v>
          </cell>
          <cell r="D275" t="str">
            <v>1100</v>
          </cell>
          <cell r="E275" t="str">
            <v>BLUSA TRICOT CANELADA LUREX GOLA ALTA</v>
          </cell>
          <cell r="F275" t="str">
            <v>PRATA</v>
          </cell>
          <cell r="G275" t="str">
            <v>P-M-G</v>
          </cell>
          <cell r="H275">
            <v>398</v>
          </cell>
          <cell r="I275">
            <v>180.91</v>
          </cell>
          <cell r="J275">
            <v>147.41</v>
          </cell>
          <cell r="K275">
            <v>-0.62962311557788952</v>
          </cell>
          <cell r="L275">
            <v>-0.18517494886960373</v>
          </cell>
        </row>
        <row r="276">
          <cell r="B276" t="str">
            <v>78.01.051201041</v>
          </cell>
          <cell r="C276" t="str">
            <v>78.01.0512</v>
          </cell>
          <cell r="D276" t="str">
            <v>01041</v>
          </cell>
          <cell r="E276" t="str">
            <v>BLUSA TRICOT CANELADA FENDA E GOLA ALTA</v>
          </cell>
          <cell r="F276" t="str">
            <v>VERMELHO AURORA</v>
          </cell>
          <cell r="G276" t="str">
            <v>P-M-G</v>
          </cell>
          <cell r="H276">
            <v>598</v>
          </cell>
          <cell r="I276">
            <v>271.82</v>
          </cell>
          <cell r="J276">
            <v>221.48</v>
          </cell>
          <cell r="K276">
            <v>-0.62963210702341144</v>
          </cell>
          <cell r="L276">
            <v>-0.18519608564491208</v>
          </cell>
        </row>
        <row r="277">
          <cell r="B277" t="str">
            <v>78.01.051401040</v>
          </cell>
          <cell r="C277" t="str">
            <v>78.01.0514</v>
          </cell>
          <cell r="D277" t="str">
            <v>01040</v>
          </cell>
          <cell r="E277" t="str">
            <v>BLUSA TRICOT CUT DECOTE OMBRO A OMBRO</v>
          </cell>
          <cell r="F277" t="str">
            <v>VERDE DUFFEL</v>
          </cell>
          <cell r="G277" t="str">
            <v>P-M-G</v>
          </cell>
          <cell r="H277">
            <v>498</v>
          </cell>
          <cell r="I277">
            <v>226.36</v>
          </cell>
          <cell r="J277">
            <v>184.44</v>
          </cell>
          <cell r="K277">
            <v>-0.62963855421686743</v>
          </cell>
          <cell r="L277">
            <v>-0.18519172998763034</v>
          </cell>
        </row>
        <row r="278">
          <cell r="B278" t="str">
            <v>78.01.051701040</v>
          </cell>
          <cell r="C278" t="str">
            <v>78.01.0517</v>
          </cell>
          <cell r="D278" t="str">
            <v>01040</v>
          </cell>
          <cell r="E278" t="str">
            <v>BLUSA TRICOT T-SHIRT BASICA COLORS</v>
          </cell>
          <cell r="F278" t="str">
            <v>VERDE DUFFEL</v>
          </cell>
          <cell r="G278" t="str">
            <v>P-M-G-GG</v>
          </cell>
          <cell r="H278">
            <v>298</v>
          </cell>
          <cell r="I278">
            <v>135.44999999999999</v>
          </cell>
          <cell r="J278">
            <v>110.37</v>
          </cell>
          <cell r="K278">
            <v>-0.62963087248322147</v>
          </cell>
          <cell r="L278">
            <v>-0.18516057585825019</v>
          </cell>
        </row>
        <row r="279">
          <cell r="B279" t="str">
            <v>78.06.01220003</v>
          </cell>
          <cell r="C279" t="str">
            <v>78.06.0122</v>
          </cell>
          <cell r="D279" t="str">
            <v>0003</v>
          </cell>
          <cell r="E279" t="str">
            <v>REGATA TRICOT CANELADA GOLA ALTA</v>
          </cell>
          <cell r="F279" t="str">
            <v>OFF WHITE</v>
          </cell>
          <cell r="G279" t="str">
            <v>P-M-G</v>
          </cell>
          <cell r="H279">
            <v>358</v>
          </cell>
          <cell r="I279">
            <v>162.72999999999999</v>
          </cell>
          <cell r="J279">
            <v>132.59</v>
          </cell>
          <cell r="K279">
            <v>-0.62963687150837988</v>
          </cell>
          <cell r="L279">
            <v>-0.18521477293676636</v>
          </cell>
        </row>
        <row r="280">
          <cell r="B280" t="str">
            <v>78.06.01220005</v>
          </cell>
          <cell r="C280" t="str">
            <v>78.06.0122</v>
          </cell>
          <cell r="D280" t="str">
            <v>0005</v>
          </cell>
          <cell r="E280" t="str">
            <v>REGATA TRICOT CANELADA GOLA ALTA</v>
          </cell>
          <cell r="F280" t="str">
            <v>PRETO</v>
          </cell>
          <cell r="G280" t="str">
            <v>P-M-G</v>
          </cell>
          <cell r="H280">
            <v>358</v>
          </cell>
          <cell r="I280">
            <v>162.72999999999999</v>
          </cell>
          <cell r="J280">
            <v>132.59</v>
          </cell>
          <cell r="K280">
            <v>-0.62963687150837988</v>
          </cell>
          <cell r="L280">
            <v>-0.18521477293676636</v>
          </cell>
        </row>
        <row r="281">
          <cell r="B281" t="str">
            <v>78.06.012801041</v>
          </cell>
          <cell r="C281" t="str">
            <v>78.06.0128</v>
          </cell>
          <cell r="D281" t="str">
            <v>01041</v>
          </cell>
          <cell r="E281" t="str">
            <v>REGATA TRICOT CANELADA GOLA ALTA COLORS</v>
          </cell>
          <cell r="F281" t="str">
            <v>VERMELHO AURORA</v>
          </cell>
          <cell r="G281" t="str">
            <v>P-M-G</v>
          </cell>
          <cell r="H281">
            <v>358</v>
          </cell>
          <cell r="I281">
            <v>162.72999999999999</v>
          </cell>
          <cell r="J281">
            <v>132.59</v>
          </cell>
          <cell r="K281">
            <v>-0.62963687150837988</v>
          </cell>
          <cell r="L281">
            <v>-0.18521477293676636</v>
          </cell>
        </row>
        <row r="282">
          <cell r="B282" t="str">
            <v>79.01.00650005</v>
          </cell>
          <cell r="C282" t="str">
            <v>79.01.0065</v>
          </cell>
          <cell r="D282" t="str">
            <v>0005</v>
          </cell>
          <cell r="E282" t="str">
            <v>BLUSA TRICOT CANELADO BOTOES</v>
          </cell>
          <cell r="F282" t="str">
            <v>PRETO</v>
          </cell>
          <cell r="G282" t="str">
            <v>P-M-G-GG</v>
          </cell>
          <cell r="H282">
            <v>598</v>
          </cell>
          <cell r="I282">
            <v>271.82</v>
          </cell>
          <cell r="J282">
            <v>221.48</v>
          </cell>
          <cell r="K282">
            <v>-0.62963210702341144</v>
          </cell>
          <cell r="L282">
            <v>-0.18519608564491208</v>
          </cell>
        </row>
        <row r="283">
          <cell r="B283" t="str">
            <v>79.01.00680003</v>
          </cell>
          <cell r="C283" t="str">
            <v>79.01.0068</v>
          </cell>
          <cell r="D283" t="str">
            <v>0003</v>
          </cell>
          <cell r="E283" t="str">
            <v>TRICOT BASICO SOFT GOLA ROLE</v>
          </cell>
          <cell r="F283" t="str">
            <v>OFF WHITE</v>
          </cell>
          <cell r="G283" t="str">
            <v>P-M-G</v>
          </cell>
          <cell r="H283">
            <v>598</v>
          </cell>
          <cell r="I283">
            <v>271.82</v>
          </cell>
          <cell r="J283">
            <v>221.48</v>
          </cell>
          <cell r="K283">
            <v>-0.62963210702341144</v>
          </cell>
          <cell r="L283">
            <v>-0.18519608564491208</v>
          </cell>
        </row>
        <row r="284">
          <cell r="B284" t="str">
            <v>79.01.00680005</v>
          </cell>
          <cell r="C284" t="str">
            <v>79.01.0068</v>
          </cell>
          <cell r="D284" t="str">
            <v>0005</v>
          </cell>
          <cell r="E284" t="str">
            <v>TRICOT BASICO SOFT GOLA ROLE</v>
          </cell>
          <cell r="F284" t="str">
            <v>PRETO</v>
          </cell>
          <cell r="G284" t="str">
            <v>P-M-G</v>
          </cell>
          <cell r="H284">
            <v>598</v>
          </cell>
          <cell r="I284">
            <v>271.82</v>
          </cell>
          <cell r="J284">
            <v>221.48</v>
          </cell>
          <cell r="K284">
            <v>-0.62963210702341144</v>
          </cell>
          <cell r="L284">
            <v>-0.18519608564491208</v>
          </cell>
        </row>
        <row r="285">
          <cell r="B285" t="str">
            <v>79.01.00682090</v>
          </cell>
          <cell r="C285" t="str">
            <v>79.01.0068</v>
          </cell>
          <cell r="D285" t="str">
            <v>2090</v>
          </cell>
          <cell r="E285" t="str">
            <v>TRICOT BASICO SOFT GOLA ROLE</v>
          </cell>
          <cell r="F285" t="str">
            <v>MESCLA MEDIO</v>
          </cell>
          <cell r="G285" t="str">
            <v>P-M-G</v>
          </cell>
          <cell r="H285">
            <v>598</v>
          </cell>
          <cell r="I285">
            <v>271.82</v>
          </cell>
          <cell r="J285">
            <v>221.48</v>
          </cell>
          <cell r="K285">
            <v>-0.62963210702341144</v>
          </cell>
          <cell r="L285">
            <v>-0.18519608564491208</v>
          </cell>
        </row>
        <row r="286">
          <cell r="B286" t="str">
            <v>79.01.006901019</v>
          </cell>
          <cell r="C286" t="str">
            <v>79.01.0069</v>
          </cell>
          <cell r="D286" t="str">
            <v>01019</v>
          </cell>
          <cell r="E286" t="str">
            <v>TRICOT BASICO SOFT GOLA ROLE</v>
          </cell>
          <cell r="F286" t="str">
            <v>COD DISPONIVEL</v>
          </cell>
          <cell r="G286" t="str">
            <v>P-M-G</v>
          </cell>
          <cell r="H286">
            <v>598</v>
          </cell>
          <cell r="I286">
            <v>271.82</v>
          </cell>
          <cell r="J286">
            <v>221.48</v>
          </cell>
          <cell r="K286">
            <v>-0.62963210702341144</v>
          </cell>
          <cell r="L286">
            <v>-0.18519608564491208</v>
          </cell>
        </row>
        <row r="287">
          <cell r="B287" t="str">
            <v>79.01.006901040</v>
          </cell>
          <cell r="C287" t="str">
            <v>79.01.0069</v>
          </cell>
          <cell r="D287" t="str">
            <v>01040</v>
          </cell>
          <cell r="E287" t="str">
            <v>TRICOT BASICO SOFT GOLA ROLE</v>
          </cell>
          <cell r="F287" t="str">
            <v>VERDE DUFFEL</v>
          </cell>
          <cell r="G287" t="str">
            <v>P-M-G</v>
          </cell>
          <cell r="H287">
            <v>598</v>
          </cell>
          <cell r="I287">
            <v>271.82</v>
          </cell>
          <cell r="J287">
            <v>221.48</v>
          </cell>
          <cell r="K287">
            <v>-0.62963210702341144</v>
          </cell>
          <cell r="L287">
            <v>-0.18519608564491208</v>
          </cell>
        </row>
        <row r="288">
          <cell r="B288" t="str">
            <v>79.12.00930005</v>
          </cell>
          <cell r="C288" t="str">
            <v>79.12.0093</v>
          </cell>
          <cell r="D288" t="str">
            <v>0005</v>
          </cell>
          <cell r="E288" t="str">
            <v>BLUSA TRICOT PULL LUREX FENDA</v>
          </cell>
          <cell r="F288" t="str">
            <v>PRETO</v>
          </cell>
          <cell r="G288" t="str">
            <v>P-M-G</v>
          </cell>
          <cell r="H288">
            <v>698</v>
          </cell>
          <cell r="I288">
            <v>317.27</v>
          </cell>
          <cell r="J288">
            <v>258.52</v>
          </cell>
          <cell r="K288">
            <v>-0.62962750716332383</v>
          </cell>
          <cell r="L288">
            <v>-0.18517351152015638</v>
          </cell>
        </row>
        <row r="289">
          <cell r="B289" t="str">
            <v>79.12.013301035</v>
          </cell>
          <cell r="C289" t="str">
            <v>79.12.0133</v>
          </cell>
          <cell r="D289" t="str">
            <v>01035</v>
          </cell>
          <cell r="E289" t="str">
            <v>PULL TRICOT MIX LISTRAS COLOR</v>
          </cell>
          <cell r="F289" t="str">
            <v>VERDE MARCHE/PRETO</v>
          </cell>
          <cell r="G289" t="str">
            <v>P-M-G</v>
          </cell>
          <cell r="H289">
            <v>798</v>
          </cell>
          <cell r="I289">
            <v>362.73</v>
          </cell>
          <cell r="J289">
            <v>295.56</v>
          </cell>
          <cell r="K289">
            <v>-0.62962406015037597</v>
          </cell>
          <cell r="L289">
            <v>-0.18517905880406915</v>
          </cell>
        </row>
        <row r="290">
          <cell r="B290" t="str">
            <v>79.12.013701019</v>
          </cell>
          <cell r="C290" t="str">
            <v>79.12.0137</v>
          </cell>
          <cell r="D290" t="str">
            <v>01019</v>
          </cell>
          <cell r="E290" t="str">
            <v>MAXI PULL BASICO GOLA ALTA COLORS</v>
          </cell>
          <cell r="F290" t="str">
            <v>ROSA BERRY</v>
          </cell>
          <cell r="G290" t="str">
            <v>P-M-G</v>
          </cell>
          <cell r="H290">
            <v>698</v>
          </cell>
          <cell r="I290">
            <v>317.27</v>
          </cell>
          <cell r="J290">
            <v>258.52</v>
          </cell>
          <cell r="K290">
            <v>-0.62962750716332383</v>
          </cell>
          <cell r="L290">
            <v>-0.18517351152015638</v>
          </cell>
        </row>
        <row r="291">
          <cell r="B291" t="str">
            <v>79.12.013701020</v>
          </cell>
          <cell r="C291" t="str">
            <v>79.12.0137</v>
          </cell>
          <cell r="D291" t="str">
            <v>01020</v>
          </cell>
          <cell r="E291" t="str">
            <v>MAXI PULL BASICO GOLA ALTA COLORS</v>
          </cell>
          <cell r="F291" t="str">
            <v>CARAMELO TAFFY</v>
          </cell>
          <cell r="G291" t="str">
            <v>P-M-G</v>
          </cell>
          <cell r="H291">
            <v>698</v>
          </cell>
          <cell r="I291">
            <v>317.27</v>
          </cell>
          <cell r="J291">
            <v>258.52</v>
          </cell>
          <cell r="K291">
            <v>-0.62962750716332383</v>
          </cell>
          <cell r="L291">
            <v>-0.18517351152015638</v>
          </cell>
        </row>
        <row r="292">
          <cell r="B292" t="str">
            <v>79.12.01420002</v>
          </cell>
          <cell r="C292" t="str">
            <v>79.12.0142</v>
          </cell>
          <cell r="D292" t="str">
            <v>0002</v>
          </cell>
          <cell r="E292" t="str">
            <v>PULL TRICOT MIX PONTOS UTILITARIO</v>
          </cell>
          <cell r="F292" t="str">
            <v>BRANCO</v>
          </cell>
          <cell r="G292" t="str">
            <v>P-M-G</v>
          </cell>
          <cell r="H292">
            <v>898</v>
          </cell>
          <cell r="I292">
            <v>408.18</v>
          </cell>
          <cell r="J292">
            <v>332.59</v>
          </cell>
          <cell r="K292">
            <v>-0.62963251670378617</v>
          </cell>
          <cell r="L292">
            <v>-0.18518790729580092</v>
          </cell>
        </row>
        <row r="293">
          <cell r="B293" t="str">
            <v>79.12.01420005</v>
          </cell>
          <cell r="C293" t="str">
            <v>79.12.0142</v>
          </cell>
          <cell r="D293" t="str">
            <v>0005</v>
          </cell>
          <cell r="E293" t="str">
            <v>PULL TRICOT MIX PONTOS UTILITARIO</v>
          </cell>
          <cell r="F293" t="str">
            <v>PRETO</v>
          </cell>
          <cell r="G293" t="str">
            <v>P-M-G</v>
          </cell>
          <cell r="H293">
            <v>898</v>
          </cell>
          <cell r="I293">
            <v>408.18</v>
          </cell>
          <cell r="J293">
            <v>332.59</v>
          </cell>
          <cell r="K293">
            <v>-0.62963251670378617</v>
          </cell>
          <cell r="L293">
            <v>-0.18518790729580092</v>
          </cell>
        </row>
        <row r="294">
          <cell r="B294" t="str">
            <v>79.12.01470005</v>
          </cell>
          <cell r="C294" t="str">
            <v>79.12.0147</v>
          </cell>
          <cell r="D294" t="str">
            <v>0005</v>
          </cell>
          <cell r="E294" t="str">
            <v>CASACO TRICOT LONGO ILHOS</v>
          </cell>
          <cell r="F294" t="str">
            <v>PRETO</v>
          </cell>
          <cell r="G294" t="str">
            <v>P-M-G</v>
          </cell>
          <cell r="H294">
            <v>1198</v>
          </cell>
          <cell r="I294">
            <v>544.54999999999995</v>
          </cell>
          <cell r="J294">
            <v>443.7</v>
          </cell>
          <cell r="K294">
            <v>-0.62963272120200342</v>
          </cell>
          <cell r="L294">
            <v>-0.18519878799008349</v>
          </cell>
        </row>
        <row r="295">
          <cell r="B295" t="str">
            <v>79.12.01500015</v>
          </cell>
          <cell r="C295" t="str">
            <v>79.12.0150</v>
          </cell>
          <cell r="D295" t="str">
            <v>0015</v>
          </cell>
          <cell r="E295" t="str">
            <v>MAXI PULL BASICO GOLA ALTA</v>
          </cell>
          <cell r="F295" t="str">
            <v>MESCLA ESCURO</v>
          </cell>
          <cell r="G295" t="str">
            <v>P-M-G</v>
          </cell>
          <cell r="H295">
            <v>698</v>
          </cell>
          <cell r="I295">
            <v>317.27</v>
          </cell>
          <cell r="J295">
            <v>258.52</v>
          </cell>
          <cell r="K295">
            <v>-0.62962750716332383</v>
          </cell>
          <cell r="L295">
            <v>-0.18517351152015638</v>
          </cell>
        </row>
        <row r="296">
          <cell r="B296" t="str">
            <v>07.02.58810005</v>
          </cell>
          <cell r="C296" t="str">
            <v>07.02.5881</v>
          </cell>
          <cell r="D296" t="str">
            <v>0005</v>
          </cell>
          <cell r="E296" t="str">
            <v>VESTIDO TRICOT PULL LISTRADO</v>
          </cell>
          <cell r="F296" t="str">
            <v>PRETO/MARINHO</v>
          </cell>
          <cell r="G296" t="str">
            <v>P-M-G</v>
          </cell>
          <cell r="H296">
            <v>698</v>
          </cell>
          <cell r="I296">
            <v>317.27</v>
          </cell>
          <cell r="J296">
            <v>258.52</v>
          </cell>
          <cell r="K296">
            <v>-0.62962750716332383</v>
          </cell>
          <cell r="L296">
            <v>-0.18517351152015638</v>
          </cell>
        </row>
        <row r="297">
          <cell r="B297" t="str">
            <v>07.02.588101020</v>
          </cell>
          <cell r="C297" t="str">
            <v>07.02.5881</v>
          </cell>
          <cell r="D297" t="str">
            <v>01020</v>
          </cell>
          <cell r="E297" t="str">
            <v>VESTIDO TRICOT PULL LISTRADO</v>
          </cell>
          <cell r="F297" t="str">
            <v>CARAMELO TAFFY/BEGE OCHRE</v>
          </cell>
          <cell r="G297" t="str">
            <v>P-M-G</v>
          </cell>
          <cell r="H297">
            <v>698</v>
          </cell>
          <cell r="I297">
            <v>317.27</v>
          </cell>
          <cell r="J297">
            <v>258.52</v>
          </cell>
          <cell r="K297">
            <v>-0.62962750716332383</v>
          </cell>
          <cell r="L297">
            <v>-0.18517351152015638</v>
          </cell>
        </row>
        <row r="298">
          <cell r="B298" t="str">
            <v>07.09.07870005</v>
          </cell>
          <cell r="C298" t="str">
            <v>07.09.0787</v>
          </cell>
          <cell r="D298" t="str">
            <v>0005</v>
          </cell>
          <cell r="E298" t="str">
            <v>VESTIDO TRICOT DETALHE METALIZADO</v>
          </cell>
          <cell r="F298" t="str">
            <v>PRETO</v>
          </cell>
          <cell r="G298" t="str">
            <v>P-M-G</v>
          </cell>
          <cell r="H298">
            <v>798</v>
          </cell>
          <cell r="I298">
            <v>362.73</v>
          </cell>
          <cell r="J298">
            <v>295.56</v>
          </cell>
          <cell r="K298">
            <v>-0.62962406015037597</v>
          </cell>
          <cell r="L298">
            <v>-0.18517905880406915</v>
          </cell>
        </row>
        <row r="299">
          <cell r="B299" t="str">
            <v>07.09.08040005</v>
          </cell>
          <cell r="C299" t="str">
            <v>07.09.0804</v>
          </cell>
          <cell r="D299" t="str">
            <v>0005</v>
          </cell>
          <cell r="E299" t="str">
            <v>VESTIDO TRICOT LONGO POLO LISTRADO</v>
          </cell>
          <cell r="F299" t="str">
            <v>PRETO</v>
          </cell>
          <cell r="G299" t="str">
            <v>P-M-G</v>
          </cell>
          <cell r="H299">
            <v>898</v>
          </cell>
          <cell r="I299">
            <v>408.18</v>
          </cell>
          <cell r="J299">
            <v>332.59</v>
          </cell>
          <cell r="K299">
            <v>-0.62963251670378617</v>
          </cell>
          <cell r="L299">
            <v>-0.18518790729580092</v>
          </cell>
        </row>
        <row r="300">
          <cell r="B300" t="str">
            <v>07.20.450801040</v>
          </cell>
          <cell r="C300" t="str">
            <v>07.20.4508</v>
          </cell>
          <cell r="D300" t="str">
            <v>01040</v>
          </cell>
          <cell r="E300" t="str">
            <v>VESTIDO TRICOT AMARRACAO SEM MANGA COLOR</v>
          </cell>
          <cell r="F300" t="str">
            <v>VERDE DUFFEL</v>
          </cell>
          <cell r="G300" t="str">
            <v>P-M-G</v>
          </cell>
          <cell r="H300">
            <v>798</v>
          </cell>
          <cell r="I300">
            <v>362.73</v>
          </cell>
          <cell r="J300">
            <v>295.56</v>
          </cell>
          <cell r="K300">
            <v>-0.62962406015037597</v>
          </cell>
          <cell r="L300">
            <v>-0.18517905880406915</v>
          </cell>
        </row>
        <row r="301">
          <cell r="B301" t="str">
            <v>52.09.00326026</v>
          </cell>
          <cell r="C301" t="str">
            <v xml:space="preserve">52.09.0032  </v>
          </cell>
          <cell r="D301" t="str">
            <v xml:space="preserve">6026      </v>
          </cell>
          <cell r="E301" t="str">
            <v>BLUSA TRICOT PULL ZEBRA LA14</v>
          </cell>
          <cell r="F301" t="str">
            <v>MARROM BOHO X NUDE LACE</v>
          </cell>
          <cell r="G301" t="str">
            <v>P-M-G</v>
          </cell>
          <cell r="H301">
            <v>658</v>
          </cell>
          <cell r="I301">
            <v>299.08999999999997</v>
          </cell>
          <cell r="J301">
            <v>243.7</v>
          </cell>
          <cell r="K301">
            <v>-0.62963525835866263</v>
          </cell>
          <cell r="L301">
            <v>-0.18519509177839444</v>
          </cell>
        </row>
        <row r="302">
          <cell r="B302" t="str">
            <v>52.09.00326027</v>
          </cell>
          <cell r="C302" t="str">
            <v xml:space="preserve">52.09.0032  </v>
          </cell>
          <cell r="D302" t="str">
            <v xml:space="preserve">6027      </v>
          </cell>
          <cell r="E302" t="str">
            <v>BLUSA TRICOT PULL ZEBRA LA14</v>
          </cell>
          <cell r="F302" t="str">
            <v>NUDE LACE X MARROM BOHO</v>
          </cell>
          <cell r="G302" t="str">
            <v>P-M-G</v>
          </cell>
          <cell r="H302">
            <v>658</v>
          </cell>
          <cell r="I302">
            <v>299.08999999999997</v>
          </cell>
          <cell r="J302">
            <v>243.7</v>
          </cell>
          <cell r="K302">
            <v>-0.62963525835866263</v>
          </cell>
          <cell r="L302">
            <v>-0.18519509177839444</v>
          </cell>
        </row>
        <row r="303">
          <cell r="B303" t="str">
            <v>09.02.05470005</v>
          </cell>
          <cell r="C303" t="str">
            <v xml:space="preserve">09.02.0547  </v>
          </cell>
          <cell r="D303" t="str">
            <v xml:space="preserve">0005      </v>
          </cell>
          <cell r="E303" t="str">
            <v>BOTA DE CAMURCA E TRICOT CANO MEDIO</v>
          </cell>
          <cell r="F303" t="str">
            <v>PRETO</v>
          </cell>
          <cell r="G303" t="str">
            <v>SAPATOS 35/39</v>
          </cell>
          <cell r="H303">
            <v>548</v>
          </cell>
          <cell r="I303">
            <v>249.09</v>
          </cell>
          <cell r="J303">
            <v>202.96</v>
          </cell>
          <cell r="K303">
            <v>-0.62963503649635033</v>
          </cell>
          <cell r="L303">
            <v>-0.18519410654783408</v>
          </cell>
        </row>
        <row r="304">
          <cell r="B304" t="str">
            <v>09.02.05480005</v>
          </cell>
          <cell r="C304" t="str">
            <v xml:space="preserve">09.02.0548  </v>
          </cell>
          <cell r="D304" t="str">
            <v xml:space="preserve">0005      </v>
          </cell>
          <cell r="E304" t="str">
            <v>BOTA DE COURO E NEOPRENE CANO ALTO</v>
          </cell>
          <cell r="F304" t="str">
            <v>PRETO</v>
          </cell>
          <cell r="G304" t="str">
            <v>SAPATOS 35/39</v>
          </cell>
          <cell r="H304">
            <v>998</v>
          </cell>
          <cell r="I304">
            <v>453.64</v>
          </cell>
          <cell r="J304">
            <v>369.63</v>
          </cell>
          <cell r="K304">
            <v>-0.629629258517034</v>
          </cell>
          <cell r="L304">
            <v>-0.18519090027334451</v>
          </cell>
        </row>
        <row r="305">
          <cell r="B305" t="str">
            <v>25.01.28870005</v>
          </cell>
          <cell r="C305" t="str">
            <v xml:space="preserve">25.01.2887  </v>
          </cell>
          <cell r="D305" t="str">
            <v xml:space="preserve">0005      </v>
          </cell>
          <cell r="E305" t="str">
            <v>CALCA CURTA MOLETINHO PRETA</v>
          </cell>
          <cell r="F305" t="str">
            <v>PRETO</v>
          </cell>
          <cell r="G305" t="str">
            <v>P-M-G</v>
          </cell>
          <cell r="H305">
            <v>548</v>
          </cell>
          <cell r="I305">
            <v>249.09</v>
          </cell>
          <cell r="J305">
            <v>202.96</v>
          </cell>
          <cell r="K305">
            <v>-0.62963503649635033</v>
          </cell>
          <cell r="L305">
            <v>-0.18519410654783408</v>
          </cell>
        </row>
        <row r="306">
          <cell r="B306" t="str">
            <v>78.01.04660005</v>
          </cell>
          <cell r="C306" t="str">
            <v xml:space="preserve">78.01.0466  </v>
          </cell>
          <cell r="D306" t="str">
            <v xml:space="preserve">0005      </v>
          </cell>
          <cell r="E306" t="str">
            <v>CAMISA TRICOT GOLA POLO</v>
          </cell>
          <cell r="F306" t="str">
            <v>PRETO</v>
          </cell>
          <cell r="G306" t="str">
            <v>P AO G</v>
          </cell>
          <cell r="H306">
            <v>698</v>
          </cell>
          <cell r="I306">
            <v>317.27</v>
          </cell>
          <cell r="J306">
            <v>258.52</v>
          </cell>
          <cell r="K306">
            <v>-0.62962750716332383</v>
          </cell>
          <cell r="L306">
            <v>-0.18517351152015638</v>
          </cell>
        </row>
        <row r="307">
          <cell r="B307" t="str">
            <v>07.02.57524612</v>
          </cell>
          <cell r="C307" t="str">
            <v>07.02.5752</v>
          </cell>
          <cell r="D307" t="str">
            <v>4612</v>
          </cell>
          <cell r="E307" t="str">
            <v>VESTIDO CURTO</v>
          </cell>
          <cell r="F307" t="str">
            <v>EST ONCA LILAS VER</v>
          </cell>
          <cell r="G307" t="str">
            <v>36-44</v>
          </cell>
          <cell r="H307">
            <v>898</v>
          </cell>
          <cell r="I307">
            <v>408.18</v>
          </cell>
          <cell r="J307">
            <v>332.59</v>
          </cell>
          <cell r="K307">
            <v>-0.62963251670378617</v>
          </cell>
          <cell r="L307">
            <v>-0.18518790729580092</v>
          </cell>
        </row>
        <row r="308">
          <cell r="B308" t="str">
            <v>07.04.06454612</v>
          </cell>
          <cell r="C308" t="str">
            <v>07.04.0645</v>
          </cell>
          <cell r="D308" t="str">
            <v>4612</v>
          </cell>
          <cell r="E308" t="str">
            <v>VESTIDO SURF</v>
          </cell>
          <cell r="F308" t="str">
            <v>EST ONCA LILAS VER</v>
          </cell>
          <cell r="G308" t="str">
            <v>36-44</v>
          </cell>
          <cell r="H308">
            <v>1198</v>
          </cell>
          <cell r="I308">
            <v>544.54999999999995</v>
          </cell>
          <cell r="J308">
            <v>443.7</v>
          </cell>
          <cell r="K308">
            <v>-0.62963272120200342</v>
          </cell>
          <cell r="L308">
            <v>-0.18519878799008349</v>
          </cell>
        </row>
        <row r="309">
          <cell r="B309" t="str">
            <v>04.13.09250005</v>
          </cell>
          <cell r="C309" t="str">
            <v>04.13.0925</v>
          </cell>
          <cell r="D309" t="str">
            <v>0005</v>
          </cell>
          <cell r="E309" t="str">
            <v>CALCA DE COURO E MALHA MATELASSE</v>
          </cell>
          <cell r="F309" t="str">
            <v>PRETO</v>
          </cell>
          <cell r="G309" t="str">
            <v>36-44</v>
          </cell>
          <cell r="H309">
            <v>2998</v>
          </cell>
          <cell r="I309">
            <v>1362.73</v>
          </cell>
          <cell r="J309">
            <v>1110.3699999999999</v>
          </cell>
          <cell r="K309">
            <v>-0.62962975316877923</v>
          </cell>
          <cell r="L309">
            <v>-0.18518708768428094</v>
          </cell>
        </row>
        <row r="310">
          <cell r="B310" t="str">
            <v>07.02.57576216</v>
          </cell>
          <cell r="C310" t="str">
            <v>07.02.5757</v>
          </cell>
          <cell r="D310" t="str">
            <v>6216</v>
          </cell>
          <cell r="E310" t="str">
            <v>VESTIDO CAIXOTE PAETE</v>
          </cell>
          <cell r="F310" t="str">
            <v>MARROM OURO</v>
          </cell>
          <cell r="G310" t="str">
            <v>36-44</v>
          </cell>
          <cell r="H310">
            <v>998</v>
          </cell>
          <cell r="I310">
            <v>453.64</v>
          </cell>
          <cell r="J310">
            <v>369.63</v>
          </cell>
          <cell r="K310">
            <v>-0.629629258517034</v>
          </cell>
          <cell r="L310">
            <v>-0.18519090027334451</v>
          </cell>
        </row>
        <row r="311">
          <cell r="B311" t="str">
            <v>07.93.16756216</v>
          </cell>
          <cell r="C311" t="str">
            <v>07.93.1675</v>
          </cell>
          <cell r="D311" t="str">
            <v>6216</v>
          </cell>
          <cell r="E311" t="str">
            <v>MACACAO PAETE TRANSPASSE DOURADO</v>
          </cell>
          <cell r="F311" t="str">
            <v>MARROM OURO</v>
          </cell>
          <cell r="G311" t="str">
            <v>36-44</v>
          </cell>
          <cell r="H311">
            <v>1598</v>
          </cell>
          <cell r="I311">
            <v>726.36</v>
          </cell>
          <cell r="J311">
            <v>591.85</v>
          </cell>
          <cell r="K311">
            <v>-0.62963078848560694</v>
          </cell>
          <cell r="L311">
            <v>-0.18518365548763693</v>
          </cell>
        </row>
        <row r="312">
          <cell r="B312" t="str">
            <v>04.13.08670005</v>
          </cell>
          <cell r="C312" t="str">
            <v>04.13.0867</v>
          </cell>
          <cell r="D312" t="str">
            <v>0005</v>
          </cell>
          <cell r="E312" t="str">
            <v>CALCA JOGGING BOLSOS</v>
          </cell>
          <cell r="F312" t="str">
            <v>PRETO</v>
          </cell>
          <cell r="G312" t="str">
            <v>36-44</v>
          </cell>
          <cell r="H312">
            <v>898</v>
          </cell>
          <cell r="I312">
            <v>408.18</v>
          </cell>
          <cell r="J312">
            <v>332.59</v>
          </cell>
          <cell r="K312">
            <v>-0.62963251670378617</v>
          </cell>
          <cell r="L312">
            <v>-0.18518790729580092</v>
          </cell>
        </row>
        <row r="313">
          <cell r="B313" t="str">
            <v>09.01.17110005</v>
          </cell>
          <cell r="C313" t="str">
            <v>09.01.1711</v>
          </cell>
          <cell r="D313" t="str">
            <v>0005</v>
          </cell>
          <cell r="E313" t="str">
            <v>SANDALIA DE COURO AMARRACAO ANML</v>
          </cell>
          <cell r="F313" t="str">
            <v>PRETO</v>
          </cell>
          <cell r="G313" t="str">
            <v>SAPATOS-34/40</v>
          </cell>
          <cell r="H313">
            <v>798</v>
          </cell>
          <cell r="I313">
            <v>362.73</v>
          </cell>
          <cell r="J313">
            <v>295.56</v>
          </cell>
          <cell r="K313">
            <v>-0.62962406015037597</v>
          </cell>
          <cell r="L313">
            <v>-0.18517905880406915</v>
          </cell>
        </row>
        <row r="314">
          <cell r="B314" t="str">
            <v>09.01.18430005</v>
          </cell>
          <cell r="C314" t="str">
            <v>09.01.1843</v>
          </cell>
          <cell r="D314" t="str">
            <v>0005</v>
          </cell>
          <cell r="E314" t="str">
            <v>SANDALIA DE COURO PELO FAKE VELCRO</v>
          </cell>
          <cell r="F314" t="str">
            <v>PRETO</v>
          </cell>
          <cell r="G314" t="str">
            <v>SAPATOS 34/39</v>
          </cell>
          <cell r="H314">
            <v>698</v>
          </cell>
          <cell r="I314">
            <v>317.27</v>
          </cell>
          <cell r="J314">
            <v>258.52</v>
          </cell>
          <cell r="K314">
            <v>-0.62962750716332383</v>
          </cell>
          <cell r="L314">
            <v>-0.18517351152015638</v>
          </cell>
        </row>
        <row r="315">
          <cell r="B315" t="str">
            <v>09.01.184301035</v>
          </cell>
          <cell r="C315" t="str">
            <v>09.01.1843</v>
          </cell>
          <cell r="D315" t="str">
            <v>01035</v>
          </cell>
          <cell r="E315" t="str">
            <v>SANDALIA DE COURO PELO FAKE VELCRO</v>
          </cell>
          <cell r="F315" t="str">
            <v>VERDE MARCHE</v>
          </cell>
          <cell r="G315" t="str">
            <v>SAPATOS 34/39</v>
          </cell>
          <cell r="H315">
            <v>698</v>
          </cell>
          <cell r="I315">
            <v>317.27</v>
          </cell>
          <cell r="J315">
            <v>258.52</v>
          </cell>
          <cell r="K315">
            <v>-0.62962750716332383</v>
          </cell>
          <cell r="L315">
            <v>-0.18517351152015638</v>
          </cell>
        </row>
        <row r="316">
          <cell r="B316" t="str">
            <v>09.02.05136206</v>
          </cell>
          <cell r="C316" t="str">
            <v>09.02.0513</v>
          </cell>
          <cell r="D316" t="str">
            <v>6206</v>
          </cell>
          <cell r="E316" t="str">
            <v>BOTA DE COURO SALMAO METAL ANML</v>
          </cell>
          <cell r="F316" t="str">
            <v>BEGE KHAKI</v>
          </cell>
          <cell r="G316" t="str">
            <v>SAPATOS-34/40</v>
          </cell>
          <cell r="H316">
            <v>998</v>
          </cell>
          <cell r="I316">
            <v>453.64</v>
          </cell>
          <cell r="J316">
            <v>369.63</v>
          </cell>
          <cell r="K316">
            <v>-0.629629258517034</v>
          </cell>
          <cell r="L316">
            <v>-0.18519090027334451</v>
          </cell>
        </row>
        <row r="317">
          <cell r="B317" t="str">
            <v>03.04.03340005</v>
          </cell>
          <cell r="C317" t="str">
            <v>03.04.0334</v>
          </cell>
          <cell r="D317" t="str">
            <v>0005</v>
          </cell>
          <cell r="E317" t="str">
            <v>BLAZER CREPE</v>
          </cell>
          <cell r="F317" t="str">
            <v>PRETO</v>
          </cell>
          <cell r="G317" t="str">
            <v>36-44</v>
          </cell>
          <cell r="H317">
            <v>1698</v>
          </cell>
          <cell r="I317">
            <v>771.82</v>
          </cell>
          <cell r="J317">
            <v>628.89</v>
          </cell>
          <cell r="K317">
            <v>-0.62962897526501771</v>
          </cell>
          <cell r="L317">
            <v>-0.18518566505143697</v>
          </cell>
        </row>
        <row r="318">
          <cell r="B318" t="str">
            <v>24.01.16490002</v>
          </cell>
          <cell r="C318" t="str">
            <v>24.01.1649</v>
          </cell>
          <cell r="D318" t="str">
            <v>0002</v>
          </cell>
          <cell r="E318" t="str">
            <v>CAMISA OMBRO DESLOCADO SIGNOS</v>
          </cell>
          <cell r="F318" t="str">
            <v>BRANCO</v>
          </cell>
          <cell r="G318" t="str">
            <v>P-M-G</v>
          </cell>
          <cell r="H318">
            <v>598</v>
          </cell>
          <cell r="I318">
            <v>271.82</v>
          </cell>
          <cell r="J318">
            <v>221.48</v>
          </cell>
          <cell r="K318">
            <v>-0.62963210702341144</v>
          </cell>
          <cell r="L318">
            <v>-0.18519608564491208</v>
          </cell>
        </row>
        <row r="319">
          <cell r="B319" t="str">
            <v>04.13.09090005</v>
          </cell>
          <cell r="C319" t="str">
            <v>04.13.0909</v>
          </cell>
          <cell r="D319" t="str">
            <v>0005</v>
          </cell>
          <cell r="E319" t="str">
            <v>CALCA LOOSE CARROT PRETO</v>
          </cell>
          <cell r="F319" t="str">
            <v>PRETO</v>
          </cell>
          <cell r="G319" t="str">
            <v>PP-GG</v>
          </cell>
          <cell r="H319">
            <v>498</v>
          </cell>
          <cell r="I319">
            <v>226.36</v>
          </cell>
          <cell r="J319">
            <v>184.44</v>
          </cell>
          <cell r="K319">
            <v>-0.62963855421686743</v>
          </cell>
          <cell r="L319">
            <v>-0.18519172998763034</v>
          </cell>
        </row>
        <row r="320">
          <cell r="B320" t="str">
            <v>07.93.17710005</v>
          </cell>
          <cell r="C320" t="str">
            <v>07.93.1771</v>
          </cell>
          <cell r="D320" t="str">
            <v>0005</v>
          </cell>
          <cell r="E320" t="str">
            <v>MACACAO LOOSE OMBRO A OMBRO PRETO</v>
          </cell>
          <cell r="F320" t="str">
            <v>PRETO</v>
          </cell>
          <cell r="G320" t="str">
            <v>PP-GG</v>
          </cell>
          <cell r="H320">
            <v>598</v>
          </cell>
          <cell r="I320">
            <v>271.82</v>
          </cell>
          <cell r="J320">
            <v>221.48</v>
          </cell>
          <cell r="K320">
            <v>-0.62963210702341144</v>
          </cell>
          <cell r="L320">
            <v>-0.18519608564491208</v>
          </cell>
        </row>
        <row r="321">
          <cell r="B321" t="str">
            <v>07.93.16350005</v>
          </cell>
          <cell r="C321" t="str">
            <v>07.93.1635</v>
          </cell>
          <cell r="D321" t="str">
            <v>0005</v>
          </cell>
          <cell r="E321" t="str">
            <v>MACACAO ELEGANCE PRETO</v>
          </cell>
          <cell r="F321" t="str">
            <v>PRETO</v>
          </cell>
          <cell r="G321" t="str">
            <v>P-M-G</v>
          </cell>
          <cell r="H321">
            <v>898</v>
          </cell>
          <cell r="I321">
            <v>408.18</v>
          </cell>
          <cell r="J321">
            <v>332.59</v>
          </cell>
          <cell r="K321">
            <v>-0.62963251670378617</v>
          </cell>
          <cell r="L321">
            <v>-0.18518790729580092</v>
          </cell>
        </row>
        <row r="322">
          <cell r="B322" t="str">
            <v>43.01.04550002</v>
          </cell>
          <cell r="C322" t="str">
            <v>43.01.0455</v>
          </cell>
          <cell r="D322" t="str">
            <v>0002</v>
          </cell>
          <cell r="E322" t="str">
            <v>BLUSA MG LONGA GOLA ALTA JESS</v>
          </cell>
          <cell r="F322" t="str">
            <v>BRANCO</v>
          </cell>
          <cell r="G322" t="str">
            <v>P-M-G-GG</v>
          </cell>
          <cell r="H322">
            <v>178</v>
          </cell>
          <cell r="I322">
            <v>80.91</v>
          </cell>
          <cell r="J322">
            <v>65.930000000000007</v>
          </cell>
          <cell r="K322">
            <v>-0.62960674157303365</v>
          </cell>
          <cell r="L322">
            <v>-0.18514398714621172</v>
          </cell>
        </row>
        <row r="323">
          <cell r="B323" t="str">
            <v>43.01.04536209</v>
          </cell>
          <cell r="C323" t="str">
            <v>43.01.0453</v>
          </cell>
          <cell r="D323" t="str">
            <v>6209</v>
          </cell>
          <cell r="E323" t="str">
            <v>BLUSA MG LONGA ALTA JESS COLOR</v>
          </cell>
          <cell r="F323" t="str">
            <v>CINZA OLIVA</v>
          </cell>
          <cell r="G323" t="str">
            <v>P-M-G-GG</v>
          </cell>
          <cell r="H323">
            <v>198</v>
          </cell>
          <cell r="I323">
            <v>90</v>
          </cell>
          <cell r="J323">
            <v>73.33</v>
          </cell>
          <cell r="K323">
            <v>-0.62964646464646468</v>
          </cell>
          <cell r="L323">
            <v>-0.18522222222222229</v>
          </cell>
        </row>
        <row r="324">
          <cell r="B324" t="str">
            <v>24.01.161601035</v>
          </cell>
          <cell r="C324" t="str">
            <v>24.01.1616</v>
          </cell>
          <cell r="D324" t="str">
            <v>01035</v>
          </cell>
          <cell r="E324" t="str">
            <v>CAMISA MANGA CURTA VERDE MARCHE</v>
          </cell>
          <cell r="F324" t="str">
            <v>VERDE MARCHE</v>
          </cell>
          <cell r="G324" t="str">
            <v>36-44</v>
          </cell>
          <cell r="H324">
            <v>358</v>
          </cell>
          <cell r="I324">
            <v>162.72999999999999</v>
          </cell>
          <cell r="J324">
            <v>132.59</v>
          </cell>
          <cell r="K324">
            <v>-0.62963687150837988</v>
          </cell>
          <cell r="L324">
            <v>-0.18521477293676636</v>
          </cell>
        </row>
        <row r="325">
          <cell r="B325" t="str">
            <v>25.01.27090600</v>
          </cell>
          <cell r="C325" t="str">
            <v>25.01.2709</v>
          </cell>
          <cell r="D325" t="str">
            <v>0600</v>
          </cell>
          <cell r="E325" t="str">
            <v>CALCA CLOCHARD PAETE</v>
          </cell>
          <cell r="F325" t="str">
            <v>MARROM</v>
          </cell>
          <cell r="G325" t="str">
            <v>P-M-G</v>
          </cell>
          <cell r="H325">
            <v>1198</v>
          </cell>
          <cell r="I325">
            <v>544.54999999999995</v>
          </cell>
          <cell r="J325">
            <v>443.7</v>
          </cell>
          <cell r="K325">
            <v>-0.62963272120200342</v>
          </cell>
          <cell r="L325">
            <v>-0.18519878799008349</v>
          </cell>
        </row>
        <row r="326">
          <cell r="B326" t="str">
            <v>07.02.57946216</v>
          </cell>
          <cell r="C326" t="str">
            <v>07.02.5794</v>
          </cell>
          <cell r="D326" t="str">
            <v>6216</v>
          </cell>
          <cell r="E326" t="str">
            <v>VESTIDO AMPLO ILHOES</v>
          </cell>
          <cell r="F326" t="str">
            <v>MARROM OURO</v>
          </cell>
          <cell r="G326" t="str">
            <v>36-44</v>
          </cell>
          <cell r="H326">
            <v>798</v>
          </cell>
          <cell r="I326">
            <v>362.73</v>
          </cell>
          <cell r="J326">
            <v>295.56</v>
          </cell>
          <cell r="K326">
            <v>-0.62962406015037597</v>
          </cell>
          <cell r="L326">
            <v>-0.18517905880406915</v>
          </cell>
        </row>
        <row r="327">
          <cell r="B327" t="str">
            <v>07.21.07666216</v>
          </cell>
          <cell r="C327" t="str">
            <v>07.21.0766</v>
          </cell>
          <cell r="D327" t="str">
            <v>6216</v>
          </cell>
          <cell r="E327" t="str">
            <v>VESTIDO DE LIOCEL CAPA</v>
          </cell>
          <cell r="F327" t="str">
            <v>MARROM OURO</v>
          </cell>
          <cell r="G327" t="str">
            <v>36-44</v>
          </cell>
          <cell r="H327">
            <v>1298</v>
          </cell>
          <cell r="I327">
            <v>590</v>
          </cell>
          <cell r="J327">
            <v>480.74</v>
          </cell>
          <cell r="K327">
            <v>-0.62963020030816641</v>
          </cell>
          <cell r="L327">
            <v>-0.18518644067796608</v>
          </cell>
        </row>
        <row r="328">
          <cell r="B328" t="str">
            <v>25.30.00450005</v>
          </cell>
          <cell r="C328" t="str">
            <v>25.30.0045</v>
          </cell>
          <cell r="D328" t="str">
            <v>0005</v>
          </cell>
          <cell r="E328" t="str">
            <v>SAIA TRICOT MIX UTILITARIA</v>
          </cell>
          <cell r="F328" t="str">
            <v>PRETO</v>
          </cell>
          <cell r="G328" t="str">
            <v>P-M-G</v>
          </cell>
          <cell r="H328">
            <v>598</v>
          </cell>
          <cell r="I328">
            <v>271.82</v>
          </cell>
          <cell r="J328">
            <v>221.48</v>
          </cell>
          <cell r="K328">
            <v>-0.62963210702341144</v>
          </cell>
          <cell r="L328">
            <v>-0.18519608564491208</v>
          </cell>
        </row>
        <row r="329">
          <cell r="B329" t="str">
            <v>78.01.03940005</v>
          </cell>
          <cell r="C329" t="str">
            <v>78.01.0394</v>
          </cell>
          <cell r="D329" t="str">
            <v>0005</v>
          </cell>
          <cell r="E329" t="str">
            <v>BLUSA TRICOT RECORTE COLOR</v>
          </cell>
          <cell r="F329" t="str">
            <v>PRETO/AZUL KLEIN</v>
          </cell>
          <cell r="G329" t="str">
            <v>P-M-G</v>
          </cell>
          <cell r="H329">
            <v>498</v>
          </cell>
          <cell r="I329">
            <v>226.36</v>
          </cell>
          <cell r="J329">
            <v>184.44</v>
          </cell>
          <cell r="K329">
            <v>-0.62963855421686743</v>
          </cell>
          <cell r="L329">
            <v>-0.18519172998763034</v>
          </cell>
        </row>
        <row r="330">
          <cell r="B330" t="str">
            <v>78.01.03970005</v>
          </cell>
          <cell r="C330" t="str">
            <v>78.01.0397</v>
          </cell>
          <cell r="D330" t="str">
            <v>0005</v>
          </cell>
          <cell r="E330" t="str">
            <v>BLUSA MANGA LONGA TRICOT LISTRAS BICOLOR</v>
          </cell>
          <cell r="F330" t="str">
            <v>PRETO/OFF WHITE</v>
          </cell>
          <cell r="G330" t="str">
            <v>P-M-G</v>
          </cell>
          <cell r="H330">
            <v>598</v>
          </cell>
          <cell r="I330">
            <v>271.82</v>
          </cell>
          <cell r="J330">
            <v>221.48</v>
          </cell>
          <cell r="K330">
            <v>-0.62963210702341144</v>
          </cell>
          <cell r="L330">
            <v>-0.18519608564491208</v>
          </cell>
        </row>
        <row r="331">
          <cell r="B331" t="str">
            <v>78.01.04510003</v>
          </cell>
          <cell r="C331" t="str">
            <v>78.01.0451</v>
          </cell>
          <cell r="D331" t="str">
            <v>0003</v>
          </cell>
          <cell r="E331" t="str">
            <v>BLUSA ML TRICOT LISTRAS BICOLOR KLEIN</v>
          </cell>
          <cell r="F331" t="str">
            <v>OFF WHITE/AZUL KLEIN</v>
          </cell>
          <cell r="G331" t="str">
            <v>P-M-G</v>
          </cell>
          <cell r="H331">
            <v>598</v>
          </cell>
          <cell r="I331">
            <v>271.82</v>
          </cell>
          <cell r="J331">
            <v>221.48</v>
          </cell>
          <cell r="K331">
            <v>-0.62963210702341144</v>
          </cell>
          <cell r="L331">
            <v>-0.18519608564491208</v>
          </cell>
        </row>
        <row r="332">
          <cell r="B332" t="str">
            <v>78.01.04980005</v>
          </cell>
          <cell r="C332" t="str">
            <v>78.01.0498</v>
          </cell>
          <cell r="D332" t="str">
            <v>0005</v>
          </cell>
          <cell r="E332" t="str">
            <v>BLUSA TRICOT CROPPED COM LISTRAS</v>
          </cell>
          <cell r="F332" t="str">
            <v>PRETO</v>
          </cell>
          <cell r="G332" t="str">
            <v>P-M-G</v>
          </cell>
          <cell r="H332">
            <v>458</v>
          </cell>
          <cell r="I332">
            <v>208.18</v>
          </cell>
          <cell r="J332">
            <v>169.63</v>
          </cell>
          <cell r="K332">
            <v>-0.62962882096069872</v>
          </cell>
          <cell r="L332">
            <v>-0.18517628974925548</v>
          </cell>
        </row>
        <row r="333">
          <cell r="B333" t="str">
            <v>78.01.05090005</v>
          </cell>
          <cell r="C333" t="str">
            <v>78.01.0509</v>
          </cell>
          <cell r="D333" t="str">
            <v>0005</v>
          </cell>
          <cell r="E333" t="str">
            <v>BLUSA TRICOT BICOLOR COM TRANSPARENCIA</v>
          </cell>
          <cell r="F333" t="str">
            <v>PRETO</v>
          </cell>
          <cell r="G333" t="str">
            <v>P-M-G</v>
          </cell>
          <cell r="H333">
            <v>598</v>
          </cell>
          <cell r="I333">
            <v>271.82</v>
          </cell>
          <cell r="J333">
            <v>221.48</v>
          </cell>
          <cell r="K333">
            <v>-0.62963210702341144</v>
          </cell>
          <cell r="L333">
            <v>-0.18519608564491208</v>
          </cell>
        </row>
        <row r="334">
          <cell r="B334" t="str">
            <v>78.06.00960005</v>
          </cell>
          <cell r="C334" t="str">
            <v>78.06.0096</v>
          </cell>
          <cell r="D334" t="str">
            <v>0005</v>
          </cell>
          <cell r="E334" t="str">
            <v>VESTIDO ML TRICOLOR LISTRA BICOLOR</v>
          </cell>
          <cell r="F334" t="str">
            <v>PRETO/OFF WHITE</v>
          </cell>
          <cell r="G334" t="str">
            <v>P-M-G</v>
          </cell>
          <cell r="H334">
            <v>798</v>
          </cell>
          <cell r="I334">
            <v>362.73</v>
          </cell>
          <cell r="J334">
            <v>295.56</v>
          </cell>
          <cell r="K334">
            <v>-0.62962406015037597</v>
          </cell>
          <cell r="L334">
            <v>-0.18517905880406915</v>
          </cell>
        </row>
      </sheetData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92.168.9.200 DB_VIEWS WANM_LOGISTICA_PRODUTO_EMBALADO_FARM" backgroundRefresh="0" adjustColumnWidth="0" connectionId="1" xr16:uid="{00000000-0016-0000-0100-000000000000}" autoFormatId="16" applyNumberFormats="0" applyBorderFormats="0" applyFontFormats="0" applyPatternFormats="0" applyAlignmentFormats="0" applyWidthHeightFormats="0">
  <queryTableRefresh nextId="18" unboundColumnsRight="9">
    <queryTableFields count="15">
      <queryTableField id="1" name="PRODUTO" tableColumnId="1"/>
      <queryTableField id="2" name="DESCRIÇÃO" tableColumnId="2"/>
      <queryTableField id="3" name="COR" tableColumnId="3"/>
      <queryTableField id="4" name="DESCRIÇÃO COR" tableColumnId="4"/>
      <queryTableField id="5" name="PREÇO" tableColumnId="5"/>
      <queryTableField id="6" name="GRADE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92.168.9.200 DB_VIEWS WANM_LOGISTICA_PRODUTO_EMBALADO_FARM" backgroundRefresh="0" adjustColumnWidth="0" connectionId="2" xr16:uid="{00000000-0016-0000-0200-000001000000}" autoFormatId="16" applyNumberFormats="0" applyBorderFormats="0" applyFontFormats="0" applyPatternFormats="0" applyAlignmentFormats="0" applyWidthHeightFormats="0">
  <queryTableRefresh nextId="18" unboundColumnsRight="9">
    <queryTableFields count="15">
      <queryTableField id="1" name="PRODUTO" tableColumnId="1"/>
      <queryTableField id="2" name="DESCRIÇÃO" tableColumnId="2"/>
      <queryTableField id="3" name="COR" tableColumnId="3"/>
      <queryTableField id="4" name="DESCRIÇÃO COR" tableColumnId="4"/>
      <queryTableField id="5" name="PREÇO" tableColumnId="5"/>
      <queryTableField id="6" name="GRADE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92.168.9.200 DB_VIEWS WANM_LOGISTICA_PRODUTO_EMBALADO_FARM" backgroundRefresh="0" adjustColumnWidth="0" connectionId="3" xr16:uid="{00000000-0016-0000-0300-000002000000}" autoFormatId="16" applyNumberFormats="0" applyBorderFormats="0" applyFontFormats="0" applyPatternFormats="0" applyAlignmentFormats="0" applyWidthHeightFormats="0">
  <queryTableRefresh nextId="18" unboundColumnsRight="9">
    <queryTableFields count="15">
      <queryTableField id="1" name="PRODUTO" tableColumnId="1"/>
      <queryTableField id="2" name="DESCRIÇÃO" tableColumnId="2"/>
      <queryTableField id="3" name="COR" tableColumnId="3"/>
      <queryTableField id="4" name="DESCRIÇÃO COR" tableColumnId="4"/>
      <queryTableField id="5" name="PREÇO" tableColumnId="5"/>
      <queryTableField id="6" name="GRADE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92.168.9.200 DB_VIEWS WANM_LOGISTICA_PRODUTO_EMBALADO_FARM" backgroundRefresh="0" adjustColumnWidth="0" connectionId="4" xr16:uid="{00000000-0016-0000-0400-000003000000}" autoFormatId="16" applyNumberFormats="0" applyBorderFormats="0" applyFontFormats="0" applyPatternFormats="0" applyAlignmentFormats="0" applyWidthHeightFormats="0">
  <queryTableRefresh nextId="18" unboundColumnsRight="9">
    <queryTableFields count="15">
      <queryTableField id="1" name="PRODUTO" tableColumnId="1"/>
      <queryTableField id="2" name="DESCRIÇÃO" tableColumnId="2"/>
      <queryTableField id="3" name="COR" tableColumnId="3"/>
      <queryTableField id="4" name="DESCRIÇÃO COR" tableColumnId="4"/>
      <queryTableField id="5" name="PREÇO" tableColumnId="5"/>
      <queryTableField id="6" name="GRADE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92.168.9.200 DB_VIEWS WANM_LOGISTICA_PRODUTO_EMBALADO_FARM" backgroundRefresh="0" adjustColumnWidth="0" connectionId="5" xr16:uid="{00000000-0016-0000-0600-000005000000}" autoFormatId="16" applyNumberFormats="0" applyBorderFormats="0" applyFontFormats="0" applyPatternFormats="0" applyAlignmentFormats="0" applyWidthHeightFormats="0">
  <queryTableRefresh nextId="20" unboundColumnsRight="13">
    <queryTableFields count="19">
      <queryTableField id="1" name="PRODUTO" tableColumnId="1"/>
      <queryTableField id="2" name="DESCRIÇÃO" tableColumnId="2"/>
      <queryTableField id="3" name="COR" tableColumnId="3"/>
      <queryTableField id="4" name="DESCRIÇÃO COR" tableColumnId="4"/>
      <queryTableField id="5" name="PREÇO" tableColumnId="5"/>
      <queryTableField id="6" name="GRADE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22" displayName="TABELA22" ref="B15:P99" tableType="queryTable" totalsRowShown="0" headerRowDxfId="152" dataDxfId="151" totalsRowDxfId="150">
  <autoFilter ref="B15:P99" xr:uid="{00000000-000C-0000-FFFF-FFFF00000000}"/>
  <tableColumns count="15">
    <tableColumn id="1" xr3:uid="{00000000-0010-0000-0000-000001000000}" uniqueName="1" name="PRODUTO" queryTableFieldId="1" dataDxfId="149" totalsRowDxfId="148"/>
    <tableColumn id="2" xr3:uid="{00000000-0010-0000-0000-000002000000}" uniqueName="2" name="DESCRIÇÃO" queryTableFieldId="2" dataDxfId="147" totalsRowDxfId="146"/>
    <tableColumn id="3" xr3:uid="{00000000-0010-0000-0000-000003000000}" uniqueName="3" name="COR" queryTableFieldId="3" dataDxfId="145" totalsRowDxfId="144"/>
    <tableColumn id="4" xr3:uid="{00000000-0010-0000-0000-000004000000}" uniqueName="4" name="DESCRIÇÃO COR" queryTableFieldId="4" dataDxfId="143" totalsRowDxfId="142"/>
    <tableColumn id="5" xr3:uid="{00000000-0010-0000-0000-000005000000}" uniqueName="5" name="PREÇO" queryTableFieldId="5" dataDxfId="141" totalsRowDxfId="140" dataCellStyle="Moeda"/>
    <tableColumn id="6" xr3:uid="{00000000-0010-0000-0000-000006000000}" uniqueName="6" name="GRADE" queryTableFieldId="6" dataDxfId="139" totalsRowDxfId="138"/>
    <tableColumn id="7" xr3:uid="{00000000-0010-0000-0000-000007000000}" uniqueName="7" name="T1" queryTableFieldId="7" dataDxfId="137" totalsRowDxfId="136"/>
    <tableColumn id="8" xr3:uid="{00000000-0010-0000-0000-000008000000}" uniqueName="8" name="T2" queryTableFieldId="8" dataDxfId="135" totalsRowDxfId="134"/>
    <tableColumn id="9" xr3:uid="{00000000-0010-0000-0000-000009000000}" uniqueName="9" name="T3" queryTableFieldId="9" dataDxfId="133" totalsRowDxfId="132"/>
    <tableColumn id="10" xr3:uid="{00000000-0010-0000-0000-00000A000000}" uniqueName="10" name="T4" queryTableFieldId="10" dataDxfId="131" totalsRowDxfId="130"/>
    <tableColumn id="11" xr3:uid="{00000000-0010-0000-0000-00000B000000}" uniqueName="11" name="T5" queryTableFieldId="11" dataDxfId="129" totalsRowDxfId="128"/>
    <tableColumn id="12" xr3:uid="{00000000-0010-0000-0000-00000C000000}" uniqueName="12" name="T6" queryTableFieldId="12" dataDxfId="127" totalsRowDxfId="126"/>
    <tableColumn id="13" xr3:uid="{00000000-0010-0000-0000-00000D000000}" uniqueName="13" name="T7" queryTableFieldId="13" dataDxfId="125" totalsRowDxfId="124"/>
    <tableColumn id="14" xr3:uid="{00000000-0010-0000-0000-00000E000000}" uniqueName="14" name="QTDE" queryTableFieldId="14" dataDxfId="123" totalsRowDxfId="122">
      <calculatedColumnFormula>SUM(TABELA22[[#This Row],[T1]:[T7]])</calculatedColumnFormula>
    </tableColumn>
    <tableColumn id="15" xr3:uid="{00000000-0010-0000-0000-00000F000000}" uniqueName="15" name="VALOR" queryTableFieldId="15" dataDxfId="121" totalsRowDxfId="120" dataCellStyle="Moeda"/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23" displayName="TABELA23" ref="B15:P535" tableType="queryTable" totalsRowCount="1" headerRowDxfId="119" dataDxfId="118" totalsRowDxfId="117">
  <tableColumns count="15">
    <tableColumn id="1" xr3:uid="{00000000-0010-0000-0100-000001000000}" uniqueName="1" name="PRODUTO" totalsRowLabel="TOTAL" queryTableFieldId="1" dataDxfId="116" totalsRowDxfId="115"/>
    <tableColumn id="2" xr3:uid="{00000000-0010-0000-0100-000002000000}" uniqueName="2" name="DESCRIÇÃO" queryTableFieldId="2" dataDxfId="114" totalsRowDxfId="113"/>
    <tableColumn id="3" xr3:uid="{00000000-0010-0000-0100-000003000000}" uniqueName="3" name="COR" queryTableFieldId="3" dataDxfId="112" totalsRowDxfId="111"/>
    <tableColumn id="4" xr3:uid="{00000000-0010-0000-0100-000004000000}" uniqueName="4" name="DESCRIÇÃO COR" queryTableFieldId="4" dataDxfId="110" totalsRowDxfId="109"/>
    <tableColumn id="5" xr3:uid="{00000000-0010-0000-0100-000005000000}" uniqueName="5" name="PREÇO" queryTableFieldId="5" dataDxfId="108" totalsRowDxfId="107" dataCellStyle="Moeda"/>
    <tableColumn id="6" xr3:uid="{00000000-0010-0000-0100-000006000000}" uniqueName="6" name="GRADE" queryTableFieldId="6" dataDxfId="106" totalsRowDxfId="105"/>
    <tableColumn id="7" xr3:uid="{00000000-0010-0000-0100-000007000000}" uniqueName="7" name="T1" queryTableFieldId="7" dataDxfId="104" totalsRowDxfId="103"/>
    <tableColumn id="8" xr3:uid="{00000000-0010-0000-0100-000008000000}" uniqueName="8" name="T2" queryTableFieldId="8" dataDxfId="102" totalsRowDxfId="101"/>
    <tableColumn id="9" xr3:uid="{00000000-0010-0000-0100-000009000000}" uniqueName="9" name="T3" queryTableFieldId="9" dataDxfId="100" totalsRowDxfId="99"/>
    <tableColumn id="10" xr3:uid="{00000000-0010-0000-0100-00000A000000}" uniqueName="10" name="T4" queryTableFieldId="10" dataDxfId="98" totalsRowDxfId="97"/>
    <tableColumn id="11" xr3:uid="{00000000-0010-0000-0100-00000B000000}" uniqueName="11" name="T5" queryTableFieldId="11" dataDxfId="96" totalsRowDxfId="95"/>
    <tableColumn id="12" xr3:uid="{00000000-0010-0000-0100-00000C000000}" uniqueName="12" name="T6" queryTableFieldId="12" dataDxfId="94" totalsRowDxfId="93"/>
    <tableColumn id="13" xr3:uid="{00000000-0010-0000-0100-00000D000000}" uniqueName="13" name="T7" queryTableFieldId="13" dataDxfId="92" totalsRowDxfId="91"/>
    <tableColumn id="14" xr3:uid="{00000000-0010-0000-0100-00000E000000}" uniqueName="14" name="QTDE" totalsRowFunction="sum" queryTableFieldId="14" dataDxfId="90" totalsRowDxfId="89">
      <calculatedColumnFormula>SUM(TABELA23[[#This Row],[T1]:[T7]])</calculatedColumnFormula>
    </tableColumn>
    <tableColumn id="15" xr3:uid="{00000000-0010-0000-0100-00000F000000}" uniqueName="15" name="VALOR" totalsRowFunction="custom" queryTableFieldId="15" dataDxfId="88" totalsRowDxfId="87" dataCellStyle="Moeda">
      <calculatedColumnFormula>TABELA23[[#This Row],[QTDE]]*TABELA23[[#This Row],[PREÇO]]</calculatedColumnFormula>
      <totalsRowFormula>SUM(P16:P534)</totalsRowFormula>
    </tableColumn>
  </tableColumns>
  <tableStyleInfo name="Estilo de Tabela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24" displayName="TABELA24" ref="B15:P536" tableType="queryTable" totalsRowCount="1" headerRowDxfId="86" dataDxfId="85" totalsRowDxfId="84">
  <tableColumns count="15">
    <tableColumn id="1" xr3:uid="{00000000-0010-0000-0200-000001000000}" uniqueName="1" name="PRODUTO" totalsRowLabel="TOTAL" queryTableFieldId="1" dataDxfId="83" totalsRowDxfId="82"/>
    <tableColumn id="2" xr3:uid="{00000000-0010-0000-0200-000002000000}" uniqueName="2" name="DESCRIÇÃO" queryTableFieldId="2" dataDxfId="81" totalsRowDxfId="80"/>
    <tableColumn id="3" xr3:uid="{00000000-0010-0000-0200-000003000000}" uniqueName="3" name="COR" queryTableFieldId="3" dataDxfId="79" totalsRowDxfId="78"/>
    <tableColumn id="4" xr3:uid="{00000000-0010-0000-0200-000004000000}" uniqueName="4" name="DESCRIÇÃO COR" queryTableFieldId="4" dataDxfId="77" totalsRowDxfId="76"/>
    <tableColumn id="5" xr3:uid="{00000000-0010-0000-0200-000005000000}" uniqueName="5" name="PREÇO" queryTableFieldId="5" dataDxfId="75" totalsRowDxfId="74" dataCellStyle="Moeda"/>
    <tableColumn id="6" xr3:uid="{00000000-0010-0000-0200-000006000000}" uniqueName="6" name="GRADE" queryTableFieldId="6" dataDxfId="73" totalsRowDxfId="72"/>
    <tableColumn id="7" xr3:uid="{00000000-0010-0000-0200-000007000000}" uniqueName="7" name="T1" queryTableFieldId="7" dataDxfId="71" totalsRowDxfId="70"/>
    <tableColumn id="8" xr3:uid="{00000000-0010-0000-0200-000008000000}" uniqueName="8" name="T2" queryTableFieldId="8" dataDxfId="69" totalsRowDxfId="68"/>
    <tableColumn id="9" xr3:uid="{00000000-0010-0000-0200-000009000000}" uniqueName="9" name="T3" queryTableFieldId="9" dataDxfId="67" totalsRowDxfId="66"/>
    <tableColumn id="10" xr3:uid="{00000000-0010-0000-0200-00000A000000}" uniqueName="10" name="T4" queryTableFieldId="10" dataDxfId="65" totalsRowDxfId="64"/>
    <tableColumn id="11" xr3:uid="{00000000-0010-0000-0200-00000B000000}" uniqueName="11" name="T5" queryTableFieldId="11" dataDxfId="63" totalsRowDxfId="62"/>
    <tableColumn id="12" xr3:uid="{00000000-0010-0000-0200-00000C000000}" uniqueName="12" name="T6" queryTableFieldId="12" dataDxfId="61" totalsRowDxfId="60"/>
    <tableColumn id="13" xr3:uid="{00000000-0010-0000-0200-00000D000000}" uniqueName="13" name="T7" queryTableFieldId="13" dataDxfId="59" totalsRowDxfId="58"/>
    <tableColumn id="14" xr3:uid="{00000000-0010-0000-0200-00000E000000}" uniqueName="14" name="QTDE" totalsRowFunction="custom" queryTableFieldId="14" dataDxfId="57" totalsRowDxfId="56">
      <calculatedColumnFormula>SUM(TABELA24[[#This Row],[T1]:[T7]])</calculatedColumnFormula>
      <totalsRowFormula>SUM(TABELA24[QTDE])</totalsRowFormula>
    </tableColumn>
    <tableColumn id="15" xr3:uid="{00000000-0010-0000-0200-00000F000000}" uniqueName="15" name="VALOR" totalsRowFunction="custom" queryTableFieldId="15" dataDxfId="55" totalsRowDxfId="54" dataCellStyle="Moeda">
      <calculatedColumnFormula>TABELA24[[#This Row],[QTDE]]*TABELA24[[#This Row],[PREÇO]]</calculatedColumnFormula>
      <totalsRowFormula>SUM(TABELA24[VALOR])</totalsRowFormula>
    </tableColumn>
  </tableColumns>
  <tableStyleInfo name="Estilo de Tabela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25" displayName="TABELA25" ref="B15:P534" tableType="queryTable" totalsRowCount="1" headerRowDxfId="53" dataDxfId="52" totalsRowDxfId="51">
  <tableColumns count="15">
    <tableColumn id="1" xr3:uid="{00000000-0010-0000-0300-000001000000}" uniqueName="1" name="PRODUTO" totalsRowLabel="TOTAL" queryTableFieldId="1" dataDxfId="50" totalsRowDxfId="49"/>
    <tableColumn id="2" xr3:uid="{00000000-0010-0000-0300-000002000000}" uniqueName="2" name="DESCRIÇÃO" queryTableFieldId="2" dataDxfId="48" totalsRowDxfId="47"/>
    <tableColumn id="3" xr3:uid="{00000000-0010-0000-0300-000003000000}" uniqueName="3" name="COR" queryTableFieldId="3" dataDxfId="46" totalsRowDxfId="45"/>
    <tableColumn id="4" xr3:uid="{00000000-0010-0000-0300-000004000000}" uniqueName="4" name="DESCRIÇÃO COR" queryTableFieldId="4" dataDxfId="44" totalsRowDxfId="43"/>
    <tableColumn id="5" xr3:uid="{00000000-0010-0000-0300-000005000000}" uniqueName="5" name="PREÇO" queryTableFieldId="5" dataDxfId="42" totalsRowDxfId="41" dataCellStyle="Moeda"/>
    <tableColumn id="6" xr3:uid="{00000000-0010-0000-0300-000006000000}" uniqueName="6" name="GRADE" queryTableFieldId="6" dataDxfId="40" totalsRowDxfId="39"/>
    <tableColumn id="7" xr3:uid="{00000000-0010-0000-0300-000007000000}" uniqueName="7" name="T1" queryTableFieldId="7" dataDxfId="38" totalsRowDxfId="37"/>
    <tableColumn id="8" xr3:uid="{00000000-0010-0000-0300-000008000000}" uniqueName="8" name="T2" queryTableFieldId="8" dataDxfId="36" totalsRowDxfId="35"/>
    <tableColumn id="9" xr3:uid="{00000000-0010-0000-0300-000009000000}" uniqueName="9" name="T3" queryTableFieldId="9" dataDxfId="34" totalsRowDxfId="33"/>
    <tableColumn id="10" xr3:uid="{00000000-0010-0000-0300-00000A000000}" uniqueName="10" name="T4" queryTableFieldId="10" dataDxfId="32" totalsRowDxfId="31"/>
    <tableColumn id="11" xr3:uid="{00000000-0010-0000-0300-00000B000000}" uniqueName="11" name="T5" queryTableFieldId="11" dataDxfId="30" totalsRowDxfId="29"/>
    <tableColumn id="12" xr3:uid="{00000000-0010-0000-0300-00000C000000}" uniqueName="12" name="T6" queryTableFieldId="12" dataDxfId="28" totalsRowDxfId="27"/>
    <tableColumn id="13" xr3:uid="{00000000-0010-0000-0300-00000D000000}" uniqueName="13" name="T7" queryTableFieldId="13" dataDxfId="26" totalsRowDxfId="25"/>
    <tableColumn id="14" xr3:uid="{00000000-0010-0000-0300-00000E000000}" uniqueName="14" name="QTDE" totalsRowFunction="sum" queryTableFieldId="14" dataDxfId="24" totalsRowDxfId="23">
      <calculatedColumnFormula>SUM(TABELA25[[#This Row],[T1]:[T7]])</calculatedColumnFormula>
    </tableColumn>
    <tableColumn id="15" xr3:uid="{00000000-0010-0000-0300-00000F000000}" uniqueName="15" name="VALOR" totalsRowFunction="sum" queryTableFieldId="15" dataDxfId="22" totalsRowDxfId="21" dataCellStyle="Moeda">
      <calculatedColumnFormula>TABELA25[[#This Row],[PREÇO]]*TABELA25[[#This Row],[QTDE]]</calculatedColumnFormula>
    </tableColumn>
  </tableColumns>
  <tableStyleInfo name="Estilo de Tabela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ELA2567" displayName="TABELA2567" ref="B15:T347" tableType="queryTable" totalsRowShown="0" headerRowDxfId="20" dataDxfId="19">
  <tableColumns count="19">
    <tableColumn id="1" xr3:uid="{00000000-0010-0000-0500-000001000000}" uniqueName="1" name="PRODUTO" queryTableFieldId="1" dataDxfId="18"/>
    <tableColumn id="2" xr3:uid="{00000000-0010-0000-0500-000002000000}" uniqueName="2" name="DESCRIÇÃO" queryTableFieldId="2" dataDxfId="17"/>
    <tableColumn id="3" xr3:uid="{00000000-0010-0000-0500-000003000000}" uniqueName="3" name="COR" queryTableFieldId="3" dataDxfId="16"/>
    <tableColumn id="4" xr3:uid="{00000000-0010-0000-0500-000004000000}" uniqueName="4" name="DESCRIÇÃO COR" queryTableFieldId="4" dataDxfId="15"/>
    <tableColumn id="5" xr3:uid="{00000000-0010-0000-0500-000005000000}" uniqueName="5" name="PREÇO" queryTableFieldId="5" dataDxfId="14" dataCellStyle="Moeda"/>
    <tableColumn id="6" xr3:uid="{00000000-0010-0000-0500-000006000000}" uniqueName="6" name="GRADE" queryTableFieldId="6" dataDxfId="13"/>
    <tableColumn id="7" xr3:uid="{00000000-0010-0000-0500-000007000000}" uniqueName="7" name="T1" queryTableFieldId="7" dataDxfId="12"/>
    <tableColumn id="8" xr3:uid="{00000000-0010-0000-0500-000008000000}" uniqueName="8" name="T2" queryTableFieldId="8" dataDxfId="11"/>
    <tableColumn id="9" xr3:uid="{00000000-0010-0000-0500-000009000000}" uniqueName="9" name="T3" queryTableFieldId="9" dataDxfId="10"/>
    <tableColumn id="10" xr3:uid="{00000000-0010-0000-0500-00000A000000}" uniqueName="10" name="T4" queryTableFieldId="10" dataDxfId="9"/>
    <tableColumn id="11" xr3:uid="{00000000-0010-0000-0500-00000B000000}" uniqueName="11" name="T5" queryTableFieldId="11" dataDxfId="8"/>
    <tableColumn id="12" xr3:uid="{00000000-0010-0000-0500-00000C000000}" uniqueName="12" name="T6" queryTableFieldId="12" dataDxfId="7"/>
    <tableColumn id="13" xr3:uid="{00000000-0010-0000-0500-00000D000000}" uniqueName="13" name="T7" queryTableFieldId="13" dataDxfId="6"/>
    <tableColumn id="14" xr3:uid="{00000000-0010-0000-0500-00000E000000}" uniqueName="14" name="QTDE" queryTableFieldId="14" dataDxfId="5">
      <calculatedColumnFormula>SUM(TABELA2567[[#This Row],[T1]:[T7]])</calculatedColumnFormula>
    </tableColumn>
    <tableColumn id="15" xr3:uid="{00000000-0010-0000-0500-00000F000000}" uniqueName="15" name="VALOR" queryTableFieldId="15" dataDxfId="4" dataCellStyle="Moeda">
      <calculatedColumnFormula>TABELA2567[[#This Row],[QTDE]]*TABELA2567[[#This Row],[PREÇO]]</calculatedColumnFormula>
    </tableColumn>
    <tableColumn id="16" xr3:uid="{53D53945-7DD6-438E-8675-2B5325F10DE1}" uniqueName="16" name="Coluna1" queryTableFieldId="16" dataDxfId="3" dataCellStyle="Moeda">
      <calculatedColumnFormula>VLOOKUP($A:$A,[1]Planilha1!$B:$L,7,0)</calculatedColumnFormula>
    </tableColumn>
    <tableColumn id="17" xr3:uid="{270AAA82-2083-4C37-9280-223B2C427CE1}" uniqueName="17" name="Coluna2" queryTableFieldId="17" dataDxfId="2" dataCellStyle="Moeda">
      <calculatedColumnFormula>VLOOKUP($A:$A,[1]Planilha1!$B:$L,8,0)</calculatedColumnFormula>
    </tableColumn>
    <tableColumn id="18" xr3:uid="{F74D88BE-B704-4866-BC94-F93D20AD4447}" uniqueName="18" name="Coluna3" queryTableFieldId="18" dataDxfId="1" dataCellStyle="Porcentagem">
      <calculatedColumnFormula>TABELA2567[[#This Row],[PREÇO]]/TABELA2567[[#This Row],[Coluna1]]-1</calculatedColumnFormula>
    </tableColumn>
    <tableColumn id="19" xr3:uid="{07DDBC00-C54A-4D71-81CD-AFBD3474EEC2}" uniqueName="19" name="Coluna4" queryTableFieldId="19" dataDxfId="0" dataCellStyle="Porcentagem">
      <calculatedColumnFormula>TABELA2567[[#This Row],[PREÇO]]/TABELA2567[[#This Row],[Coluna2]]-1</calculatedColumnFormula>
    </tableColumn>
  </tableColumns>
  <tableStyleInfo name="Estilo de Tabela 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"/>
  <dimension ref="A1:P99"/>
  <sheetViews>
    <sheetView showGridLines="0" tabSelected="1" workbookViewId="0">
      <selection activeCell="R8" sqref="R8"/>
    </sheetView>
  </sheetViews>
  <sheetFormatPr defaultColWidth="9.140625" defaultRowHeight="12.75" x14ac:dyDescent="0.2"/>
  <cols>
    <col min="1" max="1" width="16.140625" style="45" customWidth="1"/>
    <col min="2" max="2" width="12.42578125" style="45" customWidth="1"/>
    <col min="3" max="3" width="33.7109375" style="45" customWidth="1"/>
    <col min="4" max="4" width="12.5703125" style="45" customWidth="1"/>
    <col min="5" max="5" width="39" style="45" customWidth="1"/>
    <col min="6" max="6" width="18" style="48" customWidth="1"/>
    <col min="7" max="7" width="17.7109375" style="47" customWidth="1"/>
    <col min="8" max="8" width="7.42578125" style="45" bestFit="1" customWidth="1"/>
    <col min="9" max="9" width="9.28515625" style="45" customWidth="1"/>
    <col min="10" max="10" width="7.140625" style="45" customWidth="1"/>
    <col min="11" max="11" width="6.5703125" style="45" customWidth="1"/>
    <col min="12" max="14" width="5.140625" style="45" bestFit="1" customWidth="1"/>
    <col min="15" max="15" width="8.42578125" style="45" customWidth="1"/>
    <col min="16" max="16" width="11.140625" style="48" customWidth="1"/>
    <col min="17" max="16384" width="9.140625" style="1"/>
  </cols>
  <sheetData>
    <row r="1" spans="1:16" x14ac:dyDescent="0.2">
      <c r="A1" s="1"/>
      <c r="B1" s="1"/>
      <c r="C1" s="1"/>
      <c r="D1" s="1"/>
      <c r="E1" s="1"/>
      <c r="F1" s="2"/>
      <c r="G1" s="4"/>
      <c r="H1" s="1"/>
      <c r="I1" s="1"/>
      <c r="J1" s="1"/>
      <c r="K1" s="1"/>
      <c r="L1" s="1"/>
      <c r="M1" s="1"/>
      <c r="N1" s="1"/>
      <c r="O1" s="1"/>
      <c r="P1" s="2"/>
    </row>
    <row r="2" spans="1:16" ht="18.75" x14ac:dyDescent="0.3">
      <c r="A2" s="1"/>
      <c r="B2" s="97" t="s">
        <v>844</v>
      </c>
      <c r="C2" s="97"/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</row>
    <row r="3" spans="1:16" x14ac:dyDescent="0.2">
      <c r="A3" s="1"/>
      <c r="B3" s="1"/>
      <c r="C3" s="7" t="s">
        <v>2324</v>
      </c>
      <c r="D3" s="1"/>
      <c r="E3" s="1"/>
      <c r="F3" s="2"/>
      <c r="G3" s="4"/>
      <c r="H3" s="1"/>
      <c r="I3" s="1"/>
      <c r="J3" s="1"/>
      <c r="K3" s="1"/>
      <c r="L3" s="1"/>
      <c r="M3" s="1"/>
      <c r="N3" s="1"/>
      <c r="O3" s="1"/>
      <c r="P3" s="2"/>
    </row>
    <row r="4" spans="1:16" x14ac:dyDescent="0.2">
      <c r="A4" s="1"/>
      <c r="B4" s="3" t="s">
        <v>21</v>
      </c>
      <c r="C4" s="8" t="s">
        <v>2325</v>
      </c>
      <c r="D4" s="1"/>
      <c r="E4" s="1"/>
      <c r="F4" s="9"/>
      <c r="G4" s="11"/>
      <c r="H4" s="1"/>
      <c r="I4" s="1"/>
      <c r="J4" s="1"/>
      <c r="K4" s="1"/>
      <c r="L4" s="1"/>
      <c r="M4" s="1"/>
      <c r="N4" s="1"/>
      <c r="O4" s="1"/>
      <c r="P4" s="2"/>
    </row>
    <row r="5" spans="1:16" x14ac:dyDescent="0.2">
      <c r="A5" s="1"/>
      <c r="B5" s="3" t="s">
        <v>22</v>
      </c>
      <c r="C5" s="8" t="s">
        <v>2323</v>
      </c>
      <c r="D5" s="10" t="s">
        <v>27</v>
      </c>
      <c r="E5" s="94">
        <v>44833</v>
      </c>
      <c r="F5" s="6" t="s">
        <v>30</v>
      </c>
      <c r="G5" s="35">
        <f>SUM(TABELA22[VALOR])</f>
        <v>40603.329999999994</v>
      </c>
      <c r="H5" s="1"/>
      <c r="I5" s="1"/>
      <c r="J5" s="1"/>
      <c r="K5" s="1"/>
      <c r="L5" s="1"/>
      <c r="M5" s="1"/>
      <c r="N5" s="1"/>
      <c r="O5" s="1"/>
      <c r="P5" s="2"/>
    </row>
    <row r="6" spans="1:16" ht="15" x14ac:dyDescent="0.25">
      <c r="A6" s="1"/>
      <c r="B6" s="3" t="s">
        <v>23</v>
      </c>
      <c r="C6" s="8"/>
      <c r="D6" s="10" t="s">
        <v>25</v>
      </c>
      <c r="E6" s="8"/>
      <c r="F6" s="6" t="s">
        <v>28</v>
      </c>
      <c r="G6" s="12"/>
      <c r="H6" s="1"/>
      <c r="I6" s="1"/>
      <c r="J6" s="1"/>
      <c r="K6" s="1"/>
      <c r="L6" s="1"/>
      <c r="M6"/>
      <c r="N6" s="1"/>
      <c r="O6" s="1"/>
      <c r="P6" s="2"/>
    </row>
    <row r="7" spans="1:16" x14ac:dyDescent="0.2">
      <c r="A7" s="1"/>
      <c r="B7" s="3" t="s">
        <v>24</v>
      </c>
      <c r="C7" s="8"/>
      <c r="D7" s="10" t="s">
        <v>26</v>
      </c>
      <c r="E7" s="8" t="s">
        <v>6</v>
      </c>
      <c r="F7" s="6" t="s">
        <v>29</v>
      </c>
      <c r="G7" s="12"/>
      <c r="H7" s="1"/>
      <c r="I7" s="1"/>
      <c r="J7" s="1"/>
      <c r="K7" s="1"/>
      <c r="L7" s="1"/>
      <c r="M7" s="1"/>
      <c r="N7" s="1"/>
      <c r="O7" s="1"/>
      <c r="P7" s="2"/>
    </row>
    <row r="8" spans="1:16" x14ac:dyDescent="0.2">
      <c r="A8" s="1"/>
      <c r="B8" s="1"/>
      <c r="C8" s="1"/>
      <c r="D8" s="1"/>
      <c r="E8" s="1"/>
      <c r="F8" s="9"/>
      <c r="G8" s="4"/>
      <c r="H8" s="1"/>
      <c r="I8" s="1"/>
      <c r="J8" s="1"/>
      <c r="K8" s="1"/>
      <c r="L8" s="1"/>
      <c r="M8" s="1"/>
      <c r="N8" s="1"/>
      <c r="O8" s="1"/>
      <c r="P8" s="2"/>
    </row>
    <row r="9" spans="1:16" x14ac:dyDescent="0.2">
      <c r="A9" s="1"/>
      <c r="B9" s="14"/>
      <c r="C9" s="14"/>
      <c r="D9" s="14"/>
      <c r="E9" s="14"/>
      <c r="F9" s="15"/>
      <c r="G9" s="14"/>
      <c r="H9" s="16"/>
      <c r="I9" s="1"/>
      <c r="J9" s="1"/>
      <c r="K9" s="1"/>
      <c r="L9" s="1"/>
      <c r="M9" s="1"/>
      <c r="N9" s="5"/>
      <c r="O9" s="15"/>
      <c r="P9" s="14"/>
    </row>
    <row r="10" spans="1:16" x14ac:dyDescent="0.2">
      <c r="A10" s="95" t="s">
        <v>2322</v>
      </c>
      <c r="B10" s="98" t="s">
        <v>0</v>
      </c>
      <c r="C10" s="98" t="s">
        <v>1</v>
      </c>
      <c r="D10" s="98" t="s">
        <v>2</v>
      </c>
      <c r="E10" s="105" t="s">
        <v>3</v>
      </c>
      <c r="F10" s="100" t="s">
        <v>4</v>
      </c>
      <c r="G10" s="105" t="s">
        <v>5</v>
      </c>
      <c r="H10" s="54" t="s">
        <v>17</v>
      </c>
      <c r="I10" s="55"/>
      <c r="J10" s="55"/>
      <c r="K10" s="55"/>
      <c r="L10" s="55"/>
      <c r="M10" s="55"/>
      <c r="N10" s="56"/>
      <c r="O10" s="98" t="s">
        <v>16</v>
      </c>
      <c r="P10" s="100" t="s">
        <v>15</v>
      </c>
    </row>
    <row r="11" spans="1:16" x14ac:dyDescent="0.2">
      <c r="A11" s="96"/>
      <c r="B11" s="99"/>
      <c r="C11" s="99"/>
      <c r="D11" s="99"/>
      <c r="E11" s="106"/>
      <c r="F11" s="101"/>
      <c r="G11" s="106"/>
      <c r="H11" s="57" t="s">
        <v>813</v>
      </c>
      <c r="I11" s="58" t="s">
        <v>18</v>
      </c>
      <c r="J11" s="58" t="s">
        <v>19</v>
      </c>
      <c r="K11" s="58" t="s">
        <v>20</v>
      </c>
      <c r="L11" s="58" t="s">
        <v>814</v>
      </c>
      <c r="M11" s="58"/>
      <c r="N11" s="59"/>
      <c r="O11" s="99"/>
      <c r="P11" s="101"/>
    </row>
    <row r="12" spans="1:16" x14ac:dyDescent="0.2">
      <c r="A12" s="96" t="s">
        <v>2322</v>
      </c>
      <c r="B12" s="99"/>
      <c r="C12" s="99"/>
      <c r="D12" s="99"/>
      <c r="E12" s="106"/>
      <c r="F12" s="101"/>
      <c r="G12" s="106"/>
      <c r="H12" s="57">
        <v>36</v>
      </c>
      <c r="I12" s="58">
        <v>38</v>
      </c>
      <c r="J12" s="58">
        <v>40</v>
      </c>
      <c r="K12" s="58">
        <v>42</v>
      </c>
      <c r="L12" s="58">
        <v>44</v>
      </c>
      <c r="M12" s="58"/>
      <c r="N12" s="59"/>
      <c r="O12" s="99"/>
      <c r="P12" s="101"/>
    </row>
    <row r="13" spans="1:16" x14ac:dyDescent="0.2">
      <c r="A13" s="96"/>
      <c r="B13" s="99"/>
      <c r="C13" s="99"/>
      <c r="D13" s="99"/>
      <c r="E13" s="106"/>
      <c r="F13" s="101"/>
      <c r="G13" s="106"/>
      <c r="H13" s="60">
        <v>34</v>
      </c>
      <c r="I13" s="61">
        <v>35</v>
      </c>
      <c r="J13" s="61">
        <v>36</v>
      </c>
      <c r="K13" s="61">
        <v>37</v>
      </c>
      <c r="L13" s="61">
        <v>38</v>
      </c>
      <c r="M13" s="61">
        <v>39</v>
      </c>
      <c r="N13" s="62">
        <v>40</v>
      </c>
      <c r="O13" s="99"/>
      <c r="P13" s="101"/>
    </row>
    <row r="14" spans="1:16" ht="12" customHeight="1" x14ac:dyDescent="0.2">
      <c r="A14" s="96"/>
      <c r="B14" s="99"/>
      <c r="C14" s="99"/>
      <c r="D14" s="99"/>
      <c r="E14" s="106"/>
      <c r="F14" s="101"/>
      <c r="G14" s="106"/>
      <c r="H14" s="102" t="s">
        <v>7</v>
      </c>
      <c r="I14" s="103"/>
      <c r="J14" s="103"/>
      <c r="K14" s="103"/>
      <c r="L14" s="103"/>
      <c r="M14" s="103"/>
      <c r="N14" s="104"/>
      <c r="O14" s="99"/>
      <c r="P14" s="101"/>
    </row>
    <row r="15" spans="1:16" s="13" customFormat="1" x14ac:dyDescent="0.2">
      <c r="A15" s="89"/>
      <c r="B15" s="64" t="s">
        <v>0</v>
      </c>
      <c r="C15" s="64" t="s">
        <v>1</v>
      </c>
      <c r="D15" s="64" t="s">
        <v>2</v>
      </c>
      <c r="E15" s="65" t="s">
        <v>3</v>
      </c>
      <c r="F15" s="66" t="s">
        <v>4</v>
      </c>
      <c r="G15" s="65" t="s">
        <v>5</v>
      </c>
      <c r="H15" s="91" t="s">
        <v>8</v>
      </c>
      <c r="I15" s="91" t="s">
        <v>9</v>
      </c>
      <c r="J15" s="91" t="s">
        <v>10</v>
      </c>
      <c r="K15" s="91" t="s">
        <v>11</v>
      </c>
      <c r="L15" s="91" t="s">
        <v>12</v>
      </c>
      <c r="M15" s="91" t="s">
        <v>13</v>
      </c>
      <c r="N15" s="91" t="s">
        <v>14</v>
      </c>
      <c r="O15" s="65" t="s">
        <v>16</v>
      </c>
      <c r="P15" s="66" t="s">
        <v>15</v>
      </c>
    </row>
    <row r="16" spans="1:16" x14ac:dyDescent="0.2">
      <c r="A16" s="70" t="s">
        <v>1007</v>
      </c>
      <c r="B16" s="78" t="s">
        <v>1008</v>
      </c>
      <c r="C16" s="72" t="s">
        <v>1010</v>
      </c>
      <c r="D16" s="73" t="s">
        <v>1009</v>
      </c>
      <c r="E16" s="72" t="s">
        <v>1011</v>
      </c>
      <c r="F16" s="84">
        <v>76.819999999999993</v>
      </c>
      <c r="G16" s="73" t="s">
        <v>826</v>
      </c>
      <c r="H16" s="92">
        <v>1</v>
      </c>
      <c r="I16" s="75">
        <v>1</v>
      </c>
      <c r="J16" s="75">
        <v>1</v>
      </c>
      <c r="K16" s="75"/>
      <c r="L16" s="75"/>
      <c r="M16" s="75"/>
      <c r="N16" s="75"/>
      <c r="O16" s="75">
        <f>SUM(TABELA22[[#This Row],[T1]:[T7]])</f>
        <v>3</v>
      </c>
      <c r="P16" s="76">
        <f>TABELA22[[#This Row],[PREÇO]]*TABELA22[[#This Row],[QTDE]]</f>
        <v>230.45999999999998</v>
      </c>
    </row>
    <row r="17" spans="1:16" x14ac:dyDescent="0.2">
      <c r="A17" s="70" t="s">
        <v>1041</v>
      </c>
      <c r="B17" s="78" t="s">
        <v>1039</v>
      </c>
      <c r="C17" s="72" t="s">
        <v>1040</v>
      </c>
      <c r="D17" s="73" t="s">
        <v>830</v>
      </c>
      <c r="E17" s="72" t="s">
        <v>43</v>
      </c>
      <c r="F17" s="84">
        <v>104.09</v>
      </c>
      <c r="G17" s="73" t="s">
        <v>826</v>
      </c>
      <c r="H17" s="92"/>
      <c r="I17" s="75">
        <v>3</v>
      </c>
      <c r="J17" s="75">
        <v>1</v>
      </c>
      <c r="K17" s="75"/>
      <c r="L17" s="75"/>
      <c r="M17" s="75"/>
      <c r="N17" s="75"/>
      <c r="O17" s="75">
        <f>SUM(TABELA22[[#This Row],[T1]:[T7]])</f>
        <v>4</v>
      </c>
      <c r="P17" s="76">
        <f>TABELA22[[#This Row],[PREÇO]]*TABELA22[[#This Row],[QTDE]]</f>
        <v>416.36</v>
      </c>
    </row>
    <row r="18" spans="1:16" x14ac:dyDescent="0.2">
      <c r="A18" s="70" t="s">
        <v>1038</v>
      </c>
      <c r="B18" s="78" t="s">
        <v>1039</v>
      </c>
      <c r="C18" s="72" t="s">
        <v>1040</v>
      </c>
      <c r="D18" s="73" t="s">
        <v>32</v>
      </c>
      <c r="E18" s="72" t="s">
        <v>33</v>
      </c>
      <c r="F18" s="84">
        <v>104.09</v>
      </c>
      <c r="G18" s="73" t="s">
        <v>826</v>
      </c>
      <c r="H18" s="92"/>
      <c r="I18" s="75">
        <v>3</v>
      </c>
      <c r="J18" s="75">
        <v>2</v>
      </c>
      <c r="K18" s="75">
        <v>2</v>
      </c>
      <c r="L18" s="75"/>
      <c r="M18" s="75"/>
      <c r="N18" s="75"/>
      <c r="O18" s="75">
        <f>SUM(TABELA22[[#This Row],[T1]:[T7]])</f>
        <v>7</v>
      </c>
      <c r="P18" s="76">
        <f>TABELA22[[#This Row],[PREÇO]]*TABELA22[[#This Row],[QTDE]]</f>
        <v>728.63</v>
      </c>
    </row>
    <row r="19" spans="1:16" x14ac:dyDescent="0.2">
      <c r="A19" s="70" t="s">
        <v>1062</v>
      </c>
      <c r="B19" s="78" t="s">
        <v>1058</v>
      </c>
      <c r="C19" s="72" t="s">
        <v>1060</v>
      </c>
      <c r="D19" s="73" t="s">
        <v>1059</v>
      </c>
      <c r="E19" s="72" t="s">
        <v>1061</v>
      </c>
      <c r="F19" s="84">
        <v>181.36</v>
      </c>
      <c r="G19" s="73" t="s">
        <v>829</v>
      </c>
      <c r="H19" s="92">
        <v>1</v>
      </c>
      <c r="I19" s="75">
        <v>1</v>
      </c>
      <c r="J19" s="75">
        <v>1</v>
      </c>
      <c r="K19" s="75">
        <v>1</v>
      </c>
      <c r="L19" s="75">
        <v>1</v>
      </c>
      <c r="M19" s="75"/>
      <c r="N19" s="75"/>
      <c r="O19" s="75">
        <f>SUM(TABELA22[[#This Row],[T1]:[T7]])</f>
        <v>5</v>
      </c>
      <c r="P19" s="76">
        <f>TABELA22[[#This Row],[PREÇO]]*TABELA22[[#This Row],[QTDE]]</f>
        <v>906.80000000000007</v>
      </c>
    </row>
    <row r="20" spans="1:16" x14ac:dyDescent="0.2">
      <c r="A20" s="70" t="s">
        <v>1067</v>
      </c>
      <c r="B20" s="78" t="s">
        <v>1063</v>
      </c>
      <c r="C20" s="72" t="s">
        <v>1065</v>
      </c>
      <c r="D20" s="73" t="s">
        <v>1064</v>
      </c>
      <c r="E20" s="72" t="s">
        <v>1066</v>
      </c>
      <c r="F20" s="84">
        <v>222.27</v>
      </c>
      <c r="G20" s="73" t="s">
        <v>829</v>
      </c>
      <c r="H20" s="92">
        <v>1</v>
      </c>
      <c r="I20" s="75">
        <v>1</v>
      </c>
      <c r="J20" s="75"/>
      <c r="K20" s="75"/>
      <c r="L20" s="75"/>
      <c r="M20" s="75"/>
      <c r="N20" s="75"/>
      <c r="O20" s="75">
        <f>SUM(TABELA22[[#This Row],[T1]:[T7]])</f>
        <v>2</v>
      </c>
      <c r="P20" s="76">
        <f>TABELA22[[#This Row],[PREÇO]]*TABELA22[[#This Row],[QTDE]]</f>
        <v>444.54</v>
      </c>
    </row>
    <row r="21" spans="1:16" x14ac:dyDescent="0.2">
      <c r="A21" s="70" t="s">
        <v>1079</v>
      </c>
      <c r="B21" s="78" t="s">
        <v>1077</v>
      </c>
      <c r="C21" s="72" t="s">
        <v>1078</v>
      </c>
      <c r="D21" s="73" t="s">
        <v>1046</v>
      </c>
      <c r="E21" s="72" t="s">
        <v>1048</v>
      </c>
      <c r="F21" s="84">
        <v>226.82</v>
      </c>
      <c r="G21" s="73" t="s">
        <v>829</v>
      </c>
      <c r="H21" s="92"/>
      <c r="I21" s="75">
        <v>1</v>
      </c>
      <c r="J21" s="75">
        <v>1</v>
      </c>
      <c r="K21" s="75">
        <v>1</v>
      </c>
      <c r="L21" s="75"/>
      <c r="M21" s="75"/>
      <c r="N21" s="75"/>
      <c r="O21" s="75">
        <f>SUM(TABELA22[[#This Row],[T1]:[T7]])</f>
        <v>3</v>
      </c>
      <c r="P21" s="76">
        <f>TABELA22[[#This Row],[PREÇO]]*TABELA22[[#This Row],[QTDE]]</f>
        <v>680.46</v>
      </c>
    </row>
    <row r="22" spans="1:16" x14ac:dyDescent="0.2">
      <c r="A22" s="70" t="s">
        <v>1082</v>
      </c>
      <c r="B22" s="78" t="s">
        <v>1080</v>
      </c>
      <c r="C22" s="72" t="s">
        <v>1081</v>
      </c>
      <c r="D22" s="73" t="s">
        <v>1064</v>
      </c>
      <c r="E22" s="72" t="s">
        <v>1066</v>
      </c>
      <c r="F22" s="84">
        <v>172.27</v>
      </c>
      <c r="G22" s="73" t="s">
        <v>829</v>
      </c>
      <c r="H22" s="92">
        <v>1</v>
      </c>
      <c r="I22" s="75">
        <v>1</v>
      </c>
      <c r="J22" s="75">
        <v>1</v>
      </c>
      <c r="K22" s="75">
        <v>1</v>
      </c>
      <c r="L22" s="75">
        <v>1</v>
      </c>
      <c r="M22" s="75"/>
      <c r="N22" s="75"/>
      <c r="O22" s="75">
        <f>SUM(TABELA22[[#This Row],[T1]:[T7]])</f>
        <v>5</v>
      </c>
      <c r="P22" s="76">
        <f>TABELA22[[#This Row],[PREÇO]]*TABELA22[[#This Row],[QTDE]]</f>
        <v>861.35</v>
      </c>
    </row>
    <row r="23" spans="1:16" x14ac:dyDescent="0.2">
      <c r="A23" s="70" t="s">
        <v>1086</v>
      </c>
      <c r="B23" s="78" t="s">
        <v>1084</v>
      </c>
      <c r="C23" s="72" t="s">
        <v>1085</v>
      </c>
      <c r="D23" s="73" t="s">
        <v>1064</v>
      </c>
      <c r="E23" s="72" t="s">
        <v>1066</v>
      </c>
      <c r="F23" s="84">
        <v>90.45</v>
      </c>
      <c r="G23" s="73" t="s">
        <v>2319</v>
      </c>
      <c r="H23" s="92"/>
      <c r="I23" s="75">
        <v>1</v>
      </c>
      <c r="J23" s="75"/>
      <c r="K23" s="75"/>
      <c r="L23" s="75"/>
      <c r="M23" s="75"/>
      <c r="N23" s="75"/>
      <c r="O23" s="75">
        <f>SUM(TABELA22[[#This Row],[T1]:[T7]])</f>
        <v>1</v>
      </c>
      <c r="P23" s="76">
        <f>TABELA22[[#This Row],[PREÇO]]*TABELA22[[#This Row],[QTDE]]</f>
        <v>90.45</v>
      </c>
    </row>
    <row r="24" spans="1:16" x14ac:dyDescent="0.2">
      <c r="A24" s="70" t="s">
        <v>1090</v>
      </c>
      <c r="B24" s="78" t="s">
        <v>1088</v>
      </c>
      <c r="C24" s="72" t="s">
        <v>1089</v>
      </c>
      <c r="D24" s="73" t="s">
        <v>1046</v>
      </c>
      <c r="E24" s="72" t="s">
        <v>1048</v>
      </c>
      <c r="F24" s="84">
        <v>272.27</v>
      </c>
      <c r="G24" s="73" t="s">
        <v>829</v>
      </c>
      <c r="H24" s="92">
        <v>1</v>
      </c>
      <c r="I24" s="75">
        <v>1</v>
      </c>
      <c r="J24" s="75"/>
      <c r="K24" s="75"/>
      <c r="L24" s="75"/>
      <c r="M24" s="75"/>
      <c r="N24" s="75"/>
      <c r="O24" s="75">
        <f>SUM(TABELA22[[#This Row],[T1]:[T7]])</f>
        <v>2</v>
      </c>
      <c r="P24" s="76">
        <f>TABELA22[[#This Row],[PREÇO]]*TABELA22[[#This Row],[QTDE]]</f>
        <v>544.54</v>
      </c>
    </row>
    <row r="25" spans="1:16" x14ac:dyDescent="0.2">
      <c r="A25" s="70" t="s">
        <v>1093</v>
      </c>
      <c r="B25" s="78" t="s">
        <v>1091</v>
      </c>
      <c r="C25" s="72" t="s">
        <v>1092</v>
      </c>
      <c r="D25" s="73" t="s">
        <v>1046</v>
      </c>
      <c r="E25" s="72" t="s">
        <v>1048</v>
      </c>
      <c r="F25" s="84">
        <v>208.64</v>
      </c>
      <c r="G25" s="73" t="s">
        <v>829</v>
      </c>
      <c r="H25" s="92">
        <v>1</v>
      </c>
      <c r="I25" s="75">
        <v>1</v>
      </c>
      <c r="J25" s="75"/>
      <c r="K25" s="75"/>
      <c r="L25" s="75">
        <v>1</v>
      </c>
      <c r="M25" s="75"/>
      <c r="N25" s="75"/>
      <c r="O25" s="75">
        <f>SUM(TABELA22[[#This Row],[T1]:[T7]])</f>
        <v>3</v>
      </c>
      <c r="P25" s="76">
        <f>TABELA22[[#This Row],[PREÇO]]*TABELA22[[#This Row],[QTDE]]</f>
        <v>625.91999999999996</v>
      </c>
    </row>
    <row r="26" spans="1:16" x14ac:dyDescent="0.2">
      <c r="A26" s="70" t="s">
        <v>1096</v>
      </c>
      <c r="B26" s="78" t="s">
        <v>1094</v>
      </c>
      <c r="C26" s="72" t="s">
        <v>1095</v>
      </c>
      <c r="D26" s="73" t="s">
        <v>1064</v>
      </c>
      <c r="E26" s="72" t="s">
        <v>1066</v>
      </c>
      <c r="F26" s="84">
        <v>208.64</v>
      </c>
      <c r="G26" s="73" t="s">
        <v>829</v>
      </c>
      <c r="H26" s="92"/>
      <c r="I26" s="75"/>
      <c r="J26" s="75"/>
      <c r="K26" s="75">
        <v>1</v>
      </c>
      <c r="L26" s="75">
        <v>1</v>
      </c>
      <c r="M26" s="75"/>
      <c r="N26" s="75"/>
      <c r="O26" s="75">
        <f>SUM(TABELA22[[#This Row],[T1]:[T7]])</f>
        <v>2</v>
      </c>
      <c r="P26" s="76">
        <f>TABELA22[[#This Row],[PREÇO]]*TABELA22[[#This Row],[QTDE]]</f>
        <v>417.28</v>
      </c>
    </row>
    <row r="27" spans="1:16" x14ac:dyDescent="0.2">
      <c r="A27" s="70" t="s">
        <v>1109</v>
      </c>
      <c r="B27" s="78" t="s">
        <v>1105</v>
      </c>
      <c r="C27" s="72" t="s">
        <v>1107</v>
      </c>
      <c r="D27" s="73" t="s">
        <v>1106</v>
      </c>
      <c r="E27" s="72" t="s">
        <v>1108</v>
      </c>
      <c r="F27" s="84">
        <v>222.27</v>
      </c>
      <c r="G27" s="73" t="s">
        <v>829</v>
      </c>
      <c r="H27" s="92">
        <v>1</v>
      </c>
      <c r="I27" s="75"/>
      <c r="J27" s="75"/>
      <c r="K27" s="75"/>
      <c r="L27" s="75"/>
      <c r="M27" s="75"/>
      <c r="N27" s="75"/>
      <c r="O27" s="75">
        <f>SUM(TABELA22[[#This Row],[T1]:[T7]])</f>
        <v>1</v>
      </c>
      <c r="P27" s="76">
        <f>TABELA22[[#This Row],[PREÇO]]*TABELA22[[#This Row],[QTDE]]</f>
        <v>222.27</v>
      </c>
    </row>
    <row r="28" spans="1:16" x14ac:dyDescent="0.2">
      <c r="A28" s="70" t="s">
        <v>1123</v>
      </c>
      <c r="B28" s="78" t="s">
        <v>1121</v>
      </c>
      <c r="C28" s="72" t="s">
        <v>1122</v>
      </c>
      <c r="D28" s="73" t="s">
        <v>1106</v>
      </c>
      <c r="E28" s="72" t="s">
        <v>1108</v>
      </c>
      <c r="F28" s="84">
        <v>113.18</v>
      </c>
      <c r="G28" s="73" t="s">
        <v>829</v>
      </c>
      <c r="H28" s="92">
        <v>1</v>
      </c>
      <c r="I28" s="75">
        <v>1</v>
      </c>
      <c r="J28" s="75"/>
      <c r="K28" s="75">
        <v>1</v>
      </c>
      <c r="L28" s="75"/>
      <c r="M28" s="75"/>
      <c r="N28" s="75"/>
      <c r="O28" s="75">
        <f>SUM(TABELA22[[#This Row],[T1]:[T7]])</f>
        <v>3</v>
      </c>
      <c r="P28" s="76">
        <f>TABELA22[[#This Row],[PREÇO]]*TABELA22[[#This Row],[QTDE]]</f>
        <v>339.54</v>
      </c>
    </row>
    <row r="29" spans="1:16" x14ac:dyDescent="0.2">
      <c r="A29" s="70" t="s">
        <v>1145</v>
      </c>
      <c r="B29" s="78" t="s">
        <v>1143</v>
      </c>
      <c r="C29" s="72" t="s">
        <v>1144</v>
      </c>
      <c r="D29" s="73" t="s">
        <v>1106</v>
      </c>
      <c r="E29" s="72" t="s">
        <v>1108</v>
      </c>
      <c r="F29" s="84">
        <v>163.18</v>
      </c>
      <c r="G29" s="73" t="s">
        <v>829</v>
      </c>
      <c r="H29" s="92">
        <v>1</v>
      </c>
      <c r="I29" s="75">
        <v>1</v>
      </c>
      <c r="J29" s="75"/>
      <c r="K29" s="75">
        <v>1</v>
      </c>
      <c r="L29" s="75"/>
      <c r="M29" s="75"/>
      <c r="N29" s="75"/>
      <c r="O29" s="75">
        <f>SUM(TABELA22[[#This Row],[T1]:[T7]])</f>
        <v>3</v>
      </c>
      <c r="P29" s="76">
        <f>TABELA22[[#This Row],[PREÇO]]*TABELA22[[#This Row],[QTDE]]</f>
        <v>489.54</v>
      </c>
    </row>
    <row r="30" spans="1:16" x14ac:dyDescent="0.2">
      <c r="A30" s="70" t="s">
        <v>1151</v>
      </c>
      <c r="B30" s="78" t="s">
        <v>1149</v>
      </c>
      <c r="C30" s="72" t="s">
        <v>1150</v>
      </c>
      <c r="D30" s="73" t="s">
        <v>1064</v>
      </c>
      <c r="E30" s="72" t="s">
        <v>1066</v>
      </c>
      <c r="F30" s="84">
        <v>408.64</v>
      </c>
      <c r="G30" s="73" t="s">
        <v>829</v>
      </c>
      <c r="H30" s="92">
        <v>1</v>
      </c>
      <c r="I30" s="75">
        <v>1</v>
      </c>
      <c r="J30" s="75"/>
      <c r="K30" s="75"/>
      <c r="L30" s="75"/>
      <c r="M30" s="75"/>
      <c r="N30" s="75"/>
      <c r="O30" s="75">
        <f>SUM(TABELA22[[#This Row],[T1]:[T7]])</f>
        <v>2</v>
      </c>
      <c r="P30" s="76">
        <f>TABELA22[[#This Row],[PREÇO]]*TABELA22[[#This Row],[QTDE]]</f>
        <v>817.28</v>
      </c>
    </row>
    <row r="31" spans="1:16" x14ac:dyDescent="0.2">
      <c r="A31" s="70" t="s">
        <v>1199</v>
      </c>
      <c r="B31" s="78" t="s">
        <v>1200</v>
      </c>
      <c r="C31" s="72" t="s">
        <v>1201</v>
      </c>
      <c r="D31" s="73" t="s">
        <v>895</v>
      </c>
      <c r="E31" s="72" t="s">
        <v>896</v>
      </c>
      <c r="F31" s="84">
        <v>245</v>
      </c>
      <c r="G31" s="73" t="s">
        <v>829</v>
      </c>
      <c r="H31" s="92">
        <v>1</v>
      </c>
      <c r="I31" s="75"/>
      <c r="J31" s="75"/>
      <c r="K31" s="75">
        <v>1</v>
      </c>
      <c r="L31" s="75">
        <v>1</v>
      </c>
      <c r="M31" s="75"/>
      <c r="N31" s="75"/>
      <c r="O31" s="75">
        <f>SUM(TABELA22[[#This Row],[T1]:[T7]])</f>
        <v>3</v>
      </c>
      <c r="P31" s="76">
        <f>TABELA22[[#This Row],[PREÇO]]*TABELA22[[#This Row],[QTDE]]</f>
        <v>735</v>
      </c>
    </row>
    <row r="32" spans="1:16" x14ac:dyDescent="0.2">
      <c r="A32" s="70" t="s">
        <v>1207</v>
      </c>
      <c r="B32" s="78" t="s">
        <v>1211</v>
      </c>
      <c r="C32" s="72" t="s">
        <v>831</v>
      </c>
      <c r="D32" s="73" t="s">
        <v>1009</v>
      </c>
      <c r="E32" s="72" t="s">
        <v>1011</v>
      </c>
      <c r="F32" s="84">
        <v>195</v>
      </c>
      <c r="G32" s="73" t="s">
        <v>826</v>
      </c>
      <c r="H32" s="92"/>
      <c r="I32" s="75">
        <v>1</v>
      </c>
      <c r="J32" s="75">
        <v>1</v>
      </c>
      <c r="K32" s="75">
        <v>1</v>
      </c>
      <c r="L32" s="75"/>
      <c r="M32" s="75"/>
      <c r="N32" s="75"/>
      <c r="O32" s="75">
        <f>SUM(TABELA22[[#This Row],[T1]:[T7]])</f>
        <v>3</v>
      </c>
      <c r="P32" s="76">
        <f>TABELA22[[#This Row],[PREÇO]]*TABELA22[[#This Row],[QTDE]]</f>
        <v>585</v>
      </c>
    </row>
    <row r="33" spans="1:16" x14ac:dyDescent="0.2">
      <c r="A33" s="70" t="s">
        <v>1210</v>
      </c>
      <c r="B33" s="78" t="s">
        <v>1259</v>
      </c>
      <c r="C33" s="72" t="s">
        <v>1260</v>
      </c>
      <c r="D33" s="73" t="s">
        <v>1118</v>
      </c>
      <c r="E33" s="72" t="s">
        <v>1119</v>
      </c>
      <c r="F33" s="84">
        <v>240.45</v>
      </c>
      <c r="G33" s="73" t="s">
        <v>829</v>
      </c>
      <c r="H33" s="92">
        <v>1</v>
      </c>
      <c r="I33" s="75"/>
      <c r="J33" s="75"/>
      <c r="K33" s="75">
        <v>1</v>
      </c>
      <c r="L33" s="75"/>
      <c r="M33" s="75"/>
      <c r="N33" s="75"/>
      <c r="O33" s="75">
        <f>SUM(TABELA22[[#This Row],[T1]:[T7]])</f>
        <v>2</v>
      </c>
      <c r="P33" s="76">
        <f>TABELA22[[#This Row],[PREÇO]]*TABELA22[[#This Row],[QTDE]]</f>
        <v>480.9</v>
      </c>
    </row>
    <row r="34" spans="1:16" x14ac:dyDescent="0.2">
      <c r="A34" s="70" t="s">
        <v>1212</v>
      </c>
      <c r="B34" s="78" t="s">
        <v>1291</v>
      </c>
      <c r="C34" s="72" t="s">
        <v>1292</v>
      </c>
      <c r="D34" s="73" t="s">
        <v>32</v>
      </c>
      <c r="E34" s="72" t="s">
        <v>33</v>
      </c>
      <c r="F34" s="84">
        <v>135.91</v>
      </c>
      <c r="G34" s="73" t="s">
        <v>826</v>
      </c>
      <c r="H34" s="92"/>
      <c r="I34" s="75">
        <v>2</v>
      </c>
      <c r="J34" s="75"/>
      <c r="K34" s="75">
        <v>1</v>
      </c>
      <c r="L34" s="75"/>
      <c r="M34" s="75"/>
      <c r="N34" s="75"/>
      <c r="O34" s="75">
        <f>SUM(TABELA22[[#This Row],[T1]:[T7]])</f>
        <v>3</v>
      </c>
      <c r="P34" s="76">
        <f>TABELA22[[#This Row],[PREÇO]]*TABELA22[[#This Row],[QTDE]]</f>
        <v>407.73</v>
      </c>
    </row>
    <row r="35" spans="1:16" x14ac:dyDescent="0.2">
      <c r="A35" s="70" t="s">
        <v>1219</v>
      </c>
      <c r="B35" s="78" t="s">
        <v>1333</v>
      </c>
      <c r="C35" s="72" t="s">
        <v>1334</v>
      </c>
      <c r="D35" s="73" t="s">
        <v>1118</v>
      </c>
      <c r="E35" s="72" t="s">
        <v>1119</v>
      </c>
      <c r="F35" s="84">
        <v>385.91</v>
      </c>
      <c r="G35" s="73" t="s">
        <v>829</v>
      </c>
      <c r="H35" s="92"/>
      <c r="I35" s="75">
        <v>1</v>
      </c>
      <c r="J35" s="75"/>
      <c r="K35" s="75"/>
      <c r="L35" s="75"/>
      <c r="M35" s="75"/>
      <c r="N35" s="75"/>
      <c r="O35" s="75">
        <f>SUM(TABELA22[[#This Row],[T1]:[T7]])</f>
        <v>1</v>
      </c>
      <c r="P35" s="76">
        <f>TABELA22[[#This Row],[PREÇO]]*TABELA22[[#This Row],[QTDE]]</f>
        <v>385.91</v>
      </c>
    </row>
    <row r="36" spans="1:16" x14ac:dyDescent="0.2">
      <c r="A36" s="70" t="s">
        <v>1253</v>
      </c>
      <c r="B36" s="78" t="s">
        <v>1376</v>
      </c>
      <c r="C36" s="72" t="s">
        <v>837</v>
      </c>
      <c r="D36" s="73" t="s">
        <v>823</v>
      </c>
      <c r="E36" s="72" t="s">
        <v>820</v>
      </c>
      <c r="F36" s="84">
        <v>299.55</v>
      </c>
      <c r="G36" s="73" t="s">
        <v>826</v>
      </c>
      <c r="H36" s="92"/>
      <c r="I36" s="75"/>
      <c r="J36" s="75"/>
      <c r="K36" s="75">
        <v>1</v>
      </c>
      <c r="L36" s="75"/>
      <c r="M36" s="75"/>
      <c r="N36" s="75"/>
      <c r="O36" s="75">
        <f>SUM(TABELA22[[#This Row],[T1]:[T7]])</f>
        <v>1</v>
      </c>
      <c r="P36" s="76">
        <f>TABELA22[[#This Row],[PREÇO]]*TABELA22[[#This Row],[QTDE]]</f>
        <v>299.55</v>
      </c>
    </row>
    <row r="37" spans="1:16" x14ac:dyDescent="0.2">
      <c r="A37" s="70" t="s">
        <v>1258</v>
      </c>
      <c r="B37" s="78" t="s">
        <v>1377</v>
      </c>
      <c r="C37" s="72" t="s">
        <v>1378</v>
      </c>
      <c r="D37" s="73" t="s">
        <v>32</v>
      </c>
      <c r="E37" s="72" t="s">
        <v>33</v>
      </c>
      <c r="F37" s="84">
        <v>149.55000000000001</v>
      </c>
      <c r="G37" s="73" t="s">
        <v>828</v>
      </c>
      <c r="H37" s="92">
        <v>1</v>
      </c>
      <c r="I37" s="75">
        <v>1</v>
      </c>
      <c r="J37" s="75">
        <v>1</v>
      </c>
      <c r="K37" s="75">
        <v>1</v>
      </c>
      <c r="L37" s="75">
        <v>1</v>
      </c>
      <c r="M37" s="75"/>
      <c r="N37" s="75"/>
      <c r="O37" s="75">
        <f>SUM(TABELA22[[#This Row],[T1]:[T7]])</f>
        <v>5</v>
      </c>
      <c r="P37" s="76">
        <f>TABELA22[[#This Row],[PREÇO]]*TABELA22[[#This Row],[QTDE]]</f>
        <v>747.75</v>
      </c>
    </row>
    <row r="38" spans="1:16" x14ac:dyDescent="0.2">
      <c r="A38" s="70" t="s">
        <v>1261</v>
      </c>
      <c r="B38" s="78" t="s">
        <v>1377</v>
      </c>
      <c r="C38" s="72" t="s">
        <v>1378</v>
      </c>
      <c r="D38" s="73" t="s">
        <v>888</v>
      </c>
      <c r="E38" s="72" t="s">
        <v>890</v>
      </c>
      <c r="F38" s="84">
        <v>149.55000000000001</v>
      </c>
      <c r="G38" s="73" t="s">
        <v>828</v>
      </c>
      <c r="H38" s="92">
        <v>1</v>
      </c>
      <c r="I38" s="75">
        <v>1</v>
      </c>
      <c r="J38" s="75">
        <v>1</v>
      </c>
      <c r="K38" s="75">
        <v>1</v>
      </c>
      <c r="L38" s="75">
        <v>1</v>
      </c>
      <c r="M38" s="75"/>
      <c r="N38" s="75"/>
      <c r="O38" s="75">
        <f>SUM(TABELA22[[#This Row],[T1]:[T7]])</f>
        <v>5</v>
      </c>
      <c r="P38" s="76">
        <f>TABELA22[[#This Row],[PREÇO]]*TABELA22[[#This Row],[QTDE]]</f>
        <v>747.75</v>
      </c>
    </row>
    <row r="39" spans="1:16" x14ac:dyDescent="0.2">
      <c r="A39" s="70" t="s">
        <v>1266</v>
      </c>
      <c r="B39" s="78" t="s">
        <v>1377</v>
      </c>
      <c r="C39" s="72" t="s">
        <v>1378</v>
      </c>
      <c r="D39" s="73" t="s">
        <v>1317</v>
      </c>
      <c r="E39" s="72" t="s">
        <v>1571</v>
      </c>
      <c r="F39" s="84">
        <v>149.55000000000001</v>
      </c>
      <c r="G39" s="73" t="s">
        <v>828</v>
      </c>
      <c r="H39" s="92">
        <v>1</v>
      </c>
      <c r="I39" s="75">
        <v>1</v>
      </c>
      <c r="J39" s="75">
        <v>1</v>
      </c>
      <c r="K39" s="75">
        <v>1</v>
      </c>
      <c r="L39" s="75">
        <v>1</v>
      </c>
      <c r="M39" s="75"/>
      <c r="N39" s="75"/>
      <c r="O39" s="75">
        <f>SUM(TABELA22[[#This Row],[T1]:[T7]])</f>
        <v>5</v>
      </c>
      <c r="P39" s="76">
        <f>TABELA22[[#This Row],[PREÇO]]*TABELA22[[#This Row],[QTDE]]</f>
        <v>747.75</v>
      </c>
    </row>
    <row r="40" spans="1:16" x14ac:dyDescent="0.2">
      <c r="A40" s="70" t="s">
        <v>1273</v>
      </c>
      <c r="B40" s="78" t="s">
        <v>1391</v>
      </c>
      <c r="C40" s="72" t="s">
        <v>1392</v>
      </c>
      <c r="D40" s="73" t="s">
        <v>32</v>
      </c>
      <c r="E40" s="72" t="s">
        <v>33</v>
      </c>
      <c r="F40" s="84">
        <v>158.63999999999999</v>
      </c>
      <c r="G40" s="73" t="s">
        <v>826</v>
      </c>
      <c r="H40" s="92"/>
      <c r="I40" s="75">
        <v>1</v>
      </c>
      <c r="J40" s="75">
        <v>1</v>
      </c>
      <c r="K40" s="75">
        <v>1</v>
      </c>
      <c r="L40" s="75"/>
      <c r="M40" s="75"/>
      <c r="N40" s="75"/>
      <c r="O40" s="75">
        <f>SUM(TABELA22[[#This Row],[T1]:[T7]])</f>
        <v>3</v>
      </c>
      <c r="P40" s="76">
        <f>TABELA22[[#This Row],[PREÇO]]*TABELA22[[#This Row],[QTDE]]</f>
        <v>475.91999999999996</v>
      </c>
    </row>
    <row r="41" spans="1:16" x14ac:dyDescent="0.2">
      <c r="A41" s="70" t="s">
        <v>1277</v>
      </c>
      <c r="B41" s="78" t="s">
        <v>1391</v>
      </c>
      <c r="C41" s="72" t="s">
        <v>1392</v>
      </c>
      <c r="D41" s="73" t="s">
        <v>888</v>
      </c>
      <c r="E41" s="72" t="s">
        <v>890</v>
      </c>
      <c r="F41" s="84">
        <v>158.63999999999999</v>
      </c>
      <c r="G41" s="73" t="s">
        <v>826</v>
      </c>
      <c r="H41" s="92"/>
      <c r="I41" s="75">
        <v>1</v>
      </c>
      <c r="J41" s="75">
        <v>1</v>
      </c>
      <c r="K41" s="75">
        <v>1</v>
      </c>
      <c r="L41" s="75"/>
      <c r="M41" s="75"/>
      <c r="N41" s="75"/>
      <c r="O41" s="75">
        <f>SUM(TABELA22[[#This Row],[T1]:[T7]])</f>
        <v>3</v>
      </c>
      <c r="P41" s="76">
        <f>TABELA22[[#This Row],[PREÇO]]*TABELA22[[#This Row],[QTDE]]</f>
        <v>475.91999999999996</v>
      </c>
    </row>
    <row r="42" spans="1:16" x14ac:dyDescent="0.2">
      <c r="A42" s="70" t="s">
        <v>1280</v>
      </c>
      <c r="B42" s="78" t="s">
        <v>1391</v>
      </c>
      <c r="C42" s="72" t="s">
        <v>1392</v>
      </c>
      <c r="D42" s="73" t="s">
        <v>1317</v>
      </c>
      <c r="E42" s="72" t="s">
        <v>1571</v>
      </c>
      <c r="F42" s="84">
        <v>158.63999999999999</v>
      </c>
      <c r="G42" s="73" t="s">
        <v>826</v>
      </c>
      <c r="H42" s="92"/>
      <c r="I42" s="75">
        <v>1</v>
      </c>
      <c r="J42" s="75">
        <v>1</v>
      </c>
      <c r="K42" s="75">
        <v>1</v>
      </c>
      <c r="L42" s="75"/>
      <c r="M42" s="75"/>
      <c r="N42" s="75"/>
      <c r="O42" s="75">
        <f>SUM(TABELA22[[#This Row],[T1]:[T7]])</f>
        <v>3</v>
      </c>
      <c r="P42" s="76">
        <f>TABELA22[[#This Row],[PREÇO]]*TABELA22[[#This Row],[QTDE]]</f>
        <v>475.91999999999996</v>
      </c>
    </row>
    <row r="43" spans="1:16" x14ac:dyDescent="0.2">
      <c r="A43" s="70" t="s">
        <v>1284</v>
      </c>
      <c r="B43" s="78" t="s">
        <v>1399</v>
      </c>
      <c r="C43" s="72" t="s">
        <v>1400</v>
      </c>
      <c r="D43" s="73" t="s">
        <v>1371</v>
      </c>
      <c r="E43" s="72" t="s">
        <v>1373</v>
      </c>
      <c r="F43" s="84">
        <v>267.73</v>
      </c>
      <c r="G43" s="73" t="s">
        <v>826</v>
      </c>
      <c r="H43" s="92"/>
      <c r="I43" s="75">
        <v>1</v>
      </c>
      <c r="J43" s="75"/>
      <c r="K43" s="75"/>
      <c r="L43" s="75"/>
      <c r="M43" s="75"/>
      <c r="N43" s="75"/>
      <c r="O43" s="75">
        <f>SUM(TABELA22[[#This Row],[T1]:[T7]])</f>
        <v>1</v>
      </c>
      <c r="P43" s="76">
        <f>TABELA22[[#This Row],[PREÇO]]*TABELA22[[#This Row],[QTDE]]</f>
        <v>267.73</v>
      </c>
    </row>
    <row r="44" spans="1:16" x14ac:dyDescent="0.2">
      <c r="A44" s="70" t="s">
        <v>1286</v>
      </c>
      <c r="B44" s="78" t="s">
        <v>1401</v>
      </c>
      <c r="C44" s="72" t="s">
        <v>1402</v>
      </c>
      <c r="D44" s="73" t="s">
        <v>32</v>
      </c>
      <c r="E44" s="72" t="s">
        <v>33</v>
      </c>
      <c r="F44" s="84">
        <v>249.55</v>
      </c>
      <c r="G44" s="73" t="s">
        <v>829</v>
      </c>
      <c r="H44" s="92"/>
      <c r="I44" s="75"/>
      <c r="J44" s="75"/>
      <c r="K44" s="75">
        <v>1</v>
      </c>
      <c r="L44" s="75"/>
      <c r="M44" s="75"/>
      <c r="N44" s="75"/>
      <c r="O44" s="75">
        <f>SUM(TABELA22[[#This Row],[T1]:[T7]])</f>
        <v>1</v>
      </c>
      <c r="P44" s="76">
        <f>TABELA22[[#This Row],[PREÇO]]*TABELA22[[#This Row],[QTDE]]</f>
        <v>249.55</v>
      </c>
    </row>
    <row r="45" spans="1:16" x14ac:dyDescent="0.2">
      <c r="A45" s="70" t="s">
        <v>1293</v>
      </c>
      <c r="B45" s="78" t="s">
        <v>1410</v>
      </c>
      <c r="C45" s="72" t="s">
        <v>1411</v>
      </c>
      <c r="D45" s="73" t="s">
        <v>32</v>
      </c>
      <c r="E45" s="72" t="s">
        <v>33</v>
      </c>
      <c r="F45" s="84">
        <v>254.09</v>
      </c>
      <c r="G45" s="73" t="s">
        <v>829</v>
      </c>
      <c r="H45" s="92">
        <v>1</v>
      </c>
      <c r="I45" s="75">
        <v>1</v>
      </c>
      <c r="J45" s="75"/>
      <c r="K45" s="75"/>
      <c r="L45" s="75"/>
      <c r="M45" s="75"/>
      <c r="N45" s="75"/>
      <c r="O45" s="75">
        <f>SUM(TABELA22[[#This Row],[T1]:[T7]])</f>
        <v>2</v>
      </c>
      <c r="P45" s="76">
        <f>TABELA22[[#This Row],[PREÇO]]*TABELA22[[#This Row],[QTDE]]</f>
        <v>508.18</v>
      </c>
    </row>
    <row r="46" spans="1:16" x14ac:dyDescent="0.2">
      <c r="A46" s="70" t="s">
        <v>1315</v>
      </c>
      <c r="B46" s="78" t="s">
        <v>1430</v>
      </c>
      <c r="C46" s="72" t="s">
        <v>1431</v>
      </c>
      <c r="D46" s="73" t="s">
        <v>1371</v>
      </c>
      <c r="E46" s="72" t="s">
        <v>1373</v>
      </c>
      <c r="F46" s="84">
        <v>181.36</v>
      </c>
      <c r="G46" s="73" t="s">
        <v>829</v>
      </c>
      <c r="H46" s="92"/>
      <c r="I46" s="75"/>
      <c r="J46" s="75">
        <v>1</v>
      </c>
      <c r="K46" s="75">
        <v>1</v>
      </c>
      <c r="L46" s="75"/>
      <c r="M46" s="75"/>
      <c r="N46" s="75"/>
      <c r="O46" s="75">
        <f>SUM(TABELA22[[#This Row],[T1]:[T7]])</f>
        <v>2</v>
      </c>
      <c r="P46" s="76">
        <f>TABELA22[[#This Row],[PREÇO]]*TABELA22[[#This Row],[QTDE]]</f>
        <v>362.72</v>
      </c>
    </row>
    <row r="47" spans="1:16" x14ac:dyDescent="0.2">
      <c r="A47" s="70" t="s">
        <v>1390</v>
      </c>
      <c r="B47" s="78" t="s">
        <v>1528</v>
      </c>
      <c r="C47" s="72" t="s">
        <v>1529</v>
      </c>
      <c r="D47" s="73" t="s">
        <v>1317</v>
      </c>
      <c r="E47" s="72" t="s">
        <v>1319</v>
      </c>
      <c r="F47" s="84">
        <v>431.36</v>
      </c>
      <c r="G47" s="73" t="s">
        <v>829</v>
      </c>
      <c r="H47" s="92">
        <v>1</v>
      </c>
      <c r="I47" s="75"/>
      <c r="J47" s="75"/>
      <c r="K47" s="75"/>
      <c r="L47" s="75"/>
      <c r="M47" s="75"/>
      <c r="N47" s="75"/>
      <c r="O47" s="75">
        <f>SUM(TABELA22[[#This Row],[T1]:[T7]])</f>
        <v>1</v>
      </c>
      <c r="P47" s="76">
        <f>TABELA22[[#This Row],[PREÇO]]*TABELA22[[#This Row],[QTDE]]</f>
        <v>431.36</v>
      </c>
    </row>
    <row r="48" spans="1:16" x14ac:dyDescent="0.2">
      <c r="A48" s="70" t="s">
        <v>1398</v>
      </c>
      <c r="B48" s="78" t="s">
        <v>1541</v>
      </c>
      <c r="C48" s="72" t="s">
        <v>1542</v>
      </c>
      <c r="D48" s="73" t="s">
        <v>823</v>
      </c>
      <c r="E48" s="72" t="s">
        <v>820</v>
      </c>
      <c r="F48" s="84">
        <v>181.36</v>
      </c>
      <c r="G48" s="73" t="s">
        <v>828</v>
      </c>
      <c r="H48" s="92"/>
      <c r="I48" s="75">
        <v>1</v>
      </c>
      <c r="J48" s="75">
        <v>1</v>
      </c>
      <c r="K48" s="75">
        <v>1</v>
      </c>
      <c r="L48" s="75"/>
      <c r="M48" s="75"/>
      <c r="N48" s="75"/>
      <c r="O48" s="75">
        <f>SUM(TABELA22[[#This Row],[T1]:[T7]])</f>
        <v>3</v>
      </c>
      <c r="P48" s="76">
        <f>TABELA22[[#This Row],[PREÇO]]*TABELA22[[#This Row],[QTDE]]</f>
        <v>544.08000000000004</v>
      </c>
    </row>
    <row r="49" spans="1:16" x14ac:dyDescent="0.2">
      <c r="A49" s="70" t="s">
        <v>1403</v>
      </c>
      <c r="B49" s="78" t="s">
        <v>1544</v>
      </c>
      <c r="C49" s="72" t="s">
        <v>1545</v>
      </c>
      <c r="D49" s="73" t="s">
        <v>823</v>
      </c>
      <c r="E49" s="72" t="s">
        <v>820</v>
      </c>
      <c r="F49" s="84">
        <v>167.73</v>
      </c>
      <c r="G49" s="73" t="s">
        <v>828</v>
      </c>
      <c r="H49" s="92">
        <v>1</v>
      </c>
      <c r="I49" s="75">
        <v>1</v>
      </c>
      <c r="J49" s="75">
        <v>1</v>
      </c>
      <c r="K49" s="75">
        <v>1</v>
      </c>
      <c r="L49" s="75">
        <v>1</v>
      </c>
      <c r="M49" s="75"/>
      <c r="N49" s="75"/>
      <c r="O49" s="75">
        <f>SUM(TABELA22[[#This Row],[T1]:[T7]])</f>
        <v>5</v>
      </c>
      <c r="P49" s="76">
        <f>TABELA22[[#This Row],[PREÇO]]*TABELA22[[#This Row],[QTDE]]</f>
        <v>838.65</v>
      </c>
    </row>
    <row r="50" spans="1:16" x14ac:dyDescent="0.2">
      <c r="A50" s="70" t="s">
        <v>1446</v>
      </c>
      <c r="B50" s="78" t="s">
        <v>1592</v>
      </c>
      <c r="C50" s="72" t="s">
        <v>1593</v>
      </c>
      <c r="D50" s="73" t="s">
        <v>895</v>
      </c>
      <c r="E50" s="72" t="s">
        <v>896</v>
      </c>
      <c r="F50" s="84">
        <v>149.55000000000001</v>
      </c>
      <c r="G50" s="73" t="s">
        <v>826</v>
      </c>
      <c r="H50" s="92"/>
      <c r="I50" s="75">
        <v>3</v>
      </c>
      <c r="J50" s="75">
        <v>1</v>
      </c>
      <c r="K50" s="75">
        <v>1</v>
      </c>
      <c r="L50" s="75"/>
      <c r="M50" s="75"/>
      <c r="N50" s="75"/>
      <c r="O50" s="75">
        <f>SUM(TABELA22[[#This Row],[T1]:[T7]])</f>
        <v>5</v>
      </c>
      <c r="P50" s="76">
        <f>TABELA22[[#This Row],[PREÇO]]*TABELA22[[#This Row],[QTDE]]</f>
        <v>747.75</v>
      </c>
    </row>
    <row r="51" spans="1:16" x14ac:dyDescent="0.2">
      <c r="A51" s="70" t="s">
        <v>1457</v>
      </c>
      <c r="B51" s="78" t="s">
        <v>1600</v>
      </c>
      <c r="C51" s="72" t="s">
        <v>818</v>
      </c>
      <c r="D51" s="73" t="s">
        <v>32</v>
      </c>
      <c r="E51" s="72" t="s">
        <v>33</v>
      </c>
      <c r="F51" s="84">
        <v>167.73</v>
      </c>
      <c r="G51" s="73" t="s">
        <v>826</v>
      </c>
      <c r="H51" s="92"/>
      <c r="I51" s="75">
        <v>2</v>
      </c>
      <c r="J51" s="75"/>
      <c r="K51" s="75">
        <v>1</v>
      </c>
      <c r="L51" s="75"/>
      <c r="M51" s="75"/>
      <c r="N51" s="75"/>
      <c r="O51" s="75">
        <f>SUM(TABELA22[[#This Row],[T1]:[T7]])</f>
        <v>3</v>
      </c>
      <c r="P51" s="76">
        <f>TABELA22[[#This Row],[PREÇO]]*TABELA22[[#This Row],[QTDE]]</f>
        <v>503.18999999999994</v>
      </c>
    </row>
    <row r="52" spans="1:16" x14ac:dyDescent="0.2">
      <c r="A52" s="70" t="s">
        <v>1486</v>
      </c>
      <c r="B52" s="78" t="s">
        <v>1619</v>
      </c>
      <c r="C52" s="72" t="s">
        <v>1620</v>
      </c>
      <c r="D52" s="73" t="s">
        <v>1184</v>
      </c>
      <c r="E52" s="72" t="s">
        <v>1469</v>
      </c>
      <c r="F52" s="84">
        <v>285.91000000000003</v>
      </c>
      <c r="G52" s="73" t="s">
        <v>826</v>
      </c>
      <c r="H52" s="92"/>
      <c r="I52" s="75">
        <v>1</v>
      </c>
      <c r="J52" s="75"/>
      <c r="K52" s="75"/>
      <c r="L52" s="75"/>
      <c r="M52" s="75"/>
      <c r="N52" s="75"/>
      <c r="O52" s="75">
        <f>SUM(TABELA22[[#This Row],[T1]:[T7]])</f>
        <v>1</v>
      </c>
      <c r="P52" s="76">
        <f>TABELA22[[#This Row],[PREÇO]]*TABELA22[[#This Row],[QTDE]]</f>
        <v>285.91000000000003</v>
      </c>
    </row>
    <row r="53" spans="1:16" x14ac:dyDescent="0.2">
      <c r="A53" s="70" t="s">
        <v>1497</v>
      </c>
      <c r="B53" s="78" t="s">
        <v>1628</v>
      </c>
      <c r="C53" s="72" t="s">
        <v>1629</v>
      </c>
      <c r="D53" s="73" t="s">
        <v>32</v>
      </c>
      <c r="E53" s="72" t="s">
        <v>33</v>
      </c>
      <c r="F53" s="84">
        <v>149.55000000000001</v>
      </c>
      <c r="G53" s="73" t="s">
        <v>826</v>
      </c>
      <c r="H53" s="92"/>
      <c r="I53" s="75">
        <v>2</v>
      </c>
      <c r="J53" s="75"/>
      <c r="K53" s="75"/>
      <c r="L53" s="75"/>
      <c r="M53" s="75"/>
      <c r="N53" s="75"/>
      <c r="O53" s="75">
        <f>SUM(TABELA22[[#This Row],[T1]:[T7]])</f>
        <v>2</v>
      </c>
      <c r="P53" s="76">
        <f>TABELA22[[#This Row],[PREÇO]]*TABELA22[[#This Row],[QTDE]]</f>
        <v>299.10000000000002</v>
      </c>
    </row>
    <row r="54" spans="1:16" x14ac:dyDescent="0.2">
      <c r="A54" s="70" t="s">
        <v>1500</v>
      </c>
      <c r="B54" s="78" t="s">
        <v>1628</v>
      </c>
      <c r="C54" s="72" t="s">
        <v>1629</v>
      </c>
      <c r="D54" s="73" t="s">
        <v>821</v>
      </c>
      <c r="E54" s="72" t="s">
        <v>822</v>
      </c>
      <c r="F54" s="84">
        <v>149.55000000000001</v>
      </c>
      <c r="G54" s="73" t="s">
        <v>826</v>
      </c>
      <c r="H54" s="92"/>
      <c r="I54" s="75">
        <v>2</v>
      </c>
      <c r="J54" s="75">
        <v>1</v>
      </c>
      <c r="K54" s="75"/>
      <c r="L54" s="75"/>
      <c r="M54" s="75"/>
      <c r="N54" s="75"/>
      <c r="O54" s="75">
        <f>SUM(TABELA22[[#This Row],[T1]:[T7]])</f>
        <v>3</v>
      </c>
      <c r="P54" s="76">
        <f>TABELA22[[#This Row],[PREÇO]]*TABELA22[[#This Row],[QTDE]]</f>
        <v>448.65000000000003</v>
      </c>
    </row>
    <row r="55" spans="1:16" x14ac:dyDescent="0.2">
      <c r="A55" s="70" t="s">
        <v>1503</v>
      </c>
      <c r="B55" s="78" t="s">
        <v>1632</v>
      </c>
      <c r="C55" s="72" t="s">
        <v>1633</v>
      </c>
      <c r="D55" s="73" t="s">
        <v>32</v>
      </c>
      <c r="E55" s="72" t="s">
        <v>33</v>
      </c>
      <c r="F55" s="84">
        <v>176.82</v>
      </c>
      <c r="G55" s="73" t="s">
        <v>826</v>
      </c>
      <c r="H55" s="92"/>
      <c r="I55" s="75">
        <v>2</v>
      </c>
      <c r="J55" s="75"/>
      <c r="K55" s="75">
        <v>1</v>
      </c>
      <c r="L55" s="75"/>
      <c r="M55" s="75"/>
      <c r="N55" s="75"/>
      <c r="O55" s="75">
        <f>SUM(TABELA22[[#This Row],[T1]:[T7]])</f>
        <v>3</v>
      </c>
      <c r="P55" s="76">
        <f>TABELA22[[#This Row],[PREÇO]]*TABELA22[[#This Row],[QTDE]]</f>
        <v>530.46</v>
      </c>
    </row>
    <row r="56" spans="1:16" x14ac:dyDescent="0.2">
      <c r="A56" s="70" t="s">
        <v>1506</v>
      </c>
      <c r="B56" s="78" t="s">
        <v>1632</v>
      </c>
      <c r="C56" s="72" t="s">
        <v>1633</v>
      </c>
      <c r="D56" s="73" t="s">
        <v>1635</v>
      </c>
      <c r="E56" s="72" t="s">
        <v>1636</v>
      </c>
      <c r="F56" s="84">
        <v>176.82</v>
      </c>
      <c r="G56" s="73" t="s">
        <v>826</v>
      </c>
      <c r="H56" s="92"/>
      <c r="I56" s="75">
        <v>2</v>
      </c>
      <c r="J56" s="75"/>
      <c r="K56" s="75">
        <v>1</v>
      </c>
      <c r="L56" s="75"/>
      <c r="M56" s="75"/>
      <c r="N56" s="75"/>
      <c r="O56" s="75">
        <f>SUM(TABELA22[[#This Row],[T1]:[T7]])</f>
        <v>3</v>
      </c>
      <c r="P56" s="76">
        <f>TABELA22[[#This Row],[PREÇO]]*TABELA22[[#This Row],[QTDE]]</f>
        <v>530.46</v>
      </c>
    </row>
    <row r="57" spans="1:16" x14ac:dyDescent="0.2">
      <c r="A57" s="70" t="s">
        <v>1549</v>
      </c>
      <c r="B57" s="78" t="s">
        <v>1668</v>
      </c>
      <c r="C57" s="72" t="s">
        <v>1669</v>
      </c>
      <c r="D57" s="73" t="s">
        <v>1635</v>
      </c>
      <c r="E57" s="72" t="s">
        <v>1636</v>
      </c>
      <c r="F57" s="84">
        <v>199.55</v>
      </c>
      <c r="G57" s="73" t="s">
        <v>826</v>
      </c>
      <c r="H57" s="92"/>
      <c r="I57" s="75"/>
      <c r="J57" s="75">
        <v>1</v>
      </c>
      <c r="K57" s="75">
        <v>1</v>
      </c>
      <c r="L57" s="75"/>
      <c r="M57" s="75"/>
      <c r="N57" s="75"/>
      <c r="O57" s="75">
        <f>SUM(TABELA22[[#This Row],[T1]:[T7]])</f>
        <v>2</v>
      </c>
      <c r="P57" s="76">
        <f>TABELA22[[#This Row],[PREÇO]]*TABELA22[[#This Row],[QTDE]]</f>
        <v>399.1</v>
      </c>
    </row>
    <row r="58" spans="1:16" x14ac:dyDescent="0.2">
      <c r="A58" s="70" t="s">
        <v>1552</v>
      </c>
      <c r="B58" s="78" t="s">
        <v>1671</v>
      </c>
      <c r="C58" s="72" t="s">
        <v>1672</v>
      </c>
      <c r="D58" s="73" t="s">
        <v>830</v>
      </c>
      <c r="E58" s="72" t="s">
        <v>43</v>
      </c>
      <c r="F58" s="84">
        <v>176.82</v>
      </c>
      <c r="G58" s="73" t="s">
        <v>826</v>
      </c>
      <c r="H58" s="92"/>
      <c r="I58" s="75">
        <v>2</v>
      </c>
      <c r="J58" s="75">
        <v>1</v>
      </c>
      <c r="K58" s="75">
        <v>1</v>
      </c>
      <c r="L58" s="75"/>
      <c r="M58" s="75"/>
      <c r="N58" s="75"/>
      <c r="O58" s="75">
        <f>SUM(TABELA22[[#This Row],[T1]:[T7]])</f>
        <v>4</v>
      </c>
      <c r="P58" s="76">
        <f>TABELA22[[#This Row],[PREÇO]]*TABELA22[[#This Row],[QTDE]]</f>
        <v>707.28</v>
      </c>
    </row>
    <row r="59" spans="1:16" x14ac:dyDescent="0.2">
      <c r="A59" s="70" t="s">
        <v>1555</v>
      </c>
      <c r="B59" s="78" t="s">
        <v>1671</v>
      </c>
      <c r="C59" s="72" t="s">
        <v>1672</v>
      </c>
      <c r="D59" s="73" t="s">
        <v>32</v>
      </c>
      <c r="E59" s="72" t="s">
        <v>33</v>
      </c>
      <c r="F59" s="84">
        <v>176.82</v>
      </c>
      <c r="G59" s="73" t="s">
        <v>826</v>
      </c>
      <c r="H59" s="92"/>
      <c r="I59" s="75">
        <v>2</v>
      </c>
      <c r="J59" s="75">
        <v>1</v>
      </c>
      <c r="K59" s="75">
        <v>1</v>
      </c>
      <c r="L59" s="75"/>
      <c r="M59" s="75"/>
      <c r="N59" s="75"/>
      <c r="O59" s="75">
        <f>SUM(TABELA22[[#This Row],[T1]:[T7]])</f>
        <v>4</v>
      </c>
      <c r="P59" s="76">
        <f>TABELA22[[#This Row],[PREÇO]]*TABELA22[[#This Row],[QTDE]]</f>
        <v>707.28</v>
      </c>
    </row>
    <row r="60" spans="1:16" x14ac:dyDescent="0.2">
      <c r="A60" s="70" t="s">
        <v>1562</v>
      </c>
      <c r="B60" s="78" t="s">
        <v>1676</v>
      </c>
      <c r="C60" s="72" t="s">
        <v>1677</v>
      </c>
      <c r="D60" s="73" t="s">
        <v>1317</v>
      </c>
      <c r="E60" s="72" t="s">
        <v>1319</v>
      </c>
      <c r="F60" s="84">
        <v>226.82</v>
      </c>
      <c r="G60" s="73" t="s">
        <v>826</v>
      </c>
      <c r="H60" s="92"/>
      <c r="I60" s="75">
        <v>1</v>
      </c>
      <c r="J60" s="75"/>
      <c r="K60" s="75"/>
      <c r="L60" s="75"/>
      <c r="M60" s="75"/>
      <c r="N60" s="75"/>
      <c r="O60" s="75">
        <f>SUM(TABELA22[[#This Row],[T1]:[T7]])</f>
        <v>1</v>
      </c>
      <c r="P60" s="76">
        <f>TABELA22[[#This Row],[PREÇO]]*TABELA22[[#This Row],[QTDE]]</f>
        <v>226.82</v>
      </c>
    </row>
    <row r="61" spans="1:16" x14ac:dyDescent="0.2">
      <c r="A61" s="70" t="s">
        <v>1575</v>
      </c>
      <c r="B61" s="78" t="s">
        <v>1691</v>
      </c>
      <c r="C61" s="72" t="s">
        <v>1692</v>
      </c>
      <c r="D61" s="73" t="s">
        <v>1371</v>
      </c>
      <c r="E61" s="72" t="s">
        <v>1373</v>
      </c>
      <c r="F61" s="84">
        <v>249.55</v>
      </c>
      <c r="G61" s="73" t="s">
        <v>826</v>
      </c>
      <c r="H61" s="92"/>
      <c r="I61" s="75">
        <v>1</v>
      </c>
      <c r="J61" s="75">
        <v>1</v>
      </c>
      <c r="K61" s="75"/>
      <c r="L61" s="75"/>
      <c r="M61" s="75"/>
      <c r="N61" s="75"/>
      <c r="O61" s="75">
        <f>SUM(TABELA22[[#This Row],[T1]:[T7]])</f>
        <v>2</v>
      </c>
      <c r="P61" s="76">
        <f>TABELA22[[#This Row],[PREÇO]]*TABELA22[[#This Row],[QTDE]]</f>
        <v>499.1</v>
      </c>
    </row>
    <row r="62" spans="1:16" x14ac:dyDescent="0.2">
      <c r="A62" s="70" t="s">
        <v>1590</v>
      </c>
      <c r="B62" s="78" t="s">
        <v>1705</v>
      </c>
      <c r="C62" s="72" t="s">
        <v>1654</v>
      </c>
      <c r="D62" s="73" t="s">
        <v>1184</v>
      </c>
      <c r="E62" s="72" t="s">
        <v>2317</v>
      </c>
      <c r="F62" s="84">
        <v>245</v>
      </c>
      <c r="G62" s="73" t="s">
        <v>826</v>
      </c>
      <c r="H62" s="92"/>
      <c r="I62" s="75">
        <v>1</v>
      </c>
      <c r="J62" s="75"/>
      <c r="K62" s="75">
        <v>1</v>
      </c>
      <c r="L62" s="75"/>
      <c r="M62" s="75"/>
      <c r="N62" s="75"/>
      <c r="O62" s="75">
        <f>SUM(TABELA22[[#This Row],[T1]:[T7]])</f>
        <v>2</v>
      </c>
      <c r="P62" s="76">
        <f>TABELA22[[#This Row],[PREÇO]]*TABELA22[[#This Row],[QTDE]]</f>
        <v>490</v>
      </c>
    </row>
    <row r="63" spans="1:16" x14ac:dyDescent="0.2">
      <c r="A63" s="70" t="s">
        <v>1618</v>
      </c>
      <c r="B63" s="78" t="s">
        <v>1732</v>
      </c>
      <c r="C63" s="72" t="s">
        <v>1733</v>
      </c>
      <c r="D63" s="73" t="s">
        <v>1635</v>
      </c>
      <c r="E63" s="72" t="s">
        <v>1636</v>
      </c>
      <c r="F63" s="84">
        <v>267.73</v>
      </c>
      <c r="G63" s="73" t="s">
        <v>826</v>
      </c>
      <c r="H63" s="92"/>
      <c r="I63" s="75">
        <v>1</v>
      </c>
      <c r="J63" s="75"/>
      <c r="K63" s="75"/>
      <c r="L63" s="75"/>
      <c r="M63" s="75"/>
      <c r="N63" s="75"/>
      <c r="O63" s="75">
        <f>SUM(TABELA22[[#This Row],[T1]:[T7]])</f>
        <v>1</v>
      </c>
      <c r="P63" s="76">
        <f>TABELA22[[#This Row],[PREÇO]]*TABELA22[[#This Row],[QTDE]]</f>
        <v>267.73</v>
      </c>
    </row>
    <row r="64" spans="1:16" x14ac:dyDescent="0.2">
      <c r="A64" s="70" t="s">
        <v>1634</v>
      </c>
      <c r="B64" s="78" t="s">
        <v>1749</v>
      </c>
      <c r="C64" s="72" t="s">
        <v>1750</v>
      </c>
      <c r="D64" s="73" t="s">
        <v>1371</v>
      </c>
      <c r="E64" s="72" t="s">
        <v>1373</v>
      </c>
      <c r="F64" s="84">
        <v>499.55</v>
      </c>
      <c r="G64" s="73" t="s">
        <v>826</v>
      </c>
      <c r="H64" s="92"/>
      <c r="I64" s="75">
        <v>1</v>
      </c>
      <c r="J64" s="75"/>
      <c r="K64" s="75"/>
      <c r="L64" s="75"/>
      <c r="M64" s="75"/>
      <c r="N64" s="75"/>
      <c r="O64" s="75">
        <f>SUM(TABELA22[[#This Row],[T1]:[T7]])</f>
        <v>1</v>
      </c>
      <c r="P64" s="76">
        <f>TABELA22[[#This Row],[PREÇO]]*TABELA22[[#This Row],[QTDE]]</f>
        <v>499.55</v>
      </c>
    </row>
    <row r="65" spans="1:16" x14ac:dyDescent="0.2">
      <c r="A65" s="70" t="s">
        <v>1645</v>
      </c>
      <c r="B65" s="78" t="s">
        <v>1762</v>
      </c>
      <c r="C65" s="72" t="s">
        <v>1763</v>
      </c>
      <c r="D65" s="73" t="s">
        <v>561</v>
      </c>
      <c r="E65" s="72" t="s">
        <v>45</v>
      </c>
      <c r="F65" s="84">
        <v>113.18</v>
      </c>
      <c r="G65" s="73" t="s">
        <v>826</v>
      </c>
      <c r="H65" s="92"/>
      <c r="I65" s="75">
        <v>1</v>
      </c>
      <c r="J65" s="75">
        <v>1</v>
      </c>
      <c r="K65" s="75">
        <v>1</v>
      </c>
      <c r="L65" s="75"/>
      <c r="M65" s="75"/>
      <c r="N65" s="75"/>
      <c r="O65" s="75">
        <f>SUM(TABELA22[[#This Row],[T1]:[T7]])</f>
        <v>3</v>
      </c>
      <c r="P65" s="76">
        <f>TABELA22[[#This Row],[PREÇO]]*TABELA22[[#This Row],[QTDE]]</f>
        <v>339.54</v>
      </c>
    </row>
    <row r="66" spans="1:16" x14ac:dyDescent="0.2">
      <c r="A66" s="70" t="s">
        <v>1648</v>
      </c>
      <c r="B66" s="78" t="s">
        <v>1762</v>
      </c>
      <c r="C66" s="72" t="s">
        <v>1763</v>
      </c>
      <c r="D66" s="73" t="s">
        <v>32</v>
      </c>
      <c r="E66" s="72" t="s">
        <v>33</v>
      </c>
      <c r="F66" s="84">
        <v>113.18</v>
      </c>
      <c r="G66" s="73" t="s">
        <v>826</v>
      </c>
      <c r="H66" s="92"/>
      <c r="I66" s="75">
        <v>1</v>
      </c>
      <c r="J66" s="75">
        <v>1</v>
      </c>
      <c r="K66" s="75">
        <v>1</v>
      </c>
      <c r="L66" s="75"/>
      <c r="M66" s="75"/>
      <c r="N66" s="75"/>
      <c r="O66" s="75">
        <f>SUM(TABELA22[[#This Row],[T1]:[T7]])</f>
        <v>3</v>
      </c>
      <c r="P66" s="76">
        <f>TABELA22[[#This Row],[PREÇO]]*TABELA22[[#This Row],[QTDE]]</f>
        <v>339.54</v>
      </c>
    </row>
    <row r="67" spans="1:16" x14ac:dyDescent="0.2">
      <c r="A67" s="70" t="s">
        <v>1651</v>
      </c>
      <c r="B67" s="78" t="s">
        <v>1765</v>
      </c>
      <c r="C67" s="72" t="s">
        <v>1766</v>
      </c>
      <c r="D67" s="73" t="s">
        <v>1384</v>
      </c>
      <c r="E67" s="72" t="s">
        <v>1386</v>
      </c>
      <c r="F67" s="84">
        <v>104.09</v>
      </c>
      <c r="G67" s="73" t="s">
        <v>829</v>
      </c>
      <c r="H67" s="92"/>
      <c r="I67" s="75">
        <v>1</v>
      </c>
      <c r="J67" s="75"/>
      <c r="K67" s="75"/>
      <c r="L67" s="75">
        <v>1</v>
      </c>
      <c r="M67" s="75"/>
      <c r="N67" s="75"/>
      <c r="O67" s="75">
        <f>SUM(TABELA22[[#This Row],[T1]:[T7]])</f>
        <v>2</v>
      </c>
      <c r="P67" s="76">
        <f>TABELA22[[#This Row],[PREÇO]]*TABELA22[[#This Row],[QTDE]]</f>
        <v>208.18</v>
      </c>
    </row>
    <row r="68" spans="1:16" x14ac:dyDescent="0.2">
      <c r="A68" s="70" t="s">
        <v>1698</v>
      </c>
      <c r="B68" s="78" t="s">
        <v>1812</v>
      </c>
      <c r="C68" s="72" t="s">
        <v>1813</v>
      </c>
      <c r="D68" s="73" t="s">
        <v>1384</v>
      </c>
      <c r="E68" s="72" t="s">
        <v>1386</v>
      </c>
      <c r="F68" s="84">
        <v>163.18</v>
      </c>
      <c r="G68" s="73" t="s">
        <v>829</v>
      </c>
      <c r="H68" s="92"/>
      <c r="I68" s="75"/>
      <c r="J68" s="75">
        <v>1</v>
      </c>
      <c r="K68" s="75">
        <v>1</v>
      </c>
      <c r="L68" s="75"/>
      <c r="M68" s="75"/>
      <c r="N68" s="75"/>
      <c r="O68" s="75">
        <f>SUM(TABELA22[[#This Row],[T1]:[T7]])</f>
        <v>2</v>
      </c>
      <c r="P68" s="76">
        <f>TABELA22[[#This Row],[PREÇO]]*TABELA22[[#This Row],[QTDE]]</f>
        <v>326.36</v>
      </c>
    </row>
    <row r="69" spans="1:16" x14ac:dyDescent="0.2">
      <c r="A69" s="70" t="s">
        <v>1701</v>
      </c>
      <c r="B69" s="78" t="s">
        <v>1815</v>
      </c>
      <c r="C69" s="72" t="s">
        <v>1816</v>
      </c>
      <c r="D69" s="73" t="s">
        <v>32</v>
      </c>
      <c r="E69" s="72" t="s">
        <v>33</v>
      </c>
      <c r="F69" s="84">
        <v>135.91</v>
      </c>
      <c r="G69" s="73" t="s">
        <v>826</v>
      </c>
      <c r="H69" s="92"/>
      <c r="I69" s="75">
        <v>2</v>
      </c>
      <c r="J69" s="75">
        <v>2</v>
      </c>
      <c r="K69" s="75">
        <v>2</v>
      </c>
      <c r="L69" s="75"/>
      <c r="M69" s="75"/>
      <c r="N69" s="75"/>
      <c r="O69" s="75">
        <f>SUM(TABELA22[[#This Row],[T1]:[T7]])</f>
        <v>6</v>
      </c>
      <c r="P69" s="76">
        <f>TABELA22[[#This Row],[PREÇO]]*TABELA22[[#This Row],[QTDE]]</f>
        <v>815.46</v>
      </c>
    </row>
    <row r="70" spans="1:16" x14ac:dyDescent="0.2">
      <c r="A70" s="70" t="s">
        <v>1708</v>
      </c>
      <c r="B70" s="78" t="s">
        <v>1818</v>
      </c>
      <c r="C70" s="72" t="s">
        <v>1819</v>
      </c>
      <c r="D70" s="73" t="s">
        <v>830</v>
      </c>
      <c r="E70" s="72" t="s">
        <v>43</v>
      </c>
      <c r="F70" s="84">
        <v>145</v>
      </c>
      <c r="G70" s="73" t="s">
        <v>829</v>
      </c>
      <c r="H70" s="92">
        <v>2</v>
      </c>
      <c r="I70" s="75">
        <v>1</v>
      </c>
      <c r="J70" s="75">
        <v>1</v>
      </c>
      <c r="K70" s="75">
        <v>1</v>
      </c>
      <c r="L70" s="75">
        <v>1</v>
      </c>
      <c r="M70" s="75"/>
      <c r="N70" s="75"/>
      <c r="O70" s="75">
        <f>SUM(TABELA22[[#This Row],[T1]:[T7]])</f>
        <v>6</v>
      </c>
      <c r="P70" s="76">
        <f>TABELA22[[#This Row],[PREÇO]]*TABELA22[[#This Row],[QTDE]]</f>
        <v>870</v>
      </c>
    </row>
    <row r="71" spans="1:16" x14ac:dyDescent="0.2">
      <c r="A71" s="70" t="s">
        <v>1714</v>
      </c>
      <c r="B71" s="78" t="s">
        <v>1824</v>
      </c>
      <c r="C71" s="72" t="s">
        <v>1825</v>
      </c>
      <c r="D71" s="73" t="s">
        <v>882</v>
      </c>
      <c r="E71" s="72" t="s">
        <v>817</v>
      </c>
      <c r="F71" s="84">
        <v>131.36000000000001</v>
      </c>
      <c r="G71" s="73" t="s">
        <v>826</v>
      </c>
      <c r="H71" s="92"/>
      <c r="I71" s="75">
        <v>1</v>
      </c>
      <c r="J71" s="75">
        <v>1</v>
      </c>
      <c r="K71" s="75">
        <v>1</v>
      </c>
      <c r="L71" s="75"/>
      <c r="M71" s="75"/>
      <c r="N71" s="75"/>
      <c r="O71" s="75">
        <f>SUM(TABELA22[[#This Row],[T1]:[T7]])</f>
        <v>3</v>
      </c>
      <c r="P71" s="76">
        <f>TABELA22[[#This Row],[PREÇO]]*TABELA22[[#This Row],[QTDE]]</f>
        <v>394.08000000000004</v>
      </c>
    </row>
    <row r="72" spans="1:16" x14ac:dyDescent="0.2">
      <c r="A72" s="70" t="s">
        <v>1721</v>
      </c>
      <c r="B72" s="78" t="s">
        <v>1833</v>
      </c>
      <c r="C72" s="72" t="s">
        <v>1834</v>
      </c>
      <c r="D72" s="73" t="s">
        <v>882</v>
      </c>
      <c r="E72" s="72" t="s">
        <v>817</v>
      </c>
      <c r="F72" s="84">
        <v>172.27</v>
      </c>
      <c r="G72" s="73" t="s">
        <v>826</v>
      </c>
      <c r="H72" s="92"/>
      <c r="I72" s="75">
        <v>1</v>
      </c>
      <c r="J72" s="75"/>
      <c r="K72" s="75"/>
      <c r="L72" s="75"/>
      <c r="M72" s="75"/>
      <c r="N72" s="75"/>
      <c r="O72" s="75">
        <f>SUM(TABELA22[[#This Row],[T1]:[T7]])</f>
        <v>1</v>
      </c>
      <c r="P72" s="76">
        <f>TABELA22[[#This Row],[PREÇO]]*TABELA22[[#This Row],[QTDE]]</f>
        <v>172.27</v>
      </c>
    </row>
    <row r="73" spans="1:16" x14ac:dyDescent="0.2">
      <c r="A73" s="70" t="s">
        <v>1730</v>
      </c>
      <c r="B73" s="78" t="s">
        <v>1840</v>
      </c>
      <c r="C73" s="72" t="s">
        <v>1841</v>
      </c>
      <c r="D73" s="73" t="s">
        <v>1384</v>
      </c>
      <c r="E73" s="72" t="s">
        <v>1386</v>
      </c>
      <c r="F73" s="84">
        <v>158.63999999999999</v>
      </c>
      <c r="G73" s="73" t="s">
        <v>826</v>
      </c>
      <c r="H73" s="92"/>
      <c r="I73" s="75">
        <v>1</v>
      </c>
      <c r="J73" s="75">
        <v>1</v>
      </c>
      <c r="K73" s="75">
        <v>1</v>
      </c>
      <c r="L73" s="75"/>
      <c r="M73" s="75"/>
      <c r="N73" s="75"/>
      <c r="O73" s="75">
        <f>SUM(TABELA22[[#This Row],[T1]:[T7]])</f>
        <v>3</v>
      </c>
      <c r="P73" s="76">
        <f>TABELA22[[#This Row],[PREÇO]]*TABELA22[[#This Row],[QTDE]]</f>
        <v>475.91999999999996</v>
      </c>
    </row>
    <row r="74" spans="1:16" x14ac:dyDescent="0.2">
      <c r="A74" s="70" t="s">
        <v>1737</v>
      </c>
      <c r="B74" s="78" t="s">
        <v>1852</v>
      </c>
      <c r="C74" s="72" t="s">
        <v>1853</v>
      </c>
      <c r="D74" s="73" t="s">
        <v>32</v>
      </c>
      <c r="E74" s="72" t="s">
        <v>33</v>
      </c>
      <c r="F74" s="84">
        <v>58.64</v>
      </c>
      <c r="G74" s="73" t="s">
        <v>826</v>
      </c>
      <c r="H74" s="92"/>
      <c r="I74" s="75">
        <v>1</v>
      </c>
      <c r="J74" s="75"/>
      <c r="K74" s="75"/>
      <c r="L74" s="75"/>
      <c r="M74" s="75"/>
      <c r="N74" s="75"/>
      <c r="O74" s="75">
        <f>SUM(TABELA22[[#This Row],[T1]:[T7]])</f>
        <v>1</v>
      </c>
      <c r="P74" s="76">
        <f>TABELA22[[#This Row],[PREÇO]]*TABELA22[[#This Row],[QTDE]]</f>
        <v>58.64</v>
      </c>
    </row>
    <row r="75" spans="1:16" x14ac:dyDescent="0.2">
      <c r="A75" s="70" t="s">
        <v>1754</v>
      </c>
      <c r="B75" s="78" t="s">
        <v>1869</v>
      </c>
      <c r="C75" s="72" t="s">
        <v>1870</v>
      </c>
      <c r="D75" s="73" t="s">
        <v>1384</v>
      </c>
      <c r="E75" s="72" t="s">
        <v>1386</v>
      </c>
      <c r="F75" s="84">
        <v>181.36</v>
      </c>
      <c r="G75" s="73" t="s">
        <v>829</v>
      </c>
      <c r="H75" s="93">
        <v>1</v>
      </c>
      <c r="I75" s="73">
        <v>1</v>
      </c>
      <c r="J75" s="73">
        <v>1</v>
      </c>
      <c r="K75" s="73">
        <v>1</v>
      </c>
      <c r="L75" s="73"/>
      <c r="M75" s="73"/>
      <c r="N75" s="73"/>
      <c r="O75" s="75">
        <f>SUM(TABELA22[[#This Row],[T1]:[T7]])</f>
        <v>4</v>
      </c>
      <c r="P75" s="76">
        <f>TABELA22[[#This Row],[PREÇO]]*TABELA22[[#This Row],[QTDE]]</f>
        <v>725.44</v>
      </c>
    </row>
    <row r="76" spans="1:16" x14ac:dyDescent="0.2">
      <c r="A76" s="70" t="s">
        <v>1780</v>
      </c>
      <c r="B76" s="78" t="s">
        <v>1899</v>
      </c>
      <c r="C76" s="72" t="s">
        <v>1900</v>
      </c>
      <c r="D76" s="73" t="s">
        <v>914</v>
      </c>
      <c r="E76" s="72" t="s">
        <v>915</v>
      </c>
      <c r="F76" s="84">
        <v>149.55000000000001</v>
      </c>
      <c r="G76" s="73" t="s">
        <v>829</v>
      </c>
      <c r="H76" s="93">
        <v>2</v>
      </c>
      <c r="I76" s="73">
        <v>1</v>
      </c>
      <c r="J76" s="73">
        <v>1</v>
      </c>
      <c r="K76" s="73">
        <v>1</v>
      </c>
      <c r="L76" s="73"/>
      <c r="M76" s="73"/>
      <c r="N76" s="73"/>
      <c r="O76" s="75">
        <f>SUM(TABELA22[[#This Row],[T1]:[T7]])</f>
        <v>5</v>
      </c>
      <c r="P76" s="76">
        <f>TABELA22[[#This Row],[PREÇO]]*TABELA22[[#This Row],[QTDE]]</f>
        <v>747.75</v>
      </c>
    </row>
    <row r="77" spans="1:16" x14ac:dyDescent="0.2">
      <c r="A77" s="70" t="s">
        <v>1789</v>
      </c>
      <c r="B77" s="78" t="s">
        <v>1908</v>
      </c>
      <c r="C77" s="72" t="s">
        <v>1909</v>
      </c>
      <c r="D77" s="73" t="s">
        <v>1384</v>
      </c>
      <c r="E77" s="72" t="s">
        <v>1386</v>
      </c>
      <c r="F77" s="84">
        <v>135.91</v>
      </c>
      <c r="G77" s="73" t="s">
        <v>829</v>
      </c>
      <c r="H77" s="93">
        <v>1</v>
      </c>
      <c r="I77" s="73">
        <v>1</v>
      </c>
      <c r="J77" s="73">
        <v>1</v>
      </c>
      <c r="K77" s="73">
        <v>1</v>
      </c>
      <c r="L77" s="73">
        <v>1</v>
      </c>
      <c r="M77" s="73"/>
      <c r="N77" s="73"/>
      <c r="O77" s="75">
        <f>SUM(TABELA22[[#This Row],[T1]:[T7]])</f>
        <v>5</v>
      </c>
      <c r="P77" s="76">
        <f>TABELA22[[#This Row],[PREÇO]]*TABELA22[[#This Row],[QTDE]]</f>
        <v>679.55</v>
      </c>
    </row>
    <row r="78" spans="1:16" x14ac:dyDescent="0.2">
      <c r="A78" s="70" t="s">
        <v>1792</v>
      </c>
      <c r="B78" s="78" t="s">
        <v>1911</v>
      </c>
      <c r="C78" s="72" t="s">
        <v>1912</v>
      </c>
      <c r="D78" s="73" t="s">
        <v>1384</v>
      </c>
      <c r="E78" s="72" t="s">
        <v>1386</v>
      </c>
      <c r="F78" s="84">
        <v>199.55</v>
      </c>
      <c r="G78" s="73" t="s">
        <v>829</v>
      </c>
      <c r="H78" s="93">
        <v>1</v>
      </c>
      <c r="I78" s="73">
        <v>1</v>
      </c>
      <c r="J78" s="73">
        <v>1</v>
      </c>
      <c r="K78" s="73">
        <v>1</v>
      </c>
      <c r="L78" s="73">
        <v>1</v>
      </c>
      <c r="M78" s="73"/>
      <c r="N78" s="73"/>
      <c r="O78" s="75">
        <f>SUM(TABELA22[[#This Row],[T1]:[T7]])</f>
        <v>5</v>
      </c>
      <c r="P78" s="76">
        <f>TABELA22[[#This Row],[PREÇO]]*TABELA22[[#This Row],[QTDE]]</f>
        <v>997.75</v>
      </c>
    </row>
    <row r="79" spans="1:16" x14ac:dyDescent="0.2">
      <c r="A79" s="70" t="s">
        <v>1823</v>
      </c>
      <c r="B79" s="78" t="s">
        <v>1945</v>
      </c>
      <c r="C79" s="72" t="s">
        <v>1946</v>
      </c>
      <c r="D79" s="73" t="s">
        <v>914</v>
      </c>
      <c r="E79" s="72" t="s">
        <v>915</v>
      </c>
      <c r="F79" s="84">
        <v>172.27</v>
      </c>
      <c r="G79" s="73" t="s">
        <v>829</v>
      </c>
      <c r="H79" s="93">
        <v>1</v>
      </c>
      <c r="I79" s="73">
        <v>1</v>
      </c>
      <c r="J79" s="73">
        <v>1</v>
      </c>
      <c r="K79" s="73">
        <v>1</v>
      </c>
      <c r="L79" s="73">
        <v>1</v>
      </c>
      <c r="M79" s="73"/>
      <c r="N79" s="73"/>
      <c r="O79" s="75">
        <f>SUM(TABELA22[[#This Row],[T1]:[T7]])</f>
        <v>5</v>
      </c>
      <c r="P79" s="76">
        <f>TABELA22[[#This Row],[PREÇO]]*TABELA22[[#This Row],[QTDE]]</f>
        <v>861.35</v>
      </c>
    </row>
    <row r="80" spans="1:16" x14ac:dyDescent="0.2">
      <c r="A80" s="70" t="s">
        <v>1832</v>
      </c>
      <c r="B80" s="78" t="s">
        <v>1952</v>
      </c>
      <c r="C80" s="72" t="s">
        <v>1953</v>
      </c>
      <c r="D80" s="73" t="s">
        <v>1384</v>
      </c>
      <c r="E80" s="72" t="s">
        <v>1386</v>
      </c>
      <c r="F80" s="84">
        <v>67.73</v>
      </c>
      <c r="G80" s="73" t="s">
        <v>829</v>
      </c>
      <c r="H80" s="93">
        <v>1</v>
      </c>
      <c r="I80" s="73">
        <v>1</v>
      </c>
      <c r="J80" s="73">
        <v>1</v>
      </c>
      <c r="K80" s="73">
        <v>1</v>
      </c>
      <c r="L80" s="73">
        <v>1</v>
      </c>
      <c r="M80" s="73"/>
      <c r="N80" s="73"/>
      <c r="O80" s="75">
        <f>SUM(TABELA22[[#This Row],[T1]:[T7]])</f>
        <v>5</v>
      </c>
      <c r="P80" s="76">
        <f>TABELA22[[#This Row],[PREÇO]]*TABELA22[[#This Row],[QTDE]]</f>
        <v>338.65000000000003</v>
      </c>
    </row>
    <row r="81" spans="1:16" x14ac:dyDescent="0.2">
      <c r="A81" s="70" t="s">
        <v>1839</v>
      </c>
      <c r="B81" s="78" t="s">
        <v>1955</v>
      </c>
      <c r="C81" s="72" t="s">
        <v>1956</v>
      </c>
      <c r="D81" s="73" t="s">
        <v>1384</v>
      </c>
      <c r="E81" s="72" t="s">
        <v>1386</v>
      </c>
      <c r="F81" s="84">
        <v>131.36000000000001</v>
      </c>
      <c r="G81" s="73" t="s">
        <v>829</v>
      </c>
      <c r="H81" s="93"/>
      <c r="I81" s="73">
        <v>1</v>
      </c>
      <c r="J81" s="73">
        <v>1</v>
      </c>
      <c r="K81" s="73">
        <v>1</v>
      </c>
      <c r="L81" s="73"/>
      <c r="M81" s="73"/>
      <c r="N81" s="73"/>
      <c r="O81" s="75">
        <f>SUM(TABELA22[[#This Row],[T1]:[T7]])</f>
        <v>3</v>
      </c>
      <c r="P81" s="76">
        <f>TABELA22[[#This Row],[PREÇO]]*TABELA22[[#This Row],[QTDE]]</f>
        <v>394.08000000000004</v>
      </c>
    </row>
    <row r="82" spans="1:16" x14ac:dyDescent="0.2">
      <c r="A82" s="70" t="s">
        <v>1874</v>
      </c>
      <c r="B82" s="78" t="s">
        <v>1984</v>
      </c>
      <c r="C82" s="72" t="s">
        <v>1985</v>
      </c>
      <c r="D82" s="73" t="s">
        <v>1164</v>
      </c>
      <c r="E82" s="72" t="s">
        <v>1166</v>
      </c>
      <c r="F82" s="84">
        <v>63.18</v>
      </c>
      <c r="G82" s="73" t="s">
        <v>826</v>
      </c>
      <c r="H82" s="93"/>
      <c r="I82" s="73">
        <v>2</v>
      </c>
      <c r="J82" s="73">
        <v>1</v>
      </c>
      <c r="K82" s="73"/>
      <c r="L82" s="73"/>
      <c r="M82" s="73"/>
      <c r="N82" s="73"/>
      <c r="O82" s="75">
        <f>SUM(TABELA22[[#This Row],[T1]:[T7]])</f>
        <v>3</v>
      </c>
      <c r="P82" s="76">
        <f>TABELA22[[#This Row],[PREÇO]]*TABELA22[[#This Row],[QTDE]]</f>
        <v>189.54</v>
      </c>
    </row>
    <row r="83" spans="1:16" x14ac:dyDescent="0.2">
      <c r="A83" s="70" t="s">
        <v>1877</v>
      </c>
      <c r="B83" s="78" t="s">
        <v>1984</v>
      </c>
      <c r="C83" s="72" t="s">
        <v>1985</v>
      </c>
      <c r="D83" s="73" t="s">
        <v>1559</v>
      </c>
      <c r="E83" s="72" t="s">
        <v>1688</v>
      </c>
      <c r="F83" s="84">
        <v>63.18</v>
      </c>
      <c r="G83" s="73" t="s">
        <v>826</v>
      </c>
      <c r="H83" s="93"/>
      <c r="I83" s="73">
        <v>2</v>
      </c>
      <c r="J83" s="73">
        <v>1</v>
      </c>
      <c r="K83" s="73"/>
      <c r="L83" s="73"/>
      <c r="M83" s="73"/>
      <c r="N83" s="73"/>
      <c r="O83" s="75">
        <f>SUM(TABELA22[[#This Row],[T1]:[T7]])</f>
        <v>3</v>
      </c>
      <c r="P83" s="76">
        <f>TABELA22[[#This Row],[PREÇO]]*TABELA22[[#This Row],[QTDE]]</f>
        <v>189.54</v>
      </c>
    </row>
    <row r="84" spans="1:16" x14ac:dyDescent="0.2">
      <c r="A84" s="70" t="s">
        <v>1880</v>
      </c>
      <c r="B84" s="78" t="s">
        <v>1984</v>
      </c>
      <c r="C84" s="72" t="s">
        <v>1985</v>
      </c>
      <c r="D84" s="73" t="s">
        <v>1133</v>
      </c>
      <c r="E84" s="72" t="s">
        <v>1134</v>
      </c>
      <c r="F84" s="84">
        <v>63.18</v>
      </c>
      <c r="G84" s="73" t="s">
        <v>826</v>
      </c>
      <c r="H84" s="93"/>
      <c r="I84" s="73">
        <v>2</v>
      </c>
      <c r="J84" s="73">
        <v>1</v>
      </c>
      <c r="K84" s="73">
        <v>1</v>
      </c>
      <c r="L84" s="73"/>
      <c r="M84" s="73"/>
      <c r="N84" s="73"/>
      <c r="O84" s="75">
        <f>SUM(TABELA22[[#This Row],[T1]:[T7]])</f>
        <v>4</v>
      </c>
      <c r="P84" s="76">
        <f>TABELA22[[#This Row],[PREÇO]]*TABELA22[[#This Row],[QTDE]]</f>
        <v>252.72</v>
      </c>
    </row>
    <row r="85" spans="1:16" x14ac:dyDescent="0.2">
      <c r="A85" s="70" t="s">
        <v>1923</v>
      </c>
      <c r="B85" s="78" t="s">
        <v>2020</v>
      </c>
      <c r="C85" s="72" t="s">
        <v>2021</v>
      </c>
      <c r="D85" s="73" t="s">
        <v>32</v>
      </c>
      <c r="E85" s="72" t="s">
        <v>33</v>
      </c>
      <c r="F85" s="84">
        <v>135.91</v>
      </c>
      <c r="G85" s="73" t="s">
        <v>829</v>
      </c>
      <c r="H85" s="93">
        <v>1</v>
      </c>
      <c r="I85" s="73">
        <v>1</v>
      </c>
      <c r="J85" s="73"/>
      <c r="K85" s="73"/>
      <c r="L85" s="73"/>
      <c r="M85" s="73"/>
      <c r="N85" s="73"/>
      <c r="O85" s="75">
        <f>SUM(TABELA22[[#This Row],[T1]:[T7]])</f>
        <v>2</v>
      </c>
      <c r="P85" s="76">
        <f>TABELA22[[#This Row],[PREÇO]]*TABELA22[[#This Row],[QTDE]]</f>
        <v>271.82</v>
      </c>
    </row>
    <row r="86" spans="1:16" x14ac:dyDescent="0.2">
      <c r="A86" s="70" t="s">
        <v>1929</v>
      </c>
      <c r="B86" s="78" t="s">
        <v>2024</v>
      </c>
      <c r="C86" s="72" t="s">
        <v>2025</v>
      </c>
      <c r="D86" s="73" t="s">
        <v>561</v>
      </c>
      <c r="E86" s="72" t="s">
        <v>45</v>
      </c>
      <c r="F86" s="84">
        <v>108.64</v>
      </c>
      <c r="G86" s="73" t="s">
        <v>829</v>
      </c>
      <c r="H86" s="93">
        <v>1</v>
      </c>
      <c r="I86" s="73">
        <v>1</v>
      </c>
      <c r="J86" s="73"/>
      <c r="K86" s="73"/>
      <c r="L86" s="73"/>
      <c r="M86" s="73"/>
      <c r="N86" s="73"/>
      <c r="O86" s="75">
        <f>SUM(TABELA22[[#This Row],[T1]:[T7]])</f>
        <v>2</v>
      </c>
      <c r="P86" s="76">
        <f>TABELA22[[#This Row],[PREÇO]]*TABELA22[[#This Row],[QTDE]]</f>
        <v>217.28</v>
      </c>
    </row>
    <row r="87" spans="1:16" x14ac:dyDescent="0.2">
      <c r="A87" s="70" t="s">
        <v>1957</v>
      </c>
      <c r="B87" s="78" t="s">
        <v>2045</v>
      </c>
      <c r="C87" s="72" t="s">
        <v>2046</v>
      </c>
      <c r="D87" s="73" t="s">
        <v>830</v>
      </c>
      <c r="E87" s="72" t="s">
        <v>43</v>
      </c>
      <c r="F87" s="84">
        <v>172.27</v>
      </c>
      <c r="G87" s="73" t="s">
        <v>829</v>
      </c>
      <c r="H87" s="93">
        <v>1</v>
      </c>
      <c r="I87" s="73">
        <v>1</v>
      </c>
      <c r="J87" s="73">
        <v>1</v>
      </c>
      <c r="K87" s="73">
        <v>1</v>
      </c>
      <c r="L87" s="73"/>
      <c r="M87" s="73"/>
      <c r="N87" s="73"/>
      <c r="O87" s="75">
        <f>SUM(TABELA22[[#This Row],[T1]:[T7]])</f>
        <v>4</v>
      </c>
      <c r="P87" s="76">
        <f>TABELA22[[#This Row],[PREÇO]]*TABELA22[[#This Row],[QTDE]]</f>
        <v>689.08</v>
      </c>
    </row>
    <row r="88" spans="1:16" x14ac:dyDescent="0.2">
      <c r="A88" s="70" t="s">
        <v>1974</v>
      </c>
      <c r="B88" s="78" t="s">
        <v>2062</v>
      </c>
      <c r="C88" s="72" t="s">
        <v>2063</v>
      </c>
      <c r="D88" s="73" t="s">
        <v>32</v>
      </c>
      <c r="E88" s="72" t="s">
        <v>33</v>
      </c>
      <c r="F88" s="84">
        <v>281.36</v>
      </c>
      <c r="G88" s="73" t="s">
        <v>829</v>
      </c>
      <c r="H88" s="93">
        <v>1</v>
      </c>
      <c r="I88" s="73"/>
      <c r="J88" s="73"/>
      <c r="K88" s="73">
        <v>1</v>
      </c>
      <c r="L88" s="73"/>
      <c r="M88" s="73"/>
      <c r="N88" s="73"/>
      <c r="O88" s="75">
        <f>SUM(TABELA22[[#This Row],[T1]:[T7]])</f>
        <v>2</v>
      </c>
      <c r="P88" s="76">
        <f>TABELA22[[#This Row],[PREÇO]]*TABELA22[[#This Row],[QTDE]]</f>
        <v>562.72</v>
      </c>
    </row>
    <row r="89" spans="1:16" x14ac:dyDescent="0.2">
      <c r="A89" s="70" t="s">
        <v>2004</v>
      </c>
      <c r="B89" s="78" t="s">
        <v>2094</v>
      </c>
      <c r="C89" s="72" t="s">
        <v>2095</v>
      </c>
      <c r="D89" s="73" t="s">
        <v>1317</v>
      </c>
      <c r="E89" s="72" t="s">
        <v>1319</v>
      </c>
      <c r="F89" s="84">
        <v>163.18</v>
      </c>
      <c r="G89" s="73" t="s">
        <v>826</v>
      </c>
      <c r="H89" s="93"/>
      <c r="I89" s="73">
        <v>1</v>
      </c>
      <c r="J89" s="73">
        <v>1</v>
      </c>
      <c r="K89" s="73">
        <v>1</v>
      </c>
      <c r="L89" s="73"/>
      <c r="M89" s="73"/>
      <c r="N89" s="73"/>
      <c r="O89" s="75">
        <f>SUM(TABELA22[[#This Row],[T1]:[T7]])</f>
        <v>3</v>
      </c>
      <c r="P89" s="76">
        <f>TABELA22[[#This Row],[PREÇO]]*TABELA22[[#This Row],[QTDE]]</f>
        <v>489.54</v>
      </c>
    </row>
    <row r="90" spans="1:16" x14ac:dyDescent="0.2">
      <c r="A90" s="70" t="s">
        <v>2022</v>
      </c>
      <c r="B90" s="78" t="s">
        <v>2110</v>
      </c>
      <c r="C90" s="72" t="s">
        <v>2111</v>
      </c>
      <c r="D90" s="73" t="s">
        <v>882</v>
      </c>
      <c r="E90" s="72" t="s">
        <v>817</v>
      </c>
      <c r="F90" s="84">
        <v>76.819999999999993</v>
      </c>
      <c r="G90" s="73" t="s">
        <v>826</v>
      </c>
      <c r="H90" s="93"/>
      <c r="I90" s="73">
        <v>2</v>
      </c>
      <c r="J90" s="73"/>
      <c r="K90" s="73"/>
      <c r="L90" s="73"/>
      <c r="M90" s="73"/>
      <c r="N90" s="73"/>
      <c r="O90" s="75">
        <f>SUM(TABELA22[[#This Row],[T1]:[T7]])</f>
        <v>2</v>
      </c>
      <c r="P90" s="76">
        <f>TABELA22[[#This Row],[PREÇO]]*TABELA22[[#This Row],[QTDE]]</f>
        <v>153.63999999999999</v>
      </c>
    </row>
    <row r="91" spans="1:16" x14ac:dyDescent="0.2">
      <c r="A91" s="70" t="s">
        <v>2031</v>
      </c>
      <c r="B91" s="78" t="s">
        <v>2124</v>
      </c>
      <c r="C91" s="72" t="s">
        <v>2125</v>
      </c>
      <c r="D91" s="73" t="s">
        <v>821</v>
      </c>
      <c r="E91" s="72" t="s">
        <v>822</v>
      </c>
      <c r="F91" s="84">
        <v>213.18</v>
      </c>
      <c r="G91" s="73" t="s">
        <v>826</v>
      </c>
      <c r="H91" s="93"/>
      <c r="I91" s="73"/>
      <c r="J91" s="73">
        <v>2</v>
      </c>
      <c r="K91" s="73"/>
      <c r="L91" s="73"/>
      <c r="M91" s="73"/>
      <c r="N91" s="73"/>
      <c r="O91" s="75">
        <f>SUM(TABELA22[[#This Row],[T1]:[T7]])</f>
        <v>2</v>
      </c>
      <c r="P91" s="76">
        <f>TABELA22[[#This Row],[PREÇO]]*TABELA22[[#This Row],[QTDE]]</f>
        <v>426.36</v>
      </c>
    </row>
    <row r="92" spans="1:16" x14ac:dyDescent="0.2">
      <c r="A92" s="70" t="s">
        <v>2075</v>
      </c>
      <c r="B92" s="78" t="s">
        <v>2176</v>
      </c>
      <c r="C92" s="72" t="s">
        <v>2177</v>
      </c>
      <c r="D92" s="73" t="s">
        <v>1059</v>
      </c>
      <c r="E92" s="72" t="s">
        <v>1061</v>
      </c>
      <c r="F92" s="84">
        <v>272.27</v>
      </c>
      <c r="G92" s="73" t="s">
        <v>829</v>
      </c>
      <c r="H92" s="93"/>
      <c r="I92" s="73"/>
      <c r="J92" s="73"/>
      <c r="K92" s="73">
        <v>1</v>
      </c>
      <c r="L92" s="73"/>
      <c r="M92" s="73"/>
      <c r="N92" s="73"/>
      <c r="O92" s="75">
        <f>SUM(TABELA22[[#This Row],[T1]:[T7]])</f>
        <v>1</v>
      </c>
      <c r="P92" s="76">
        <f>TABELA22[[#This Row],[PREÇO]]*TABELA22[[#This Row],[QTDE]]</f>
        <v>272.27</v>
      </c>
    </row>
    <row r="93" spans="1:16" x14ac:dyDescent="0.2">
      <c r="A93" s="70" t="s">
        <v>2096</v>
      </c>
      <c r="B93" s="78" t="s">
        <v>2201</v>
      </c>
      <c r="C93" s="72" t="s">
        <v>2203</v>
      </c>
      <c r="D93" s="73" t="s">
        <v>2202</v>
      </c>
      <c r="E93" s="72" t="s">
        <v>2318</v>
      </c>
      <c r="F93" s="84">
        <v>226.82</v>
      </c>
      <c r="G93" s="73" t="s">
        <v>826</v>
      </c>
      <c r="H93" s="93"/>
      <c r="I93" s="73">
        <v>1</v>
      </c>
      <c r="J93" s="73"/>
      <c r="K93" s="73"/>
      <c r="L93" s="73"/>
      <c r="M93" s="73"/>
      <c r="N93" s="73"/>
      <c r="O93" s="75">
        <f>SUM(TABELA22[[#This Row],[T1]:[T7]])</f>
        <v>1</v>
      </c>
      <c r="P93" s="76">
        <f>TABELA22[[#This Row],[PREÇO]]*TABELA22[[#This Row],[QTDE]]</f>
        <v>226.82</v>
      </c>
    </row>
    <row r="94" spans="1:16" x14ac:dyDescent="0.2">
      <c r="A94" s="70" t="s">
        <v>2105</v>
      </c>
      <c r="B94" s="78" t="s">
        <v>2214</v>
      </c>
      <c r="C94" s="72" t="s">
        <v>2215</v>
      </c>
      <c r="D94" s="73" t="s">
        <v>914</v>
      </c>
      <c r="E94" s="72" t="s">
        <v>915</v>
      </c>
      <c r="F94" s="84">
        <v>181.36</v>
      </c>
      <c r="G94" s="73" t="s">
        <v>829</v>
      </c>
      <c r="H94" s="93">
        <v>2</v>
      </c>
      <c r="I94" s="73">
        <v>1</v>
      </c>
      <c r="J94" s="73"/>
      <c r="K94" s="73"/>
      <c r="L94" s="73"/>
      <c r="M94" s="73"/>
      <c r="N94" s="73"/>
      <c r="O94" s="75">
        <f>SUM(TABELA22[[#This Row],[T1]:[T7]])</f>
        <v>3</v>
      </c>
      <c r="P94" s="76">
        <f>TABELA22[[#This Row],[PREÇO]]*TABELA22[[#This Row],[QTDE]]</f>
        <v>544.08000000000004</v>
      </c>
    </row>
    <row r="95" spans="1:16" x14ac:dyDescent="0.2">
      <c r="A95" s="70" t="s">
        <v>2109</v>
      </c>
      <c r="B95" s="78" t="s">
        <v>2214</v>
      </c>
      <c r="C95" s="72" t="s">
        <v>2215</v>
      </c>
      <c r="D95" s="73" t="s">
        <v>32</v>
      </c>
      <c r="E95" s="72" t="s">
        <v>33</v>
      </c>
      <c r="F95" s="84">
        <v>181.36</v>
      </c>
      <c r="G95" s="73" t="s">
        <v>829</v>
      </c>
      <c r="H95" s="93">
        <v>1</v>
      </c>
      <c r="I95" s="73">
        <v>1</v>
      </c>
      <c r="J95" s="73">
        <v>1</v>
      </c>
      <c r="K95" s="73">
        <v>1</v>
      </c>
      <c r="L95" s="73">
        <v>1</v>
      </c>
      <c r="M95" s="73"/>
      <c r="N95" s="73"/>
      <c r="O95" s="75">
        <f>SUM(TABELA22[[#This Row],[T1]:[T7]])</f>
        <v>5</v>
      </c>
      <c r="P95" s="76">
        <f>TABELA22[[#This Row],[PREÇO]]*TABELA22[[#This Row],[QTDE]]</f>
        <v>906.80000000000007</v>
      </c>
    </row>
    <row r="96" spans="1:16" x14ac:dyDescent="0.2">
      <c r="A96" s="70" t="s">
        <v>2178</v>
      </c>
      <c r="B96" s="78" t="s">
        <v>2277</v>
      </c>
      <c r="C96" s="72" t="s">
        <v>2278</v>
      </c>
      <c r="D96" s="73" t="s">
        <v>1522</v>
      </c>
      <c r="E96" s="72" t="s">
        <v>1524</v>
      </c>
      <c r="F96" s="84">
        <v>199.55</v>
      </c>
      <c r="G96" s="73" t="s">
        <v>826</v>
      </c>
      <c r="H96" s="93"/>
      <c r="I96" s="73">
        <v>1</v>
      </c>
      <c r="J96" s="73"/>
      <c r="K96" s="73"/>
      <c r="L96" s="73"/>
      <c r="M96" s="73"/>
      <c r="N96" s="73"/>
      <c r="O96" s="75">
        <f>SUM(TABELA22[[#This Row],[T1]:[T7]])</f>
        <v>1</v>
      </c>
      <c r="P96" s="76">
        <f>TABELA22[[#This Row],[PREÇO]]*TABELA22[[#This Row],[QTDE]]</f>
        <v>199.55</v>
      </c>
    </row>
    <row r="97" spans="1:16" x14ac:dyDescent="0.2">
      <c r="A97" s="70" t="s">
        <v>2204</v>
      </c>
      <c r="B97" s="78" t="s">
        <v>2305</v>
      </c>
      <c r="C97" s="72" t="s">
        <v>1408</v>
      </c>
      <c r="D97" s="73" t="s">
        <v>32</v>
      </c>
      <c r="E97" s="72" t="s">
        <v>33</v>
      </c>
      <c r="F97" s="84">
        <v>208.64</v>
      </c>
      <c r="G97" s="73" t="s">
        <v>829</v>
      </c>
      <c r="H97" s="93">
        <v>1</v>
      </c>
      <c r="I97" s="73">
        <v>1</v>
      </c>
      <c r="J97" s="73"/>
      <c r="K97" s="73"/>
      <c r="L97" s="73"/>
      <c r="M97" s="73"/>
      <c r="N97" s="73"/>
      <c r="O97" s="75">
        <f>SUM(TABELA22[[#This Row],[T1]:[T7]])</f>
        <v>2</v>
      </c>
      <c r="P97" s="76">
        <f>TABELA22[[#This Row],[PREÇO]]*TABELA22[[#This Row],[QTDE]]</f>
        <v>417.28</v>
      </c>
    </row>
    <row r="98" spans="1:16" x14ac:dyDescent="0.2">
      <c r="A98" s="70" t="s">
        <v>2208</v>
      </c>
      <c r="B98" s="78" t="s">
        <v>2305</v>
      </c>
      <c r="C98" s="72" t="s">
        <v>1408</v>
      </c>
      <c r="D98" s="73" t="s">
        <v>1514</v>
      </c>
      <c r="E98" s="72" t="s">
        <v>1516</v>
      </c>
      <c r="F98" s="84">
        <v>208.64</v>
      </c>
      <c r="G98" s="73" t="s">
        <v>829</v>
      </c>
      <c r="H98" s="93">
        <v>1</v>
      </c>
      <c r="I98" s="73">
        <v>1</v>
      </c>
      <c r="J98" s="73"/>
      <c r="K98" s="73"/>
      <c r="L98" s="73"/>
      <c r="M98" s="73"/>
      <c r="N98" s="73"/>
      <c r="O98" s="75">
        <f>SUM(TABELA22[[#This Row],[T1]:[T7]])</f>
        <v>2</v>
      </c>
      <c r="P98" s="76">
        <f>TABELA22[[#This Row],[PREÇO]]*TABELA22[[#This Row],[QTDE]]</f>
        <v>417.28</v>
      </c>
    </row>
    <row r="99" spans="1:16" x14ac:dyDescent="0.2">
      <c r="A99" s="70" t="s">
        <v>2213</v>
      </c>
      <c r="B99" s="78" t="s">
        <v>1671</v>
      </c>
      <c r="C99" s="72" t="s">
        <v>1672</v>
      </c>
      <c r="D99" s="73" t="s">
        <v>1184</v>
      </c>
      <c r="E99" s="72" t="s">
        <v>1469</v>
      </c>
      <c r="F99" s="84">
        <v>176.82</v>
      </c>
      <c r="G99" s="73" t="s">
        <v>826</v>
      </c>
      <c r="H99" s="93"/>
      <c r="I99" s="73">
        <v>2</v>
      </c>
      <c r="J99" s="73">
        <v>1</v>
      </c>
      <c r="K99" s="73">
        <v>1</v>
      </c>
      <c r="L99" s="73"/>
      <c r="M99" s="73"/>
      <c r="N99" s="73"/>
      <c r="O99" s="75">
        <f>SUM(TABELA22[[#This Row],[T1]:[T7]])</f>
        <v>4</v>
      </c>
      <c r="P99" s="76">
        <f>TABELA22[[#This Row],[PREÇO]]*TABELA22[[#This Row],[QTDE]]</f>
        <v>707.28</v>
      </c>
    </row>
  </sheetData>
  <mergeCells count="11">
    <mergeCell ref="A10:A14"/>
    <mergeCell ref="B2:P2"/>
    <mergeCell ref="B10:B14"/>
    <mergeCell ref="P10:P14"/>
    <mergeCell ref="O10:O14"/>
    <mergeCell ref="H14:N14"/>
    <mergeCell ref="G10:G14"/>
    <mergeCell ref="F10:F14"/>
    <mergeCell ref="E10:E14"/>
    <mergeCell ref="D10:D14"/>
    <mergeCell ref="C10:C14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/>
  <dimension ref="A1:P535"/>
  <sheetViews>
    <sheetView showGridLines="0" workbookViewId="0">
      <selection activeCell="F17" sqref="F17"/>
    </sheetView>
  </sheetViews>
  <sheetFormatPr defaultColWidth="9.140625" defaultRowHeight="12.75" x14ac:dyDescent="0.2"/>
  <cols>
    <col min="1" max="1" width="15.140625" style="45" customWidth="1"/>
    <col min="2" max="2" width="11.140625" style="45" customWidth="1"/>
    <col min="3" max="3" width="30.28515625" style="88" customWidth="1"/>
    <col min="4" max="4" width="11.140625" style="45" customWidth="1"/>
    <col min="5" max="5" width="38.42578125" style="45" customWidth="1"/>
    <col min="6" max="6" width="14.85546875" style="48" customWidth="1"/>
    <col min="7" max="7" width="16" style="47" customWidth="1"/>
    <col min="8" max="14" width="5.140625" style="45" customWidth="1"/>
    <col min="15" max="15" width="8.5703125" style="45" customWidth="1"/>
    <col min="16" max="16" width="11.140625" style="48" customWidth="1"/>
    <col min="17" max="16384" width="9.140625" style="1"/>
  </cols>
  <sheetData>
    <row r="1" spans="1:16" x14ac:dyDescent="0.2">
      <c r="A1" s="1"/>
      <c r="B1" s="1"/>
      <c r="C1" s="43"/>
      <c r="D1" s="1"/>
      <c r="E1" s="1"/>
      <c r="F1" s="2"/>
      <c r="G1" s="4"/>
      <c r="H1" s="1"/>
      <c r="I1" s="1"/>
      <c r="J1" s="1"/>
      <c r="K1" s="1"/>
      <c r="L1" s="1"/>
      <c r="M1" s="1"/>
      <c r="N1" s="1"/>
      <c r="O1" s="1"/>
      <c r="P1" s="2"/>
    </row>
    <row r="2" spans="1:16" ht="18.75" x14ac:dyDescent="0.3">
      <c r="A2" s="1"/>
      <c r="B2" s="97" t="s">
        <v>844</v>
      </c>
      <c r="C2" s="97"/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</row>
    <row r="3" spans="1:16" x14ac:dyDescent="0.2">
      <c r="A3" s="1"/>
      <c r="B3" s="1"/>
      <c r="C3" s="41"/>
      <c r="D3" s="1"/>
      <c r="E3" s="1"/>
      <c r="F3" s="2"/>
      <c r="G3" s="4"/>
      <c r="H3" s="1"/>
      <c r="I3" s="1"/>
      <c r="J3" s="1"/>
      <c r="K3" s="1"/>
      <c r="L3" s="1"/>
      <c r="M3" s="1"/>
      <c r="N3" s="1"/>
      <c r="O3" s="1"/>
      <c r="P3" s="2"/>
    </row>
    <row r="4" spans="1:16" x14ac:dyDescent="0.2">
      <c r="A4" s="1"/>
      <c r="B4" s="3" t="s">
        <v>21</v>
      </c>
      <c r="C4" s="42"/>
      <c r="D4" s="1"/>
      <c r="E4" s="1"/>
      <c r="F4" s="9"/>
      <c r="G4" s="11"/>
      <c r="H4" s="1"/>
      <c r="I4" s="1"/>
      <c r="J4" s="1"/>
      <c r="K4" s="1"/>
      <c r="L4" s="1"/>
      <c r="M4" s="1"/>
      <c r="N4" s="1"/>
      <c r="O4" s="1"/>
      <c r="P4" s="2"/>
    </row>
    <row r="5" spans="1:16" x14ac:dyDescent="0.2">
      <c r="A5" s="1"/>
      <c r="B5" s="3" t="s">
        <v>22</v>
      </c>
      <c r="C5" s="42"/>
      <c r="D5" s="10" t="s">
        <v>27</v>
      </c>
      <c r="E5" s="8"/>
      <c r="F5" s="3" t="s">
        <v>30</v>
      </c>
      <c r="G5" s="40">
        <f>SUM(TABELA23[VALOR])</f>
        <v>0</v>
      </c>
      <c r="H5" s="1"/>
      <c r="I5" s="1"/>
      <c r="J5" s="1"/>
      <c r="K5" s="1"/>
      <c r="L5" s="1"/>
      <c r="M5" s="1"/>
      <c r="N5" s="1"/>
      <c r="O5" s="1"/>
      <c r="P5" s="2"/>
    </row>
    <row r="6" spans="1:16" ht="15" x14ac:dyDescent="0.25">
      <c r="A6" s="1"/>
      <c r="B6" s="3" t="s">
        <v>23</v>
      </c>
      <c r="C6" s="42"/>
      <c r="D6" s="10" t="s">
        <v>25</v>
      </c>
      <c r="E6" s="8"/>
      <c r="F6" s="6" t="s">
        <v>28</v>
      </c>
      <c r="G6" s="12"/>
      <c r="H6" s="1"/>
      <c r="I6" s="1"/>
      <c r="J6" s="1"/>
      <c r="K6" s="1"/>
      <c r="L6" s="1"/>
      <c r="M6"/>
      <c r="N6" s="1"/>
      <c r="O6" s="1"/>
      <c r="P6" s="2"/>
    </row>
    <row r="7" spans="1:16" x14ac:dyDescent="0.2">
      <c r="A7" s="1"/>
      <c r="B7" s="3" t="s">
        <v>24</v>
      </c>
      <c r="C7" s="42"/>
      <c r="D7" s="10" t="s">
        <v>26</v>
      </c>
      <c r="E7" s="8" t="s">
        <v>6</v>
      </c>
      <c r="F7" s="6" t="s">
        <v>29</v>
      </c>
      <c r="G7" s="12"/>
      <c r="H7" s="1"/>
      <c r="I7" s="1"/>
      <c r="J7" s="1"/>
      <c r="K7" s="1"/>
      <c r="L7" s="1"/>
      <c r="M7" s="1"/>
      <c r="N7" s="1"/>
      <c r="O7" s="1"/>
      <c r="P7" s="2"/>
    </row>
    <row r="8" spans="1:16" x14ac:dyDescent="0.2">
      <c r="A8" s="1"/>
      <c r="B8" s="1"/>
      <c r="C8" s="43"/>
      <c r="D8" s="1"/>
      <c r="E8" s="1"/>
      <c r="F8" s="9"/>
      <c r="G8" s="4"/>
      <c r="H8" s="1"/>
      <c r="I8" s="1"/>
      <c r="J8" s="1"/>
      <c r="K8" s="1"/>
      <c r="L8" s="1"/>
      <c r="M8" s="1"/>
      <c r="N8" s="1"/>
      <c r="O8" s="1"/>
      <c r="P8" s="2"/>
    </row>
    <row r="9" spans="1:16" x14ac:dyDescent="0.2">
      <c r="A9" s="1"/>
      <c r="B9" s="14"/>
      <c r="C9" s="44"/>
      <c r="D9" s="14"/>
      <c r="E9" s="14"/>
      <c r="F9" s="15"/>
      <c r="G9" s="14"/>
      <c r="H9" s="16"/>
      <c r="I9" s="1"/>
      <c r="J9" s="1"/>
      <c r="K9" s="1"/>
      <c r="L9" s="1"/>
      <c r="M9" s="1"/>
      <c r="N9" s="5"/>
      <c r="O9" s="15"/>
      <c r="P9" s="14"/>
    </row>
    <row r="10" spans="1:16" x14ac:dyDescent="0.2">
      <c r="A10" s="95" t="s">
        <v>2322</v>
      </c>
      <c r="B10" s="98" t="s">
        <v>0</v>
      </c>
      <c r="C10" s="95" t="s">
        <v>1</v>
      </c>
      <c r="D10" s="98" t="s">
        <v>2</v>
      </c>
      <c r="E10" s="105" t="s">
        <v>3</v>
      </c>
      <c r="F10" s="100" t="s">
        <v>4</v>
      </c>
      <c r="G10" s="105" t="s">
        <v>5</v>
      </c>
      <c r="H10" s="54" t="s">
        <v>17</v>
      </c>
      <c r="I10" s="55"/>
      <c r="J10" s="55"/>
      <c r="K10" s="55"/>
      <c r="L10" s="55"/>
      <c r="M10" s="55"/>
      <c r="N10" s="56"/>
      <c r="O10" s="98" t="s">
        <v>16</v>
      </c>
      <c r="P10" s="100" t="s">
        <v>15</v>
      </c>
    </row>
    <row r="11" spans="1:16" x14ac:dyDescent="0.2">
      <c r="A11" s="96"/>
      <c r="B11" s="99"/>
      <c r="C11" s="96"/>
      <c r="D11" s="99"/>
      <c r="E11" s="106"/>
      <c r="F11" s="101"/>
      <c r="G11" s="106"/>
      <c r="H11" s="57" t="s">
        <v>813</v>
      </c>
      <c r="I11" s="58" t="s">
        <v>18</v>
      </c>
      <c r="J11" s="58" t="s">
        <v>19</v>
      </c>
      <c r="K11" s="58" t="s">
        <v>20</v>
      </c>
      <c r="L11" s="58" t="s">
        <v>814</v>
      </c>
      <c r="M11" s="58"/>
      <c r="N11" s="59"/>
      <c r="O11" s="99"/>
      <c r="P11" s="101"/>
    </row>
    <row r="12" spans="1:16" x14ac:dyDescent="0.2">
      <c r="A12" s="96" t="s">
        <v>2322</v>
      </c>
      <c r="B12" s="99"/>
      <c r="C12" s="96"/>
      <c r="D12" s="99"/>
      <c r="E12" s="106"/>
      <c r="F12" s="101"/>
      <c r="G12" s="106"/>
      <c r="H12" s="57">
        <v>36</v>
      </c>
      <c r="I12" s="58">
        <v>38</v>
      </c>
      <c r="J12" s="58">
        <v>40</v>
      </c>
      <c r="K12" s="58">
        <v>42</v>
      </c>
      <c r="L12" s="58">
        <v>44</v>
      </c>
      <c r="M12" s="58"/>
      <c r="N12" s="59"/>
      <c r="O12" s="99"/>
      <c r="P12" s="101"/>
    </row>
    <row r="13" spans="1:16" x14ac:dyDescent="0.2">
      <c r="A13" s="96"/>
      <c r="B13" s="99"/>
      <c r="C13" s="96"/>
      <c r="D13" s="99"/>
      <c r="E13" s="106"/>
      <c r="F13" s="101"/>
      <c r="G13" s="106"/>
      <c r="H13" s="60">
        <v>34</v>
      </c>
      <c r="I13" s="61">
        <v>35</v>
      </c>
      <c r="J13" s="61">
        <v>36</v>
      </c>
      <c r="K13" s="61">
        <v>37</v>
      </c>
      <c r="L13" s="61">
        <v>38</v>
      </c>
      <c r="M13" s="61">
        <v>39</v>
      </c>
      <c r="N13" s="62">
        <v>40</v>
      </c>
      <c r="O13" s="99"/>
      <c r="P13" s="101"/>
    </row>
    <row r="14" spans="1:16" ht="12" customHeight="1" x14ac:dyDescent="0.2">
      <c r="A14" s="96"/>
      <c r="B14" s="107"/>
      <c r="C14" s="109"/>
      <c r="D14" s="107"/>
      <c r="E14" s="110"/>
      <c r="F14" s="108"/>
      <c r="G14" s="110"/>
      <c r="H14" s="111" t="s">
        <v>7</v>
      </c>
      <c r="I14" s="112"/>
      <c r="J14" s="112"/>
      <c r="K14" s="112"/>
      <c r="L14" s="112"/>
      <c r="M14" s="112"/>
      <c r="N14" s="113"/>
      <c r="O14" s="107"/>
      <c r="P14" s="108"/>
    </row>
    <row r="15" spans="1:16" s="13" customFormat="1" ht="12.95" hidden="1" customHeight="1" x14ac:dyDescent="0.2">
      <c r="A15" s="89"/>
      <c r="B15" s="64" t="s">
        <v>0</v>
      </c>
      <c r="C15" s="83" t="s">
        <v>1</v>
      </c>
      <c r="D15" s="64" t="s">
        <v>2</v>
      </c>
      <c r="E15" s="65" t="s">
        <v>3</v>
      </c>
      <c r="F15" s="66" t="s">
        <v>4</v>
      </c>
      <c r="G15" s="65" t="s">
        <v>5</v>
      </c>
      <c r="H15" s="67" t="s">
        <v>8</v>
      </c>
      <c r="I15" s="65" t="s">
        <v>9</v>
      </c>
      <c r="J15" s="65" t="s">
        <v>10</v>
      </c>
      <c r="K15" s="65" t="s">
        <v>11</v>
      </c>
      <c r="L15" s="65" t="s">
        <v>12</v>
      </c>
      <c r="M15" s="65" t="s">
        <v>13</v>
      </c>
      <c r="N15" s="68" t="s">
        <v>14</v>
      </c>
      <c r="O15" s="65" t="s">
        <v>16</v>
      </c>
      <c r="P15" s="66" t="s">
        <v>15</v>
      </c>
    </row>
    <row r="16" spans="1:16" x14ac:dyDescent="0.2">
      <c r="A16" s="70" t="s">
        <v>849</v>
      </c>
      <c r="B16" s="71" t="s">
        <v>845</v>
      </c>
      <c r="C16" s="72" t="s">
        <v>847</v>
      </c>
      <c r="D16" s="73" t="s">
        <v>846</v>
      </c>
      <c r="E16" s="73" t="s">
        <v>848</v>
      </c>
      <c r="F16" s="84">
        <v>125.65</v>
      </c>
      <c r="G16" s="73" t="s">
        <v>829</v>
      </c>
      <c r="H16" s="73"/>
      <c r="I16" s="73"/>
      <c r="J16" s="73"/>
      <c r="K16" s="73"/>
      <c r="L16" s="73"/>
      <c r="M16" s="73"/>
      <c r="N16" s="73"/>
      <c r="O16" s="75">
        <f>SUM(TABELA23[[#This Row],[T1]:[T7]])</f>
        <v>0</v>
      </c>
      <c r="P16" s="76">
        <f>TABELA23[[#This Row],[QTDE]]*TABELA23[[#This Row],[PREÇO]]</f>
        <v>0</v>
      </c>
    </row>
    <row r="17" spans="1:16" x14ac:dyDescent="0.2">
      <c r="A17" s="70" t="s">
        <v>854</v>
      </c>
      <c r="B17" s="71" t="s">
        <v>850</v>
      </c>
      <c r="C17" s="72" t="s">
        <v>852</v>
      </c>
      <c r="D17" s="73" t="s">
        <v>851</v>
      </c>
      <c r="E17" s="73" t="s">
        <v>853</v>
      </c>
      <c r="F17" s="84">
        <v>238.7</v>
      </c>
      <c r="G17" s="73" t="s">
        <v>829</v>
      </c>
      <c r="H17" s="73"/>
      <c r="I17" s="73"/>
      <c r="J17" s="73"/>
      <c r="K17" s="73"/>
      <c r="L17" s="73"/>
      <c r="M17" s="73"/>
      <c r="N17" s="73"/>
      <c r="O17" s="75">
        <f>SUM(TABELA23[[#This Row],[T1]:[T7]])</f>
        <v>0</v>
      </c>
      <c r="P17" s="76">
        <f>TABELA23[[#This Row],[QTDE]]*TABELA23[[#This Row],[PREÇO]]</f>
        <v>0</v>
      </c>
    </row>
    <row r="18" spans="1:16" x14ac:dyDescent="0.2">
      <c r="A18" s="70" t="s">
        <v>857</v>
      </c>
      <c r="B18" s="71" t="s">
        <v>855</v>
      </c>
      <c r="C18" s="72" t="s">
        <v>856</v>
      </c>
      <c r="D18" s="73" t="s">
        <v>823</v>
      </c>
      <c r="E18" s="73" t="s">
        <v>820</v>
      </c>
      <c r="F18" s="84">
        <v>151.74</v>
      </c>
      <c r="G18" s="73" t="s">
        <v>828</v>
      </c>
      <c r="H18" s="73"/>
      <c r="I18" s="73"/>
      <c r="J18" s="73"/>
      <c r="K18" s="73"/>
      <c r="L18" s="73"/>
      <c r="M18" s="73"/>
      <c r="N18" s="73"/>
      <c r="O18" s="75">
        <f>SUM(TABELA23[[#This Row],[T1]:[T7]])</f>
        <v>0</v>
      </c>
      <c r="P18" s="76">
        <f>TABELA23[[#This Row],[QTDE]]*TABELA23[[#This Row],[PREÇO]]</f>
        <v>0</v>
      </c>
    </row>
    <row r="19" spans="1:16" x14ac:dyDescent="0.2">
      <c r="A19" s="70" t="s">
        <v>858</v>
      </c>
      <c r="B19" s="71" t="s">
        <v>859</v>
      </c>
      <c r="C19" s="72" t="s">
        <v>2308</v>
      </c>
      <c r="D19" s="73" t="s">
        <v>823</v>
      </c>
      <c r="E19" s="73" t="s">
        <v>820</v>
      </c>
      <c r="F19" s="84">
        <v>256.08999999999997</v>
      </c>
      <c r="G19" s="73" t="s">
        <v>826</v>
      </c>
      <c r="H19" s="73"/>
      <c r="I19" s="73"/>
      <c r="J19" s="73"/>
      <c r="K19" s="73"/>
      <c r="L19" s="73"/>
      <c r="M19" s="73"/>
      <c r="N19" s="73"/>
      <c r="O19" s="75">
        <f>SUM(TABELA23[[#This Row],[T1]:[T7]])</f>
        <v>0</v>
      </c>
      <c r="P19" s="76">
        <f>TABELA23[[#This Row],[QTDE]]*TABELA23[[#This Row],[PREÇO]]</f>
        <v>0</v>
      </c>
    </row>
    <row r="20" spans="1:16" x14ac:dyDescent="0.2">
      <c r="A20" s="70" t="s">
        <v>860</v>
      </c>
      <c r="B20" s="71" t="s">
        <v>861</v>
      </c>
      <c r="C20" s="72" t="s">
        <v>862</v>
      </c>
      <c r="D20" s="73" t="s">
        <v>823</v>
      </c>
      <c r="E20" s="73" t="s">
        <v>820</v>
      </c>
      <c r="F20" s="84">
        <v>316.95999999999998</v>
      </c>
      <c r="G20" s="73" t="s">
        <v>826</v>
      </c>
      <c r="H20" s="73"/>
      <c r="I20" s="73"/>
      <c r="J20" s="73"/>
      <c r="K20" s="73"/>
      <c r="L20" s="73"/>
      <c r="M20" s="73"/>
      <c r="N20" s="73"/>
      <c r="O20" s="75">
        <f>SUM(TABELA23[[#This Row],[T1]:[T7]])</f>
        <v>0</v>
      </c>
      <c r="P20" s="76">
        <f>TABELA23[[#This Row],[QTDE]]*TABELA23[[#This Row],[PREÇO]]</f>
        <v>0</v>
      </c>
    </row>
    <row r="21" spans="1:16" x14ac:dyDescent="0.2">
      <c r="A21" s="70" t="s">
        <v>867</v>
      </c>
      <c r="B21" s="71" t="s">
        <v>863</v>
      </c>
      <c r="C21" s="72" t="s">
        <v>865</v>
      </c>
      <c r="D21" s="73" t="s">
        <v>864</v>
      </c>
      <c r="E21" s="73" t="s">
        <v>866</v>
      </c>
      <c r="F21" s="84">
        <v>260.43</v>
      </c>
      <c r="G21" s="73" t="s">
        <v>829</v>
      </c>
      <c r="H21" s="73"/>
      <c r="I21" s="73"/>
      <c r="J21" s="73"/>
      <c r="K21" s="73"/>
      <c r="L21" s="73"/>
      <c r="M21" s="73"/>
      <c r="N21" s="73"/>
      <c r="O21" s="75">
        <f>SUM(TABELA23[[#This Row],[T1]:[T7]])</f>
        <v>0</v>
      </c>
      <c r="P21" s="76">
        <f>TABELA23[[#This Row],[QTDE]]*TABELA23[[#This Row],[PREÇO]]</f>
        <v>0</v>
      </c>
    </row>
    <row r="22" spans="1:16" x14ac:dyDescent="0.2">
      <c r="A22" s="70" t="s">
        <v>872</v>
      </c>
      <c r="B22" s="71" t="s">
        <v>868</v>
      </c>
      <c r="C22" s="72" t="s">
        <v>870</v>
      </c>
      <c r="D22" s="73" t="s">
        <v>869</v>
      </c>
      <c r="E22" s="73" t="s">
        <v>871</v>
      </c>
      <c r="F22" s="84">
        <v>82.17</v>
      </c>
      <c r="G22" s="73" t="s">
        <v>829</v>
      </c>
      <c r="H22" s="73"/>
      <c r="I22" s="73"/>
      <c r="J22" s="73"/>
      <c r="K22" s="73"/>
      <c r="L22" s="73"/>
      <c r="M22" s="73"/>
      <c r="N22" s="73"/>
      <c r="O22" s="75">
        <f>SUM(TABELA23[[#This Row],[T1]:[T7]])</f>
        <v>0</v>
      </c>
      <c r="P22" s="76">
        <f>TABELA23[[#This Row],[QTDE]]*TABELA23[[#This Row],[PREÇO]]</f>
        <v>0</v>
      </c>
    </row>
    <row r="23" spans="1:16" x14ac:dyDescent="0.2">
      <c r="A23" s="70" t="s">
        <v>876</v>
      </c>
      <c r="B23" s="71" t="s">
        <v>874</v>
      </c>
      <c r="C23" s="72" t="s">
        <v>875</v>
      </c>
      <c r="D23" s="73" t="s">
        <v>821</v>
      </c>
      <c r="E23" s="73" t="s">
        <v>822</v>
      </c>
      <c r="F23" s="84">
        <v>260.43</v>
      </c>
      <c r="G23" s="73" t="s">
        <v>829</v>
      </c>
      <c r="H23" s="73"/>
      <c r="I23" s="73"/>
      <c r="J23" s="73"/>
      <c r="K23" s="73"/>
      <c r="L23" s="73"/>
      <c r="M23" s="73"/>
      <c r="N23" s="73"/>
      <c r="O23" s="75">
        <f>SUM(TABELA23[[#This Row],[T1]:[T7]])</f>
        <v>0</v>
      </c>
      <c r="P23" s="76">
        <f>TABELA23[[#This Row],[QTDE]]*TABELA23[[#This Row],[PREÇO]]</f>
        <v>0</v>
      </c>
    </row>
    <row r="24" spans="1:16" x14ac:dyDescent="0.2">
      <c r="A24" s="70" t="s">
        <v>881</v>
      </c>
      <c r="B24" s="71" t="s">
        <v>877</v>
      </c>
      <c r="C24" s="72" t="s">
        <v>879</v>
      </c>
      <c r="D24" s="73" t="s">
        <v>878</v>
      </c>
      <c r="E24" s="73" t="s">
        <v>880</v>
      </c>
      <c r="F24" s="84">
        <v>121.3</v>
      </c>
      <c r="G24" s="73" t="s">
        <v>829</v>
      </c>
      <c r="H24" s="73"/>
      <c r="I24" s="73"/>
      <c r="J24" s="73"/>
      <c r="K24" s="73"/>
      <c r="L24" s="73"/>
      <c r="M24" s="73"/>
      <c r="N24" s="73"/>
      <c r="O24" s="75">
        <f>SUM(TABELA23[[#This Row],[T1]:[T7]])</f>
        <v>0</v>
      </c>
      <c r="P24" s="76">
        <f>TABELA23[[#This Row],[QTDE]]*TABELA23[[#This Row],[PREÇO]]</f>
        <v>0</v>
      </c>
    </row>
    <row r="25" spans="1:16" x14ac:dyDescent="0.2">
      <c r="A25" s="70" t="s">
        <v>883</v>
      </c>
      <c r="B25" s="71" t="s">
        <v>877</v>
      </c>
      <c r="C25" s="72" t="s">
        <v>879</v>
      </c>
      <c r="D25" s="73" t="s">
        <v>882</v>
      </c>
      <c r="E25" s="73" t="s">
        <v>817</v>
      </c>
      <c r="F25" s="84">
        <v>121.3</v>
      </c>
      <c r="G25" s="73" t="s">
        <v>829</v>
      </c>
      <c r="H25" s="73"/>
      <c r="I25" s="73"/>
      <c r="J25" s="73"/>
      <c r="K25" s="73"/>
      <c r="L25" s="73"/>
      <c r="M25" s="73"/>
      <c r="N25" s="73"/>
      <c r="O25" s="75">
        <f>SUM(TABELA23[[#This Row],[T1]:[T7]])</f>
        <v>0</v>
      </c>
      <c r="P25" s="76">
        <f>TABELA23[[#This Row],[QTDE]]*TABELA23[[#This Row],[PREÇO]]</f>
        <v>0</v>
      </c>
    </row>
    <row r="26" spans="1:16" x14ac:dyDescent="0.2">
      <c r="A26" s="70" t="s">
        <v>886</v>
      </c>
      <c r="B26" s="71" t="s">
        <v>884</v>
      </c>
      <c r="C26" s="72" t="s">
        <v>885</v>
      </c>
      <c r="D26" s="73" t="s">
        <v>882</v>
      </c>
      <c r="E26" s="73" t="s">
        <v>817</v>
      </c>
      <c r="F26" s="84">
        <v>286.52</v>
      </c>
      <c r="G26" s="73" t="s">
        <v>829</v>
      </c>
      <c r="H26" s="73"/>
      <c r="I26" s="73"/>
      <c r="J26" s="73"/>
      <c r="K26" s="73"/>
      <c r="L26" s="73"/>
      <c r="M26" s="73"/>
      <c r="N26" s="73"/>
      <c r="O26" s="75">
        <f>SUM(TABELA23[[#This Row],[T1]:[T7]])</f>
        <v>0</v>
      </c>
      <c r="P26" s="76">
        <f>TABELA23[[#This Row],[QTDE]]*TABELA23[[#This Row],[PREÇO]]</f>
        <v>0</v>
      </c>
    </row>
    <row r="27" spans="1:16" x14ac:dyDescent="0.2">
      <c r="A27" s="70" t="s">
        <v>891</v>
      </c>
      <c r="B27" s="71" t="s">
        <v>887</v>
      </c>
      <c r="C27" s="72" t="s">
        <v>889</v>
      </c>
      <c r="D27" s="73" t="s">
        <v>888</v>
      </c>
      <c r="E27" s="73" t="s">
        <v>890</v>
      </c>
      <c r="F27" s="84">
        <v>260.43</v>
      </c>
      <c r="G27" s="73" t="s">
        <v>829</v>
      </c>
      <c r="H27" s="73"/>
      <c r="I27" s="73"/>
      <c r="J27" s="73"/>
      <c r="K27" s="73"/>
      <c r="L27" s="73"/>
      <c r="M27" s="73"/>
      <c r="N27" s="73"/>
      <c r="O27" s="75">
        <f>SUM(TABELA23[[#This Row],[T1]:[T7]])</f>
        <v>0</v>
      </c>
      <c r="P27" s="76">
        <f>TABELA23[[#This Row],[QTDE]]*TABELA23[[#This Row],[PREÇO]]</f>
        <v>0</v>
      </c>
    </row>
    <row r="28" spans="1:16" x14ac:dyDescent="0.2">
      <c r="A28" s="70" t="s">
        <v>894</v>
      </c>
      <c r="B28" s="71" t="s">
        <v>892</v>
      </c>
      <c r="C28" s="72" t="s">
        <v>893</v>
      </c>
      <c r="D28" s="73" t="s">
        <v>830</v>
      </c>
      <c r="E28" s="73" t="s">
        <v>43</v>
      </c>
      <c r="F28" s="84">
        <v>121.3</v>
      </c>
      <c r="G28" s="73" t="s">
        <v>829</v>
      </c>
      <c r="H28" s="73"/>
      <c r="I28" s="73"/>
      <c r="J28" s="73"/>
      <c r="K28" s="73"/>
      <c r="L28" s="73"/>
      <c r="M28" s="73"/>
      <c r="N28" s="73"/>
      <c r="O28" s="75">
        <f>SUM(TABELA23[[#This Row],[T1]:[T7]])</f>
        <v>0</v>
      </c>
      <c r="P28" s="76">
        <f>TABELA23[[#This Row],[QTDE]]*TABELA23[[#This Row],[PREÇO]]</f>
        <v>0</v>
      </c>
    </row>
    <row r="29" spans="1:16" x14ac:dyDescent="0.2">
      <c r="A29" s="70" t="s">
        <v>897</v>
      </c>
      <c r="B29" s="71" t="s">
        <v>892</v>
      </c>
      <c r="C29" s="72" t="s">
        <v>893</v>
      </c>
      <c r="D29" s="73" t="s">
        <v>895</v>
      </c>
      <c r="E29" s="73" t="s">
        <v>896</v>
      </c>
      <c r="F29" s="84">
        <v>121.3</v>
      </c>
      <c r="G29" s="73" t="s">
        <v>829</v>
      </c>
      <c r="H29" s="73"/>
      <c r="I29" s="73"/>
      <c r="J29" s="73"/>
      <c r="K29" s="73"/>
      <c r="L29" s="73"/>
      <c r="M29" s="73"/>
      <c r="N29" s="73"/>
      <c r="O29" s="75">
        <f>SUM(TABELA23[[#This Row],[T1]:[T7]])</f>
        <v>0</v>
      </c>
      <c r="P29" s="76">
        <f>TABELA23[[#This Row],[QTDE]]*TABELA23[[#This Row],[PREÇO]]</f>
        <v>0</v>
      </c>
    </row>
    <row r="30" spans="1:16" x14ac:dyDescent="0.2">
      <c r="A30" s="70" t="s">
        <v>905</v>
      </c>
      <c r="B30" s="71" t="s">
        <v>901</v>
      </c>
      <c r="C30" s="72" t="s">
        <v>903</v>
      </c>
      <c r="D30" s="73" t="s">
        <v>902</v>
      </c>
      <c r="E30" s="73" t="s">
        <v>904</v>
      </c>
      <c r="F30" s="84">
        <v>186.52</v>
      </c>
      <c r="G30" s="73" t="s">
        <v>829</v>
      </c>
      <c r="H30" s="73"/>
      <c r="I30" s="73"/>
      <c r="J30" s="73"/>
      <c r="K30" s="73"/>
      <c r="L30" s="73"/>
      <c r="M30" s="73"/>
      <c r="N30" s="73"/>
      <c r="O30" s="75">
        <f>SUM(TABELA23[[#This Row],[T1]:[T7]])</f>
        <v>0</v>
      </c>
      <c r="P30" s="76">
        <f>TABELA23[[#This Row],[QTDE]]*TABELA23[[#This Row],[PREÇO]]</f>
        <v>0</v>
      </c>
    </row>
    <row r="31" spans="1:16" x14ac:dyDescent="0.2">
      <c r="A31" s="70" t="s">
        <v>908</v>
      </c>
      <c r="B31" s="71" t="s">
        <v>906</v>
      </c>
      <c r="C31" s="72" t="s">
        <v>907</v>
      </c>
      <c r="D31" s="73" t="s">
        <v>898</v>
      </c>
      <c r="E31" s="73" t="s">
        <v>900</v>
      </c>
      <c r="F31" s="84">
        <v>216.96</v>
      </c>
      <c r="G31" s="73" t="s">
        <v>829</v>
      </c>
      <c r="H31" s="73"/>
      <c r="I31" s="73"/>
      <c r="J31" s="73"/>
      <c r="K31" s="73"/>
      <c r="L31" s="73"/>
      <c r="M31" s="73"/>
      <c r="N31" s="73"/>
      <c r="O31" s="75">
        <f>SUM(TABELA23[[#This Row],[T1]:[T7]])</f>
        <v>0</v>
      </c>
      <c r="P31" s="76">
        <f>TABELA23[[#This Row],[QTDE]]*TABELA23[[#This Row],[PREÇO]]</f>
        <v>0</v>
      </c>
    </row>
    <row r="32" spans="1:16" x14ac:dyDescent="0.2">
      <c r="A32" s="70" t="s">
        <v>913</v>
      </c>
      <c r="B32" s="71" t="s">
        <v>909</v>
      </c>
      <c r="C32" s="72" t="s">
        <v>911</v>
      </c>
      <c r="D32" s="73" t="s">
        <v>910</v>
      </c>
      <c r="E32" s="73" t="s">
        <v>912</v>
      </c>
      <c r="F32" s="84">
        <v>112.61</v>
      </c>
      <c r="G32" s="73" t="s">
        <v>829</v>
      </c>
      <c r="H32" s="73"/>
      <c r="I32" s="73"/>
      <c r="J32" s="73"/>
      <c r="K32" s="73"/>
      <c r="L32" s="73"/>
      <c r="M32" s="73"/>
      <c r="N32" s="73"/>
      <c r="O32" s="75">
        <f>SUM(TABELA23[[#This Row],[T1]:[T7]])</f>
        <v>0</v>
      </c>
      <c r="P32" s="76">
        <f>TABELA23[[#This Row],[QTDE]]*TABELA23[[#This Row],[PREÇO]]</f>
        <v>0</v>
      </c>
    </row>
    <row r="33" spans="1:16" x14ac:dyDescent="0.2">
      <c r="A33" s="70" t="s">
        <v>916</v>
      </c>
      <c r="B33" s="71" t="s">
        <v>909</v>
      </c>
      <c r="C33" s="72" t="s">
        <v>911</v>
      </c>
      <c r="D33" s="73" t="s">
        <v>914</v>
      </c>
      <c r="E33" s="73" t="s">
        <v>915</v>
      </c>
      <c r="F33" s="84">
        <v>112.61</v>
      </c>
      <c r="G33" s="73" t="s">
        <v>829</v>
      </c>
      <c r="H33" s="73"/>
      <c r="I33" s="73"/>
      <c r="J33" s="73"/>
      <c r="K33" s="73"/>
      <c r="L33" s="73"/>
      <c r="M33" s="73"/>
      <c r="N33" s="73"/>
      <c r="O33" s="75">
        <f>SUM(TABELA23[[#This Row],[T1]:[T7]])</f>
        <v>0</v>
      </c>
      <c r="P33" s="76">
        <f>TABELA23[[#This Row],[QTDE]]*TABELA23[[#This Row],[PREÇO]]</f>
        <v>0</v>
      </c>
    </row>
    <row r="34" spans="1:16" x14ac:dyDescent="0.2">
      <c r="A34" s="70" t="s">
        <v>919</v>
      </c>
      <c r="B34" s="71" t="s">
        <v>917</v>
      </c>
      <c r="C34" s="72" t="s">
        <v>918</v>
      </c>
      <c r="D34" s="73">
        <v>2206</v>
      </c>
      <c r="E34" s="73" t="s">
        <v>915</v>
      </c>
      <c r="F34" s="84">
        <v>238.7</v>
      </c>
      <c r="G34" s="73" t="s">
        <v>829</v>
      </c>
      <c r="H34" s="73"/>
      <c r="I34" s="73"/>
      <c r="J34" s="73"/>
      <c r="K34" s="73"/>
      <c r="L34" s="73"/>
      <c r="M34" s="73"/>
      <c r="N34" s="73"/>
      <c r="O34" s="75">
        <f>SUM(TABELA23[[#This Row],[T1]:[T7]])</f>
        <v>0</v>
      </c>
      <c r="P34" s="76">
        <f>TABELA23[[#This Row],[QTDE]]*TABELA23[[#This Row],[PREÇO]]</f>
        <v>0</v>
      </c>
    </row>
    <row r="35" spans="1:16" x14ac:dyDescent="0.2">
      <c r="A35" s="70" t="s">
        <v>922</v>
      </c>
      <c r="B35" s="71" t="s">
        <v>920</v>
      </c>
      <c r="C35" s="72" t="s">
        <v>921</v>
      </c>
      <c r="D35" s="73" t="s">
        <v>910</v>
      </c>
      <c r="E35" s="73" t="s">
        <v>912</v>
      </c>
      <c r="F35" s="84">
        <v>216.96</v>
      </c>
      <c r="G35" s="73" t="s">
        <v>829</v>
      </c>
      <c r="H35" s="73"/>
      <c r="I35" s="73"/>
      <c r="J35" s="73"/>
      <c r="K35" s="73"/>
      <c r="L35" s="73"/>
      <c r="M35" s="73"/>
      <c r="N35" s="73"/>
      <c r="O35" s="75">
        <f>SUM(TABELA23[[#This Row],[T1]:[T7]])</f>
        <v>0</v>
      </c>
      <c r="P35" s="76">
        <f>TABELA23[[#This Row],[QTDE]]*TABELA23[[#This Row],[PREÇO]]</f>
        <v>0</v>
      </c>
    </row>
    <row r="36" spans="1:16" x14ac:dyDescent="0.2">
      <c r="A36" s="70" t="s">
        <v>927</v>
      </c>
      <c r="B36" s="71" t="s">
        <v>923</v>
      </c>
      <c r="C36" s="72" t="s">
        <v>925</v>
      </c>
      <c r="D36" s="73" t="s">
        <v>924</v>
      </c>
      <c r="E36" s="73" t="s">
        <v>926</v>
      </c>
      <c r="F36" s="84">
        <v>260.43</v>
      </c>
      <c r="G36" s="73" t="s">
        <v>829</v>
      </c>
      <c r="H36" s="73"/>
      <c r="I36" s="73"/>
      <c r="J36" s="73"/>
      <c r="K36" s="73"/>
      <c r="L36" s="73"/>
      <c r="M36" s="73"/>
      <c r="N36" s="73"/>
      <c r="O36" s="75">
        <f>SUM(TABELA23[[#This Row],[T1]:[T7]])</f>
        <v>0</v>
      </c>
      <c r="P36" s="76">
        <f>TABELA23[[#This Row],[QTDE]]*TABELA23[[#This Row],[PREÇO]]</f>
        <v>0</v>
      </c>
    </row>
    <row r="37" spans="1:16" x14ac:dyDescent="0.2">
      <c r="A37" s="70" t="s">
        <v>932</v>
      </c>
      <c r="B37" s="71" t="s">
        <v>928</v>
      </c>
      <c r="C37" s="72" t="s">
        <v>930</v>
      </c>
      <c r="D37" s="73" t="s">
        <v>929</v>
      </c>
      <c r="E37" s="73" t="s">
        <v>931</v>
      </c>
      <c r="F37" s="84">
        <v>203.91</v>
      </c>
      <c r="G37" s="73" t="s">
        <v>829</v>
      </c>
      <c r="H37" s="73"/>
      <c r="I37" s="73"/>
      <c r="J37" s="73"/>
      <c r="K37" s="73"/>
      <c r="L37" s="73"/>
      <c r="M37" s="73"/>
      <c r="N37" s="73"/>
      <c r="O37" s="75">
        <f>SUM(TABELA23[[#This Row],[T1]:[T7]])</f>
        <v>0</v>
      </c>
      <c r="P37" s="76">
        <f>TABELA23[[#This Row],[QTDE]]*TABELA23[[#This Row],[PREÇO]]</f>
        <v>0</v>
      </c>
    </row>
    <row r="38" spans="1:16" x14ac:dyDescent="0.2">
      <c r="A38" s="70" t="s">
        <v>935</v>
      </c>
      <c r="B38" s="71" t="s">
        <v>933</v>
      </c>
      <c r="C38" s="72" t="s">
        <v>934</v>
      </c>
      <c r="D38" s="73" t="s">
        <v>830</v>
      </c>
      <c r="E38" s="73" t="s">
        <v>43</v>
      </c>
      <c r="F38" s="84">
        <v>130</v>
      </c>
      <c r="G38" s="73" t="s">
        <v>829</v>
      </c>
      <c r="H38" s="73"/>
      <c r="I38" s="73"/>
      <c r="J38" s="73"/>
      <c r="K38" s="73"/>
      <c r="L38" s="73"/>
      <c r="M38" s="73"/>
      <c r="N38" s="73"/>
      <c r="O38" s="75">
        <f>SUM(TABELA23[[#This Row],[T1]:[T7]])</f>
        <v>0</v>
      </c>
      <c r="P38" s="76">
        <f>TABELA23[[#This Row],[QTDE]]*TABELA23[[#This Row],[PREÇO]]</f>
        <v>0</v>
      </c>
    </row>
    <row r="39" spans="1:16" x14ac:dyDescent="0.2">
      <c r="A39" s="70" t="s">
        <v>936</v>
      </c>
      <c r="B39" s="71" t="s">
        <v>933</v>
      </c>
      <c r="C39" s="72" t="s">
        <v>934</v>
      </c>
      <c r="D39" s="73" t="s">
        <v>929</v>
      </c>
      <c r="E39" s="73" t="s">
        <v>931</v>
      </c>
      <c r="F39" s="84">
        <v>130</v>
      </c>
      <c r="G39" s="73" t="s">
        <v>829</v>
      </c>
      <c r="H39" s="73"/>
      <c r="I39" s="73"/>
      <c r="J39" s="73"/>
      <c r="K39" s="73"/>
      <c r="L39" s="73"/>
      <c r="M39" s="73"/>
      <c r="N39" s="73"/>
      <c r="O39" s="75">
        <f>SUM(TABELA23[[#This Row],[T1]:[T7]])</f>
        <v>0</v>
      </c>
      <c r="P39" s="76">
        <f>TABELA23[[#This Row],[QTDE]]*TABELA23[[#This Row],[PREÇO]]</f>
        <v>0</v>
      </c>
    </row>
    <row r="40" spans="1:16" x14ac:dyDescent="0.2">
      <c r="A40" s="70" t="s">
        <v>941</v>
      </c>
      <c r="B40" s="71" t="s">
        <v>937</v>
      </c>
      <c r="C40" s="72" t="s">
        <v>939</v>
      </c>
      <c r="D40" s="73" t="s">
        <v>938</v>
      </c>
      <c r="E40" s="73" t="s">
        <v>940</v>
      </c>
      <c r="F40" s="84">
        <v>173.48</v>
      </c>
      <c r="G40" s="73" t="s">
        <v>829</v>
      </c>
      <c r="H40" s="73"/>
      <c r="I40" s="73"/>
      <c r="J40" s="73"/>
      <c r="K40" s="73"/>
      <c r="L40" s="73"/>
      <c r="M40" s="73"/>
      <c r="N40" s="73"/>
      <c r="O40" s="75">
        <f>SUM(TABELA23[[#This Row],[T1]:[T7]])</f>
        <v>0</v>
      </c>
      <c r="P40" s="76">
        <f>TABELA23[[#This Row],[QTDE]]*TABELA23[[#This Row],[PREÇO]]</f>
        <v>0</v>
      </c>
    </row>
    <row r="41" spans="1:16" x14ac:dyDescent="0.2">
      <c r="A41" s="70" t="s">
        <v>944</v>
      </c>
      <c r="B41" s="71" t="s">
        <v>942</v>
      </c>
      <c r="C41" s="72" t="s">
        <v>943</v>
      </c>
      <c r="D41" s="73" t="s">
        <v>938</v>
      </c>
      <c r="E41" s="73" t="s">
        <v>940</v>
      </c>
      <c r="F41" s="84">
        <v>199.57</v>
      </c>
      <c r="G41" s="73" t="s">
        <v>829</v>
      </c>
      <c r="H41" s="73"/>
      <c r="I41" s="73"/>
      <c r="J41" s="73"/>
      <c r="K41" s="73"/>
      <c r="L41" s="73"/>
      <c r="M41" s="73"/>
      <c r="N41" s="73"/>
      <c r="O41" s="75">
        <f>SUM(TABELA23[[#This Row],[T1]:[T7]])</f>
        <v>0</v>
      </c>
      <c r="P41" s="76">
        <f>TABELA23[[#This Row],[QTDE]]*TABELA23[[#This Row],[PREÇO]]</f>
        <v>0</v>
      </c>
    </row>
    <row r="42" spans="1:16" x14ac:dyDescent="0.2">
      <c r="A42" s="70" t="s">
        <v>947</v>
      </c>
      <c r="B42" s="71" t="s">
        <v>945</v>
      </c>
      <c r="C42" s="72" t="s">
        <v>946</v>
      </c>
      <c r="D42" s="73" t="s">
        <v>938</v>
      </c>
      <c r="E42" s="73" t="s">
        <v>940</v>
      </c>
      <c r="F42" s="84">
        <v>199.57</v>
      </c>
      <c r="G42" s="73" t="s">
        <v>829</v>
      </c>
      <c r="H42" s="73"/>
      <c r="I42" s="73"/>
      <c r="J42" s="73"/>
      <c r="K42" s="73"/>
      <c r="L42" s="73"/>
      <c r="M42" s="73"/>
      <c r="N42" s="73"/>
      <c r="O42" s="75">
        <f>SUM(TABELA23[[#This Row],[T1]:[T7]])</f>
        <v>0</v>
      </c>
      <c r="P42" s="76">
        <f>TABELA23[[#This Row],[QTDE]]*TABELA23[[#This Row],[PREÇO]]</f>
        <v>0</v>
      </c>
    </row>
    <row r="43" spans="1:16" x14ac:dyDescent="0.2">
      <c r="A43" s="70" t="s">
        <v>950</v>
      </c>
      <c r="B43" s="71" t="s">
        <v>948</v>
      </c>
      <c r="C43" s="72" t="s">
        <v>949</v>
      </c>
      <c r="D43" s="73" t="s">
        <v>938</v>
      </c>
      <c r="E43" s="73" t="s">
        <v>940</v>
      </c>
      <c r="F43" s="84">
        <v>138.69999999999999</v>
      </c>
      <c r="G43" s="73" t="s">
        <v>829</v>
      </c>
      <c r="H43" s="73"/>
      <c r="I43" s="73"/>
      <c r="J43" s="73"/>
      <c r="K43" s="73"/>
      <c r="L43" s="73"/>
      <c r="M43" s="73"/>
      <c r="N43" s="73"/>
      <c r="O43" s="75">
        <f>SUM(TABELA23[[#This Row],[T1]:[T7]])</f>
        <v>0</v>
      </c>
      <c r="P43" s="76">
        <f>TABELA23[[#This Row],[QTDE]]*TABELA23[[#This Row],[PREÇO]]</f>
        <v>0</v>
      </c>
    </row>
    <row r="44" spans="1:16" x14ac:dyDescent="0.2">
      <c r="A44" s="70" t="s">
        <v>953</v>
      </c>
      <c r="B44" s="71" t="s">
        <v>951</v>
      </c>
      <c r="C44" s="72" t="s">
        <v>952</v>
      </c>
      <c r="D44" s="73" t="s">
        <v>938</v>
      </c>
      <c r="E44" s="73" t="s">
        <v>940</v>
      </c>
      <c r="F44" s="84">
        <v>203.91</v>
      </c>
      <c r="G44" s="73" t="s">
        <v>829</v>
      </c>
      <c r="H44" s="73"/>
      <c r="I44" s="73"/>
      <c r="J44" s="73"/>
      <c r="K44" s="73"/>
      <c r="L44" s="73"/>
      <c r="M44" s="73"/>
      <c r="N44" s="73"/>
      <c r="O44" s="75">
        <f>SUM(TABELA23[[#This Row],[T1]:[T7]])</f>
        <v>0</v>
      </c>
      <c r="P44" s="76">
        <f>TABELA23[[#This Row],[QTDE]]*TABELA23[[#This Row],[PREÇO]]</f>
        <v>0</v>
      </c>
    </row>
    <row r="45" spans="1:16" x14ac:dyDescent="0.2">
      <c r="A45" s="70" t="s">
        <v>958</v>
      </c>
      <c r="B45" s="71" t="s">
        <v>954</v>
      </c>
      <c r="C45" s="72" t="s">
        <v>956</v>
      </c>
      <c r="D45" s="73" t="s">
        <v>955</v>
      </c>
      <c r="E45" s="73" t="s">
        <v>957</v>
      </c>
      <c r="F45" s="84">
        <v>121.3</v>
      </c>
      <c r="G45" s="73" t="s">
        <v>829</v>
      </c>
      <c r="H45" s="73"/>
      <c r="I45" s="73"/>
      <c r="J45" s="73"/>
      <c r="K45" s="73"/>
      <c r="L45" s="73"/>
      <c r="M45" s="73"/>
      <c r="N45" s="73"/>
      <c r="O45" s="75">
        <f>SUM(TABELA23[[#This Row],[T1]:[T7]])</f>
        <v>0</v>
      </c>
      <c r="P45" s="76">
        <f>TABELA23[[#This Row],[QTDE]]*TABELA23[[#This Row],[PREÇO]]</f>
        <v>0</v>
      </c>
    </row>
    <row r="46" spans="1:16" x14ac:dyDescent="0.2">
      <c r="A46" s="70" t="s">
        <v>963</v>
      </c>
      <c r="B46" s="71" t="s">
        <v>959</v>
      </c>
      <c r="C46" s="72" t="s">
        <v>961</v>
      </c>
      <c r="D46" s="73" t="s">
        <v>960</v>
      </c>
      <c r="E46" s="73" t="s">
        <v>962</v>
      </c>
      <c r="F46" s="84">
        <v>195.22</v>
      </c>
      <c r="G46" s="73" t="s">
        <v>829</v>
      </c>
      <c r="H46" s="73"/>
      <c r="I46" s="73"/>
      <c r="J46" s="73"/>
      <c r="K46" s="73"/>
      <c r="L46" s="73"/>
      <c r="M46" s="73"/>
      <c r="N46" s="73"/>
      <c r="O46" s="75">
        <f>SUM(TABELA23[[#This Row],[T1]:[T7]])</f>
        <v>0</v>
      </c>
      <c r="P46" s="76">
        <f>TABELA23[[#This Row],[QTDE]]*TABELA23[[#This Row],[PREÇO]]</f>
        <v>0</v>
      </c>
    </row>
    <row r="47" spans="1:16" x14ac:dyDescent="0.2">
      <c r="A47" s="70" t="s">
        <v>966</v>
      </c>
      <c r="B47" s="71" t="s">
        <v>964</v>
      </c>
      <c r="C47" s="72" t="s">
        <v>965</v>
      </c>
      <c r="D47" s="73" t="s">
        <v>955</v>
      </c>
      <c r="E47" s="73" t="s">
        <v>957</v>
      </c>
      <c r="F47" s="84">
        <v>325.64999999999998</v>
      </c>
      <c r="G47" s="73" t="s">
        <v>829</v>
      </c>
      <c r="H47" s="73"/>
      <c r="I47" s="73"/>
      <c r="J47" s="73"/>
      <c r="K47" s="73"/>
      <c r="L47" s="73"/>
      <c r="M47" s="73"/>
      <c r="N47" s="73"/>
      <c r="O47" s="75">
        <f>SUM(TABELA23[[#This Row],[T1]:[T7]])</f>
        <v>0</v>
      </c>
      <c r="P47" s="76">
        <f>TABELA23[[#This Row],[QTDE]]*TABELA23[[#This Row],[PREÇO]]</f>
        <v>0</v>
      </c>
    </row>
    <row r="48" spans="1:16" x14ac:dyDescent="0.2">
      <c r="A48" s="70" t="s">
        <v>971</v>
      </c>
      <c r="B48" s="71" t="s">
        <v>967</v>
      </c>
      <c r="C48" s="72" t="s">
        <v>969</v>
      </c>
      <c r="D48" s="73" t="s">
        <v>968</v>
      </c>
      <c r="E48" s="73" t="s">
        <v>970</v>
      </c>
      <c r="F48" s="84">
        <v>260.43</v>
      </c>
      <c r="G48" s="73" t="s">
        <v>829</v>
      </c>
      <c r="H48" s="73"/>
      <c r="I48" s="73"/>
      <c r="J48" s="73"/>
      <c r="K48" s="73"/>
      <c r="L48" s="73"/>
      <c r="M48" s="73"/>
      <c r="N48" s="73"/>
      <c r="O48" s="75">
        <f>SUM(TABELA23[[#This Row],[T1]:[T7]])</f>
        <v>0</v>
      </c>
      <c r="P48" s="76">
        <f>TABELA23[[#This Row],[QTDE]]*TABELA23[[#This Row],[PREÇO]]</f>
        <v>0</v>
      </c>
    </row>
    <row r="49" spans="1:16" x14ac:dyDescent="0.2">
      <c r="A49" s="70" t="s">
        <v>974</v>
      </c>
      <c r="B49" s="71" t="s">
        <v>972</v>
      </c>
      <c r="C49" s="72" t="s">
        <v>973</v>
      </c>
      <c r="D49" s="73" t="s">
        <v>882</v>
      </c>
      <c r="E49" s="73" t="s">
        <v>817</v>
      </c>
      <c r="F49" s="84">
        <v>343.04</v>
      </c>
      <c r="G49" s="73" t="s">
        <v>829</v>
      </c>
      <c r="H49" s="73"/>
      <c r="I49" s="73"/>
      <c r="J49" s="73"/>
      <c r="K49" s="73"/>
      <c r="L49" s="73"/>
      <c r="M49" s="73"/>
      <c r="N49" s="73"/>
      <c r="O49" s="75">
        <f>SUM(TABELA23[[#This Row],[T1]:[T7]])</f>
        <v>0</v>
      </c>
      <c r="P49" s="76">
        <f>TABELA23[[#This Row],[QTDE]]*TABELA23[[#This Row],[PREÇO]]</f>
        <v>0</v>
      </c>
    </row>
    <row r="50" spans="1:16" x14ac:dyDescent="0.2">
      <c r="A50" s="70" t="s">
        <v>977</v>
      </c>
      <c r="B50" s="71" t="s">
        <v>975</v>
      </c>
      <c r="C50" s="72" t="s">
        <v>976</v>
      </c>
      <c r="D50" s="73" t="s">
        <v>960</v>
      </c>
      <c r="E50" s="73" t="s">
        <v>962</v>
      </c>
      <c r="F50" s="84">
        <v>347.39</v>
      </c>
      <c r="G50" s="73" t="s">
        <v>829</v>
      </c>
      <c r="H50" s="73"/>
      <c r="I50" s="73"/>
      <c r="J50" s="73"/>
      <c r="K50" s="73"/>
      <c r="L50" s="73"/>
      <c r="M50" s="73"/>
      <c r="N50" s="73"/>
      <c r="O50" s="75">
        <f>SUM(TABELA23[[#This Row],[T1]:[T7]])</f>
        <v>0</v>
      </c>
      <c r="P50" s="76">
        <f>TABELA23[[#This Row],[QTDE]]*TABELA23[[#This Row],[PREÇO]]</f>
        <v>0</v>
      </c>
    </row>
    <row r="51" spans="1:16" x14ac:dyDescent="0.2">
      <c r="A51" s="70" t="s">
        <v>980</v>
      </c>
      <c r="B51" s="71" t="s">
        <v>978</v>
      </c>
      <c r="C51" s="72" t="s">
        <v>979</v>
      </c>
      <c r="D51" s="73" t="s">
        <v>968</v>
      </c>
      <c r="E51" s="73" t="s">
        <v>970</v>
      </c>
      <c r="F51" s="84">
        <v>234.35</v>
      </c>
      <c r="G51" s="73" t="s">
        <v>829</v>
      </c>
      <c r="H51" s="73"/>
      <c r="I51" s="73"/>
      <c r="J51" s="73"/>
      <c r="K51" s="73"/>
      <c r="L51" s="73"/>
      <c r="M51" s="73"/>
      <c r="N51" s="73"/>
      <c r="O51" s="75">
        <f>SUM(TABELA23[[#This Row],[T1]:[T7]])</f>
        <v>0</v>
      </c>
      <c r="P51" s="76">
        <f>TABELA23[[#This Row],[QTDE]]*TABELA23[[#This Row],[PREÇO]]</f>
        <v>0</v>
      </c>
    </row>
    <row r="52" spans="1:16" x14ac:dyDescent="0.2">
      <c r="A52" s="70" t="s">
        <v>981</v>
      </c>
      <c r="B52" s="71" t="s">
        <v>982</v>
      </c>
      <c r="C52" s="72" t="s">
        <v>983</v>
      </c>
      <c r="D52" s="73" t="s">
        <v>929</v>
      </c>
      <c r="E52" s="73" t="s">
        <v>931</v>
      </c>
      <c r="F52" s="84">
        <v>86.52</v>
      </c>
      <c r="G52" s="73" t="s">
        <v>826</v>
      </c>
      <c r="H52" s="73"/>
      <c r="I52" s="73"/>
      <c r="J52" s="73"/>
      <c r="K52" s="73"/>
      <c r="L52" s="73"/>
      <c r="M52" s="73"/>
      <c r="N52" s="73"/>
      <c r="O52" s="75">
        <f>SUM(TABELA23[[#This Row],[T1]:[T7]])</f>
        <v>0</v>
      </c>
      <c r="P52" s="76">
        <f>TABELA23[[#This Row],[QTDE]]*TABELA23[[#This Row],[PREÇO]]</f>
        <v>0</v>
      </c>
    </row>
    <row r="53" spans="1:16" x14ac:dyDescent="0.2">
      <c r="A53" s="70" t="s">
        <v>986</v>
      </c>
      <c r="B53" s="71" t="s">
        <v>984</v>
      </c>
      <c r="C53" s="72" t="s">
        <v>985</v>
      </c>
      <c r="D53" s="73" t="s">
        <v>32</v>
      </c>
      <c r="E53" s="73" t="s">
        <v>33</v>
      </c>
      <c r="F53" s="84">
        <v>99.57</v>
      </c>
      <c r="G53" s="73" t="s">
        <v>826</v>
      </c>
      <c r="H53" s="73"/>
      <c r="I53" s="73"/>
      <c r="J53" s="73"/>
      <c r="K53" s="73"/>
      <c r="L53" s="73"/>
      <c r="M53" s="73"/>
      <c r="N53" s="73"/>
      <c r="O53" s="75">
        <f>SUM(TABELA23[[#This Row],[T1]:[T7]])</f>
        <v>0</v>
      </c>
      <c r="P53" s="76">
        <f>TABELA23[[#This Row],[QTDE]]*TABELA23[[#This Row],[PREÇO]]</f>
        <v>0</v>
      </c>
    </row>
    <row r="54" spans="1:16" x14ac:dyDescent="0.2">
      <c r="A54" s="70" t="s">
        <v>987</v>
      </c>
      <c r="B54" s="71" t="s">
        <v>988</v>
      </c>
      <c r="C54" s="72" t="s">
        <v>989</v>
      </c>
      <c r="D54" s="73" t="s">
        <v>902</v>
      </c>
      <c r="E54" s="73" t="s">
        <v>904</v>
      </c>
      <c r="F54" s="84">
        <v>125.65</v>
      </c>
      <c r="G54" s="73" t="s">
        <v>826</v>
      </c>
      <c r="H54" s="73"/>
      <c r="I54" s="73"/>
      <c r="J54" s="73"/>
      <c r="K54" s="73"/>
      <c r="L54" s="73"/>
      <c r="M54" s="73"/>
      <c r="N54" s="73"/>
      <c r="O54" s="75">
        <f>SUM(TABELA23[[#This Row],[T1]:[T7]])</f>
        <v>0</v>
      </c>
      <c r="P54" s="76">
        <f>TABELA23[[#This Row],[QTDE]]*TABELA23[[#This Row],[PREÇO]]</f>
        <v>0</v>
      </c>
    </row>
    <row r="55" spans="1:16" x14ac:dyDescent="0.2">
      <c r="A55" s="70" t="s">
        <v>990</v>
      </c>
      <c r="B55" s="71" t="s">
        <v>991</v>
      </c>
      <c r="C55" s="72" t="s">
        <v>993</v>
      </c>
      <c r="D55" s="73" t="s">
        <v>992</v>
      </c>
      <c r="E55" s="73" t="s">
        <v>994</v>
      </c>
      <c r="F55" s="84">
        <v>103.91</v>
      </c>
      <c r="G55" s="73" t="s">
        <v>826</v>
      </c>
      <c r="H55" s="73"/>
      <c r="I55" s="73"/>
      <c r="J55" s="73"/>
      <c r="K55" s="73"/>
      <c r="L55" s="73"/>
      <c r="M55" s="73"/>
      <c r="N55" s="73"/>
      <c r="O55" s="75">
        <f>SUM(TABELA23[[#This Row],[T1]:[T7]])</f>
        <v>0</v>
      </c>
      <c r="P55" s="76">
        <f>TABELA23[[#This Row],[QTDE]]*TABELA23[[#This Row],[PREÇO]]</f>
        <v>0</v>
      </c>
    </row>
    <row r="56" spans="1:16" x14ac:dyDescent="0.2">
      <c r="A56" s="70" t="s">
        <v>995</v>
      </c>
      <c r="B56" s="71" t="s">
        <v>996</v>
      </c>
      <c r="C56" s="72" t="s">
        <v>998</v>
      </c>
      <c r="D56" s="73" t="s">
        <v>997</v>
      </c>
      <c r="E56" s="73" t="s">
        <v>999</v>
      </c>
      <c r="F56" s="84">
        <v>86.52</v>
      </c>
      <c r="G56" s="73" t="s">
        <v>826</v>
      </c>
      <c r="H56" s="73"/>
      <c r="I56" s="73"/>
      <c r="J56" s="73"/>
      <c r="K56" s="73"/>
      <c r="L56" s="73"/>
      <c r="M56" s="73"/>
      <c r="N56" s="73"/>
      <c r="O56" s="75">
        <f>SUM(TABELA23[[#This Row],[T1]:[T7]])</f>
        <v>0</v>
      </c>
      <c r="P56" s="76">
        <f>TABELA23[[#This Row],[QTDE]]*TABELA23[[#This Row],[PREÇO]]</f>
        <v>0</v>
      </c>
    </row>
    <row r="57" spans="1:16" x14ac:dyDescent="0.2">
      <c r="A57" s="70" t="s">
        <v>1002</v>
      </c>
      <c r="B57" s="71" t="s">
        <v>1000</v>
      </c>
      <c r="C57" s="72" t="s">
        <v>1001</v>
      </c>
      <c r="D57" s="73" t="s">
        <v>821</v>
      </c>
      <c r="E57" s="73" t="s">
        <v>822</v>
      </c>
      <c r="F57" s="84">
        <v>130</v>
      </c>
      <c r="G57" s="73" t="s">
        <v>826</v>
      </c>
      <c r="H57" s="73"/>
      <c r="I57" s="73"/>
      <c r="J57" s="73"/>
      <c r="K57" s="73"/>
      <c r="L57" s="73"/>
      <c r="M57" s="73"/>
      <c r="N57" s="73"/>
      <c r="O57" s="75">
        <f>SUM(TABELA23[[#This Row],[T1]:[T7]])</f>
        <v>0</v>
      </c>
      <c r="P57" s="76">
        <f>TABELA23[[#This Row],[QTDE]]*TABELA23[[#This Row],[PREÇO]]</f>
        <v>0</v>
      </c>
    </row>
    <row r="58" spans="1:16" x14ac:dyDescent="0.2">
      <c r="A58" s="70" t="s">
        <v>1006</v>
      </c>
      <c r="B58" s="71" t="s">
        <v>1003</v>
      </c>
      <c r="C58" s="72" t="s">
        <v>1005</v>
      </c>
      <c r="D58" s="73" t="s">
        <v>882</v>
      </c>
      <c r="E58" s="73" t="s">
        <v>817</v>
      </c>
      <c r="F58" s="84">
        <v>112.61</v>
      </c>
      <c r="G58" s="73" t="s">
        <v>826</v>
      </c>
      <c r="H58" s="73"/>
      <c r="I58" s="73"/>
      <c r="J58" s="73"/>
      <c r="K58" s="73"/>
      <c r="L58" s="73"/>
      <c r="M58" s="73"/>
      <c r="N58" s="73"/>
      <c r="O58" s="75">
        <f>SUM(TABELA23[[#This Row],[T1]:[T7]])</f>
        <v>0</v>
      </c>
      <c r="P58" s="76">
        <f>TABELA23[[#This Row],[QTDE]]*TABELA23[[#This Row],[PREÇO]]</f>
        <v>0</v>
      </c>
    </row>
    <row r="59" spans="1:16" x14ac:dyDescent="0.2">
      <c r="A59" s="70" t="s">
        <v>1007</v>
      </c>
      <c r="B59" s="71" t="s">
        <v>1008</v>
      </c>
      <c r="C59" s="72" t="s">
        <v>1010</v>
      </c>
      <c r="D59" s="73" t="s">
        <v>1009</v>
      </c>
      <c r="E59" s="73" t="s">
        <v>1011</v>
      </c>
      <c r="F59" s="84">
        <v>73.48</v>
      </c>
      <c r="G59" s="73" t="s">
        <v>826</v>
      </c>
      <c r="H59" s="73"/>
      <c r="I59" s="73"/>
      <c r="J59" s="73"/>
      <c r="K59" s="73"/>
      <c r="L59" s="73"/>
      <c r="M59" s="73"/>
      <c r="N59" s="73"/>
      <c r="O59" s="75">
        <f>SUM(TABELA23[[#This Row],[T1]:[T7]])</f>
        <v>0</v>
      </c>
      <c r="P59" s="76">
        <f>TABELA23[[#This Row],[QTDE]]*TABELA23[[#This Row],[PREÇO]]</f>
        <v>0</v>
      </c>
    </row>
    <row r="60" spans="1:16" x14ac:dyDescent="0.2">
      <c r="A60" s="70" t="s">
        <v>1014</v>
      </c>
      <c r="B60" s="71" t="s">
        <v>1012</v>
      </c>
      <c r="C60" s="72" t="s">
        <v>1013</v>
      </c>
      <c r="D60" s="73" t="s">
        <v>882</v>
      </c>
      <c r="E60" s="73" t="s">
        <v>817</v>
      </c>
      <c r="F60" s="84">
        <v>121.3</v>
      </c>
      <c r="G60" s="73" t="s">
        <v>826</v>
      </c>
      <c r="H60" s="73"/>
      <c r="I60" s="73"/>
      <c r="J60" s="73"/>
      <c r="K60" s="73"/>
      <c r="L60" s="73"/>
      <c r="M60" s="73"/>
      <c r="N60" s="73"/>
      <c r="O60" s="75">
        <f>SUM(TABELA23[[#This Row],[T1]:[T7]])</f>
        <v>0</v>
      </c>
      <c r="P60" s="76">
        <f>TABELA23[[#This Row],[QTDE]]*TABELA23[[#This Row],[PREÇO]]</f>
        <v>0</v>
      </c>
    </row>
    <row r="61" spans="1:16" x14ac:dyDescent="0.2">
      <c r="A61" s="70" t="s">
        <v>1015</v>
      </c>
      <c r="B61" s="71" t="s">
        <v>1016</v>
      </c>
      <c r="C61" s="72" t="s">
        <v>1017</v>
      </c>
      <c r="D61" s="73" t="s">
        <v>32</v>
      </c>
      <c r="E61" s="73" t="s">
        <v>33</v>
      </c>
      <c r="F61" s="84">
        <v>156.09</v>
      </c>
      <c r="G61" s="73" t="s">
        <v>826</v>
      </c>
      <c r="H61" s="73"/>
      <c r="I61" s="73"/>
      <c r="J61" s="73"/>
      <c r="K61" s="73"/>
      <c r="L61" s="73"/>
      <c r="M61" s="73"/>
      <c r="N61" s="73"/>
      <c r="O61" s="75">
        <f>SUM(TABELA23[[#This Row],[T1]:[T7]])</f>
        <v>0</v>
      </c>
      <c r="P61" s="76">
        <f>TABELA23[[#This Row],[QTDE]]*TABELA23[[#This Row],[PREÇO]]</f>
        <v>0</v>
      </c>
    </row>
    <row r="62" spans="1:16" x14ac:dyDescent="0.2">
      <c r="A62" s="70" t="s">
        <v>1018</v>
      </c>
      <c r="B62" s="71" t="s">
        <v>1019</v>
      </c>
      <c r="C62" s="72" t="s">
        <v>1020</v>
      </c>
      <c r="D62" s="73" t="s">
        <v>32</v>
      </c>
      <c r="E62" s="73" t="s">
        <v>33</v>
      </c>
      <c r="F62" s="84">
        <v>173.48</v>
      </c>
      <c r="G62" s="73" t="s">
        <v>826</v>
      </c>
      <c r="H62" s="73"/>
      <c r="I62" s="73"/>
      <c r="J62" s="73"/>
      <c r="K62" s="73"/>
      <c r="L62" s="73"/>
      <c r="M62" s="73"/>
      <c r="N62" s="73"/>
      <c r="O62" s="75">
        <f>SUM(TABELA23[[#This Row],[T1]:[T7]])</f>
        <v>0</v>
      </c>
      <c r="P62" s="76">
        <f>TABELA23[[#This Row],[QTDE]]*TABELA23[[#This Row],[PREÇO]]</f>
        <v>0</v>
      </c>
    </row>
    <row r="63" spans="1:16" x14ac:dyDescent="0.2">
      <c r="A63" s="70" t="s">
        <v>1021</v>
      </c>
      <c r="B63" s="71" t="s">
        <v>1022</v>
      </c>
      <c r="C63" s="72" t="s">
        <v>1023</v>
      </c>
      <c r="D63" s="73" t="s">
        <v>830</v>
      </c>
      <c r="E63" s="73" t="s">
        <v>43</v>
      </c>
      <c r="F63" s="84">
        <v>130</v>
      </c>
      <c r="G63" s="73" t="s">
        <v>826</v>
      </c>
      <c r="H63" s="73"/>
      <c r="I63" s="73"/>
      <c r="J63" s="73"/>
      <c r="K63" s="73"/>
      <c r="L63" s="73"/>
      <c r="M63" s="73"/>
      <c r="N63" s="73"/>
      <c r="O63" s="75">
        <f>SUM(TABELA23[[#This Row],[T1]:[T7]])</f>
        <v>0</v>
      </c>
      <c r="P63" s="76">
        <f>TABELA23[[#This Row],[QTDE]]*TABELA23[[#This Row],[PREÇO]]</f>
        <v>0</v>
      </c>
    </row>
    <row r="64" spans="1:16" x14ac:dyDescent="0.2">
      <c r="A64" s="70" t="s">
        <v>1025</v>
      </c>
      <c r="B64" s="71" t="s">
        <v>1026</v>
      </c>
      <c r="C64" s="72" t="s">
        <v>1027</v>
      </c>
      <c r="D64" s="73" t="s">
        <v>803</v>
      </c>
      <c r="E64" s="73" t="s">
        <v>840</v>
      </c>
      <c r="F64" s="84">
        <v>108.26</v>
      </c>
      <c r="G64" s="73" t="s">
        <v>826</v>
      </c>
      <c r="H64" s="73"/>
      <c r="I64" s="73"/>
      <c r="J64" s="73"/>
      <c r="K64" s="73"/>
      <c r="L64" s="73"/>
      <c r="M64" s="73"/>
      <c r="N64" s="73"/>
      <c r="O64" s="75">
        <f>SUM(TABELA23[[#This Row],[T1]:[T7]])</f>
        <v>0</v>
      </c>
      <c r="P64" s="76">
        <f>TABELA23[[#This Row],[QTDE]]*TABELA23[[#This Row],[PREÇO]]</f>
        <v>0</v>
      </c>
    </row>
    <row r="65" spans="1:16" x14ac:dyDescent="0.2">
      <c r="A65" s="70" t="s">
        <v>1028</v>
      </c>
      <c r="B65" s="71" t="s">
        <v>1029</v>
      </c>
      <c r="C65" s="72" t="s">
        <v>1030</v>
      </c>
      <c r="D65" s="73" t="s">
        <v>32</v>
      </c>
      <c r="E65" s="73" t="s">
        <v>33</v>
      </c>
      <c r="F65" s="84">
        <v>130</v>
      </c>
      <c r="G65" s="73" t="s">
        <v>826</v>
      </c>
      <c r="H65" s="73"/>
      <c r="I65" s="73"/>
      <c r="J65" s="73"/>
      <c r="K65" s="73"/>
      <c r="L65" s="73"/>
      <c r="M65" s="73"/>
      <c r="N65" s="73"/>
      <c r="O65" s="75">
        <f>SUM(TABELA23[[#This Row],[T1]:[T7]])</f>
        <v>0</v>
      </c>
      <c r="P65" s="76">
        <f>TABELA23[[#This Row],[QTDE]]*TABELA23[[#This Row],[PREÇO]]</f>
        <v>0</v>
      </c>
    </row>
    <row r="66" spans="1:16" x14ac:dyDescent="0.2">
      <c r="A66" s="70" t="s">
        <v>1031</v>
      </c>
      <c r="B66" s="71" t="s">
        <v>1032</v>
      </c>
      <c r="C66" s="72" t="s">
        <v>1033</v>
      </c>
      <c r="D66" s="73" t="s">
        <v>835</v>
      </c>
      <c r="E66" s="73" t="s">
        <v>836</v>
      </c>
      <c r="F66" s="84">
        <v>216.96</v>
      </c>
      <c r="G66" s="73" t="s">
        <v>826</v>
      </c>
      <c r="H66" s="73"/>
      <c r="I66" s="73"/>
      <c r="J66" s="73"/>
      <c r="K66" s="73"/>
      <c r="L66" s="73"/>
      <c r="M66" s="73"/>
      <c r="N66" s="73"/>
      <c r="O66" s="75">
        <f>SUM(TABELA23[[#This Row],[T1]:[T7]])</f>
        <v>0</v>
      </c>
      <c r="P66" s="76">
        <f>TABELA23[[#This Row],[QTDE]]*TABELA23[[#This Row],[PREÇO]]</f>
        <v>0</v>
      </c>
    </row>
    <row r="67" spans="1:16" x14ac:dyDescent="0.2">
      <c r="A67" s="70" t="s">
        <v>1034</v>
      </c>
      <c r="B67" s="71" t="s">
        <v>1035</v>
      </c>
      <c r="C67" s="72" t="s">
        <v>1036</v>
      </c>
      <c r="D67" s="73" t="s">
        <v>1024</v>
      </c>
      <c r="E67" s="73" t="s">
        <v>1037</v>
      </c>
      <c r="F67" s="84">
        <v>116.96</v>
      </c>
      <c r="G67" s="73" t="s">
        <v>826</v>
      </c>
      <c r="H67" s="73"/>
      <c r="I67" s="73"/>
      <c r="J67" s="73"/>
      <c r="K67" s="73"/>
      <c r="L67" s="73"/>
      <c r="M67" s="73"/>
      <c r="N67" s="73"/>
      <c r="O67" s="75">
        <f>SUM(TABELA23[[#This Row],[T1]:[T7]])</f>
        <v>0</v>
      </c>
      <c r="P67" s="76">
        <f>TABELA23[[#This Row],[QTDE]]*TABELA23[[#This Row],[PREÇO]]</f>
        <v>0</v>
      </c>
    </row>
    <row r="68" spans="1:16" x14ac:dyDescent="0.2">
      <c r="A68" s="70" t="s">
        <v>1041</v>
      </c>
      <c r="B68" s="71" t="s">
        <v>1039</v>
      </c>
      <c r="C68" s="72" t="s">
        <v>1040</v>
      </c>
      <c r="D68" s="73" t="s">
        <v>830</v>
      </c>
      <c r="E68" s="73" t="s">
        <v>43</v>
      </c>
      <c r="F68" s="84">
        <v>99.57</v>
      </c>
      <c r="G68" s="73" t="s">
        <v>826</v>
      </c>
      <c r="H68" s="73"/>
      <c r="I68" s="73"/>
      <c r="J68" s="73"/>
      <c r="K68" s="73"/>
      <c r="L68" s="73"/>
      <c r="M68" s="73"/>
      <c r="N68" s="73"/>
      <c r="O68" s="75">
        <f>SUM(TABELA23[[#This Row],[T1]:[T7]])</f>
        <v>0</v>
      </c>
      <c r="P68" s="76">
        <f>TABELA23[[#This Row],[QTDE]]*TABELA23[[#This Row],[PREÇO]]</f>
        <v>0</v>
      </c>
    </row>
    <row r="69" spans="1:16" x14ac:dyDescent="0.2">
      <c r="A69" s="70" t="s">
        <v>1038</v>
      </c>
      <c r="B69" s="71" t="s">
        <v>1039</v>
      </c>
      <c r="C69" s="72" t="s">
        <v>1040</v>
      </c>
      <c r="D69" s="73" t="s">
        <v>32</v>
      </c>
      <c r="E69" s="73" t="s">
        <v>33</v>
      </c>
      <c r="F69" s="84">
        <v>99.57</v>
      </c>
      <c r="G69" s="73" t="s">
        <v>826</v>
      </c>
      <c r="H69" s="73"/>
      <c r="I69" s="73"/>
      <c r="J69" s="73"/>
      <c r="K69" s="73"/>
      <c r="L69" s="73"/>
      <c r="M69" s="73"/>
      <c r="N69" s="73"/>
      <c r="O69" s="75">
        <f>SUM(TABELA23[[#This Row],[T1]:[T7]])</f>
        <v>0</v>
      </c>
      <c r="P69" s="76">
        <f>TABELA23[[#This Row],[QTDE]]*TABELA23[[#This Row],[PREÇO]]</f>
        <v>0</v>
      </c>
    </row>
    <row r="70" spans="1:16" x14ac:dyDescent="0.2">
      <c r="A70" s="70" t="s">
        <v>1044</v>
      </c>
      <c r="B70" s="71" t="s">
        <v>1042</v>
      </c>
      <c r="C70" s="72" t="s">
        <v>1043</v>
      </c>
      <c r="D70" s="73" t="s">
        <v>1009</v>
      </c>
      <c r="E70" s="73" t="s">
        <v>1011</v>
      </c>
      <c r="F70" s="84">
        <v>86.52</v>
      </c>
      <c r="G70" s="73" t="s">
        <v>826</v>
      </c>
      <c r="H70" s="73"/>
      <c r="I70" s="73"/>
      <c r="J70" s="73"/>
      <c r="K70" s="73"/>
      <c r="L70" s="73"/>
      <c r="M70" s="73"/>
      <c r="N70" s="73"/>
      <c r="O70" s="75">
        <f>SUM(TABELA23[[#This Row],[T1]:[T7]])</f>
        <v>0</v>
      </c>
      <c r="P70" s="76">
        <f>TABELA23[[#This Row],[QTDE]]*TABELA23[[#This Row],[PREÇO]]</f>
        <v>0</v>
      </c>
    </row>
    <row r="71" spans="1:16" x14ac:dyDescent="0.2">
      <c r="A71" s="70" t="s">
        <v>1049</v>
      </c>
      <c r="B71" s="71" t="s">
        <v>1045</v>
      </c>
      <c r="C71" s="72" t="s">
        <v>1047</v>
      </c>
      <c r="D71" s="73" t="s">
        <v>1046</v>
      </c>
      <c r="E71" s="73" t="s">
        <v>1048</v>
      </c>
      <c r="F71" s="84">
        <v>99.57</v>
      </c>
      <c r="G71" s="73" t="s">
        <v>829</v>
      </c>
      <c r="H71" s="73"/>
      <c r="I71" s="73"/>
      <c r="J71" s="73"/>
      <c r="K71" s="73"/>
      <c r="L71" s="73"/>
      <c r="M71" s="73"/>
      <c r="N71" s="73"/>
      <c r="O71" s="75">
        <f>SUM(TABELA23[[#This Row],[T1]:[T7]])</f>
        <v>0</v>
      </c>
      <c r="P71" s="76">
        <f>TABELA23[[#This Row],[QTDE]]*TABELA23[[#This Row],[PREÇO]]</f>
        <v>0</v>
      </c>
    </row>
    <row r="72" spans="1:16" x14ac:dyDescent="0.2">
      <c r="A72" s="70" t="s">
        <v>1050</v>
      </c>
      <c r="B72" s="71" t="s">
        <v>1051</v>
      </c>
      <c r="C72" s="72" t="s">
        <v>1052</v>
      </c>
      <c r="D72" s="73" t="s">
        <v>1009</v>
      </c>
      <c r="E72" s="73" t="s">
        <v>1011</v>
      </c>
      <c r="F72" s="84">
        <v>86.52</v>
      </c>
      <c r="G72" s="73" t="s">
        <v>826</v>
      </c>
      <c r="H72" s="73"/>
      <c r="I72" s="73"/>
      <c r="J72" s="73"/>
      <c r="K72" s="73"/>
      <c r="L72" s="73"/>
      <c r="M72" s="73"/>
      <c r="N72" s="73"/>
      <c r="O72" s="75">
        <f>SUM(TABELA23[[#This Row],[T1]:[T7]])</f>
        <v>0</v>
      </c>
      <c r="P72" s="76">
        <f>TABELA23[[#This Row],[QTDE]]*TABELA23[[#This Row],[PREÇO]]</f>
        <v>0</v>
      </c>
    </row>
    <row r="73" spans="1:16" x14ac:dyDescent="0.2">
      <c r="A73" s="70" t="s">
        <v>1057</v>
      </c>
      <c r="B73" s="71" t="s">
        <v>1053</v>
      </c>
      <c r="C73" s="72" t="s">
        <v>1055</v>
      </c>
      <c r="D73" s="73" t="s">
        <v>1054</v>
      </c>
      <c r="E73" s="73" t="s">
        <v>1056</v>
      </c>
      <c r="F73" s="84">
        <v>247.39</v>
      </c>
      <c r="G73" s="73" t="s">
        <v>829</v>
      </c>
      <c r="H73" s="73"/>
      <c r="I73" s="73"/>
      <c r="J73" s="73"/>
      <c r="K73" s="73"/>
      <c r="L73" s="73"/>
      <c r="M73" s="73"/>
      <c r="N73" s="73"/>
      <c r="O73" s="75">
        <f>SUM(TABELA23[[#This Row],[T1]:[T7]])</f>
        <v>0</v>
      </c>
      <c r="P73" s="76">
        <f>TABELA23[[#This Row],[QTDE]]*TABELA23[[#This Row],[PREÇO]]</f>
        <v>0</v>
      </c>
    </row>
    <row r="74" spans="1:16" x14ac:dyDescent="0.2">
      <c r="A74" s="70" t="s">
        <v>1062</v>
      </c>
      <c r="B74" s="71" t="s">
        <v>1058</v>
      </c>
      <c r="C74" s="72" t="s">
        <v>1060</v>
      </c>
      <c r="D74" s="73" t="s">
        <v>1059</v>
      </c>
      <c r="E74" s="73" t="s">
        <v>1061</v>
      </c>
      <c r="F74" s="84">
        <v>173.48</v>
      </c>
      <c r="G74" s="73" t="s">
        <v>829</v>
      </c>
      <c r="H74" s="73"/>
      <c r="I74" s="73"/>
      <c r="J74" s="73"/>
      <c r="K74" s="73"/>
      <c r="L74" s="73"/>
      <c r="M74" s="73"/>
      <c r="N74" s="73"/>
      <c r="O74" s="75">
        <f>SUM(TABELA23[[#This Row],[T1]:[T7]])</f>
        <v>0</v>
      </c>
      <c r="P74" s="76">
        <f>TABELA23[[#This Row],[QTDE]]*TABELA23[[#This Row],[PREÇO]]</f>
        <v>0</v>
      </c>
    </row>
    <row r="75" spans="1:16" x14ac:dyDescent="0.2">
      <c r="A75" s="70" t="s">
        <v>1067</v>
      </c>
      <c r="B75" s="71" t="s">
        <v>1063</v>
      </c>
      <c r="C75" s="72" t="s">
        <v>1065</v>
      </c>
      <c r="D75" s="73" t="s">
        <v>1064</v>
      </c>
      <c r="E75" s="73" t="s">
        <v>1066</v>
      </c>
      <c r="F75" s="84">
        <v>212.61</v>
      </c>
      <c r="G75" s="73" t="s">
        <v>829</v>
      </c>
      <c r="H75" s="73"/>
      <c r="I75" s="73"/>
      <c r="J75" s="73"/>
      <c r="K75" s="73"/>
      <c r="L75" s="73"/>
      <c r="M75" s="73"/>
      <c r="N75" s="73"/>
      <c r="O75" s="75">
        <f>SUM(TABELA23[[#This Row],[T1]:[T7]])</f>
        <v>0</v>
      </c>
      <c r="P75" s="76">
        <f>TABELA23[[#This Row],[QTDE]]*TABELA23[[#This Row],[PREÇO]]</f>
        <v>0</v>
      </c>
    </row>
    <row r="76" spans="1:16" x14ac:dyDescent="0.2">
      <c r="A76" s="70" t="s">
        <v>1070</v>
      </c>
      <c r="B76" s="71" t="s">
        <v>1063</v>
      </c>
      <c r="C76" s="72" t="s">
        <v>1065</v>
      </c>
      <c r="D76" s="73" t="s">
        <v>1068</v>
      </c>
      <c r="E76" s="73" t="s">
        <v>1069</v>
      </c>
      <c r="F76" s="84">
        <v>212.61</v>
      </c>
      <c r="G76" s="73" t="s">
        <v>829</v>
      </c>
      <c r="H76" s="73"/>
      <c r="I76" s="73"/>
      <c r="J76" s="73"/>
      <c r="K76" s="73"/>
      <c r="L76" s="73"/>
      <c r="M76" s="73"/>
      <c r="N76" s="73"/>
      <c r="O76" s="75">
        <f>SUM(TABELA23[[#This Row],[T1]:[T7]])</f>
        <v>0</v>
      </c>
      <c r="P76" s="76">
        <f>TABELA23[[#This Row],[QTDE]]*TABELA23[[#This Row],[PREÇO]]</f>
        <v>0</v>
      </c>
    </row>
    <row r="77" spans="1:16" x14ac:dyDescent="0.2">
      <c r="A77" s="70" t="s">
        <v>1073</v>
      </c>
      <c r="B77" s="71" t="s">
        <v>1071</v>
      </c>
      <c r="C77" s="72" t="s">
        <v>1072</v>
      </c>
      <c r="D77" s="73" t="s">
        <v>1054</v>
      </c>
      <c r="E77" s="73" t="s">
        <v>1056</v>
      </c>
      <c r="F77" s="84">
        <v>277.83</v>
      </c>
      <c r="G77" s="73" t="s">
        <v>829</v>
      </c>
      <c r="H77" s="73"/>
      <c r="I77" s="73"/>
      <c r="J77" s="73"/>
      <c r="K77" s="73"/>
      <c r="L77" s="73"/>
      <c r="M77" s="73"/>
      <c r="N77" s="73"/>
      <c r="O77" s="75">
        <f>SUM(TABELA23[[#This Row],[T1]:[T7]])</f>
        <v>0</v>
      </c>
      <c r="P77" s="76">
        <f>TABELA23[[#This Row],[QTDE]]*TABELA23[[#This Row],[PREÇO]]</f>
        <v>0</v>
      </c>
    </row>
    <row r="78" spans="1:16" x14ac:dyDescent="0.2">
      <c r="A78" s="70" t="s">
        <v>1076</v>
      </c>
      <c r="B78" s="71" t="s">
        <v>1074</v>
      </c>
      <c r="C78" s="72" t="s">
        <v>1075</v>
      </c>
      <c r="D78" s="73" t="s">
        <v>968</v>
      </c>
      <c r="E78" s="73" t="s">
        <v>970</v>
      </c>
      <c r="F78" s="84">
        <v>190.87</v>
      </c>
      <c r="G78" s="73" t="s">
        <v>829</v>
      </c>
      <c r="H78" s="73"/>
      <c r="I78" s="73"/>
      <c r="J78" s="73"/>
      <c r="K78" s="73"/>
      <c r="L78" s="73"/>
      <c r="M78" s="73"/>
      <c r="N78" s="73"/>
      <c r="O78" s="75">
        <f>SUM(TABELA23[[#This Row],[T1]:[T7]])</f>
        <v>0</v>
      </c>
      <c r="P78" s="76">
        <f>TABELA23[[#This Row],[QTDE]]*TABELA23[[#This Row],[PREÇO]]</f>
        <v>0</v>
      </c>
    </row>
    <row r="79" spans="1:16" x14ac:dyDescent="0.2">
      <c r="A79" s="70" t="s">
        <v>1079</v>
      </c>
      <c r="B79" s="71" t="s">
        <v>1077</v>
      </c>
      <c r="C79" s="72" t="s">
        <v>1078</v>
      </c>
      <c r="D79" s="73" t="s">
        <v>1046</v>
      </c>
      <c r="E79" s="73" t="s">
        <v>1048</v>
      </c>
      <c r="F79" s="84">
        <v>216.96</v>
      </c>
      <c r="G79" s="73" t="s">
        <v>829</v>
      </c>
      <c r="H79" s="73"/>
      <c r="I79" s="73"/>
      <c r="J79" s="73"/>
      <c r="K79" s="73"/>
      <c r="L79" s="73"/>
      <c r="M79" s="73"/>
      <c r="N79" s="73"/>
      <c r="O79" s="75">
        <f>SUM(TABELA23[[#This Row],[T1]:[T7]])</f>
        <v>0</v>
      </c>
      <c r="P79" s="76">
        <f>TABELA23[[#This Row],[QTDE]]*TABELA23[[#This Row],[PREÇO]]</f>
        <v>0</v>
      </c>
    </row>
    <row r="80" spans="1:16" x14ac:dyDescent="0.2">
      <c r="A80" s="70" t="s">
        <v>1082</v>
      </c>
      <c r="B80" s="71" t="s">
        <v>1080</v>
      </c>
      <c r="C80" s="72" t="s">
        <v>1081</v>
      </c>
      <c r="D80" s="73" t="s">
        <v>1064</v>
      </c>
      <c r="E80" s="73" t="s">
        <v>1066</v>
      </c>
      <c r="F80" s="84">
        <v>164.78</v>
      </c>
      <c r="G80" s="73" t="s">
        <v>829</v>
      </c>
      <c r="H80" s="73"/>
      <c r="I80" s="73"/>
      <c r="J80" s="73"/>
      <c r="K80" s="73"/>
      <c r="L80" s="73"/>
      <c r="M80" s="73"/>
      <c r="N80" s="73"/>
      <c r="O80" s="75">
        <f>SUM(TABELA23[[#This Row],[T1]:[T7]])</f>
        <v>0</v>
      </c>
      <c r="P80" s="76">
        <f>TABELA23[[#This Row],[QTDE]]*TABELA23[[#This Row],[PREÇO]]</f>
        <v>0</v>
      </c>
    </row>
    <row r="81" spans="1:16" x14ac:dyDescent="0.2">
      <c r="A81" s="70" t="s">
        <v>1083</v>
      </c>
      <c r="B81" s="71" t="s">
        <v>1080</v>
      </c>
      <c r="C81" s="72" t="s">
        <v>1081</v>
      </c>
      <c r="D81" s="73" t="s">
        <v>1068</v>
      </c>
      <c r="E81" s="73" t="s">
        <v>1069</v>
      </c>
      <c r="F81" s="84">
        <v>164.78</v>
      </c>
      <c r="G81" s="73" t="s">
        <v>829</v>
      </c>
      <c r="H81" s="73"/>
      <c r="I81" s="73"/>
      <c r="J81" s="73"/>
      <c r="K81" s="73"/>
      <c r="L81" s="73"/>
      <c r="M81" s="73"/>
      <c r="N81" s="73"/>
      <c r="O81" s="75">
        <f>SUM(TABELA23[[#This Row],[T1]:[T7]])</f>
        <v>0</v>
      </c>
      <c r="P81" s="76">
        <f>TABELA23[[#This Row],[QTDE]]*TABELA23[[#This Row],[PREÇO]]</f>
        <v>0</v>
      </c>
    </row>
    <row r="82" spans="1:16" x14ac:dyDescent="0.2">
      <c r="A82" s="70" t="s">
        <v>1086</v>
      </c>
      <c r="B82" s="71" t="s">
        <v>1084</v>
      </c>
      <c r="C82" s="72" t="s">
        <v>1085</v>
      </c>
      <c r="D82" s="73" t="s">
        <v>1064</v>
      </c>
      <c r="E82" s="73" t="s">
        <v>1066</v>
      </c>
      <c r="F82" s="84">
        <v>86.52</v>
      </c>
      <c r="G82" s="73" t="s">
        <v>2319</v>
      </c>
      <c r="H82" s="73"/>
      <c r="I82" s="73"/>
      <c r="J82" s="73"/>
      <c r="K82" s="73"/>
      <c r="L82" s="73"/>
      <c r="M82" s="73"/>
      <c r="N82" s="73"/>
      <c r="O82" s="75">
        <f>SUM(TABELA23[[#This Row],[T1]:[T7]])</f>
        <v>0</v>
      </c>
      <c r="P82" s="76">
        <f>TABELA23[[#This Row],[QTDE]]*TABELA23[[#This Row],[PREÇO]]</f>
        <v>0</v>
      </c>
    </row>
    <row r="83" spans="1:16" x14ac:dyDescent="0.2">
      <c r="A83" s="70" t="s">
        <v>1087</v>
      </c>
      <c r="B83" s="71" t="s">
        <v>1084</v>
      </c>
      <c r="C83" s="72" t="s">
        <v>1085</v>
      </c>
      <c r="D83" s="73" t="s">
        <v>1068</v>
      </c>
      <c r="E83" s="73" t="s">
        <v>1069</v>
      </c>
      <c r="F83" s="84">
        <v>86.52</v>
      </c>
      <c r="G83" s="73" t="s">
        <v>2319</v>
      </c>
      <c r="H83" s="73"/>
      <c r="I83" s="73"/>
      <c r="J83" s="73"/>
      <c r="K83" s="73"/>
      <c r="L83" s="73"/>
      <c r="M83" s="73"/>
      <c r="N83" s="73"/>
      <c r="O83" s="75">
        <f>SUM(TABELA23[[#This Row],[T1]:[T7]])</f>
        <v>0</v>
      </c>
      <c r="P83" s="76">
        <f>TABELA23[[#This Row],[QTDE]]*TABELA23[[#This Row],[PREÇO]]</f>
        <v>0</v>
      </c>
    </row>
    <row r="84" spans="1:16" x14ac:dyDescent="0.2">
      <c r="A84" s="70" t="s">
        <v>1090</v>
      </c>
      <c r="B84" s="71" t="s">
        <v>1088</v>
      </c>
      <c r="C84" s="72" t="s">
        <v>1089</v>
      </c>
      <c r="D84" s="73" t="s">
        <v>1046</v>
      </c>
      <c r="E84" s="73" t="s">
        <v>1048</v>
      </c>
      <c r="F84" s="84">
        <v>260.43</v>
      </c>
      <c r="G84" s="73" t="s">
        <v>829</v>
      </c>
      <c r="H84" s="73"/>
      <c r="I84" s="73"/>
      <c r="J84" s="73"/>
      <c r="K84" s="73"/>
      <c r="L84" s="73"/>
      <c r="M84" s="73"/>
      <c r="N84" s="73"/>
      <c r="O84" s="75">
        <f>SUM(TABELA23[[#This Row],[T1]:[T7]])</f>
        <v>0</v>
      </c>
      <c r="P84" s="76">
        <f>TABELA23[[#This Row],[QTDE]]*TABELA23[[#This Row],[PREÇO]]</f>
        <v>0</v>
      </c>
    </row>
    <row r="85" spans="1:16" x14ac:dyDescent="0.2">
      <c r="A85" s="70" t="s">
        <v>1093</v>
      </c>
      <c r="B85" s="71" t="s">
        <v>1091</v>
      </c>
      <c r="C85" s="72" t="s">
        <v>1092</v>
      </c>
      <c r="D85" s="73" t="s">
        <v>1046</v>
      </c>
      <c r="E85" s="73" t="s">
        <v>1048</v>
      </c>
      <c r="F85" s="84">
        <v>199.57</v>
      </c>
      <c r="G85" s="73" t="s">
        <v>829</v>
      </c>
      <c r="H85" s="73"/>
      <c r="I85" s="73"/>
      <c r="J85" s="73"/>
      <c r="K85" s="73"/>
      <c r="L85" s="73"/>
      <c r="M85" s="73"/>
      <c r="N85" s="73"/>
      <c r="O85" s="75">
        <f>SUM(TABELA23[[#This Row],[T1]:[T7]])</f>
        <v>0</v>
      </c>
      <c r="P85" s="76">
        <f>TABELA23[[#This Row],[QTDE]]*TABELA23[[#This Row],[PREÇO]]</f>
        <v>0</v>
      </c>
    </row>
    <row r="86" spans="1:16" x14ac:dyDescent="0.2">
      <c r="A86" s="70" t="s">
        <v>1096</v>
      </c>
      <c r="B86" s="71" t="s">
        <v>1094</v>
      </c>
      <c r="C86" s="72" t="s">
        <v>1095</v>
      </c>
      <c r="D86" s="73" t="s">
        <v>1064</v>
      </c>
      <c r="E86" s="73" t="s">
        <v>1066</v>
      </c>
      <c r="F86" s="84">
        <v>199.57</v>
      </c>
      <c r="G86" s="73" t="s">
        <v>829</v>
      </c>
      <c r="H86" s="73"/>
      <c r="I86" s="73"/>
      <c r="J86" s="73"/>
      <c r="K86" s="73"/>
      <c r="L86" s="73"/>
      <c r="M86" s="73"/>
      <c r="N86" s="73"/>
      <c r="O86" s="75">
        <f>SUM(TABELA23[[#This Row],[T1]:[T7]])</f>
        <v>0</v>
      </c>
      <c r="P86" s="76">
        <f>TABELA23[[#This Row],[QTDE]]*TABELA23[[#This Row],[PREÇO]]</f>
        <v>0</v>
      </c>
    </row>
    <row r="87" spans="1:16" x14ac:dyDescent="0.2">
      <c r="A87" s="70" t="s">
        <v>1099</v>
      </c>
      <c r="B87" s="71" t="s">
        <v>1097</v>
      </c>
      <c r="C87" s="72" t="s">
        <v>1098</v>
      </c>
      <c r="D87" s="73" t="s">
        <v>1046</v>
      </c>
      <c r="E87" s="73" t="s">
        <v>1048</v>
      </c>
      <c r="F87" s="84">
        <v>212.61</v>
      </c>
      <c r="G87" s="73" t="s">
        <v>829</v>
      </c>
      <c r="H87" s="73"/>
      <c r="I87" s="73"/>
      <c r="J87" s="73"/>
      <c r="K87" s="73"/>
      <c r="L87" s="73"/>
      <c r="M87" s="73"/>
      <c r="N87" s="73"/>
      <c r="O87" s="75">
        <f>SUM(TABELA23[[#This Row],[T1]:[T7]])</f>
        <v>0</v>
      </c>
      <c r="P87" s="76">
        <f>TABELA23[[#This Row],[QTDE]]*TABELA23[[#This Row],[PREÇO]]</f>
        <v>0</v>
      </c>
    </row>
    <row r="88" spans="1:16" x14ac:dyDescent="0.2">
      <c r="A88" s="70" t="s">
        <v>1104</v>
      </c>
      <c r="B88" s="71" t="s">
        <v>1100</v>
      </c>
      <c r="C88" s="72" t="s">
        <v>1102</v>
      </c>
      <c r="D88" s="73" t="s">
        <v>1101</v>
      </c>
      <c r="E88" s="73" t="s">
        <v>1103</v>
      </c>
      <c r="F88" s="84">
        <v>173.48</v>
      </c>
      <c r="G88" s="73" t="s">
        <v>829</v>
      </c>
      <c r="H88" s="73"/>
      <c r="I88" s="73"/>
      <c r="J88" s="73"/>
      <c r="K88" s="73"/>
      <c r="L88" s="73"/>
      <c r="M88" s="73"/>
      <c r="N88" s="73"/>
      <c r="O88" s="75">
        <f>SUM(TABELA23[[#This Row],[T1]:[T7]])</f>
        <v>0</v>
      </c>
      <c r="P88" s="76">
        <f>TABELA23[[#This Row],[QTDE]]*TABELA23[[#This Row],[PREÇO]]</f>
        <v>0</v>
      </c>
    </row>
    <row r="89" spans="1:16" x14ac:dyDescent="0.2">
      <c r="A89" s="70" t="s">
        <v>1109</v>
      </c>
      <c r="B89" s="71" t="s">
        <v>1105</v>
      </c>
      <c r="C89" s="72" t="s">
        <v>1107</v>
      </c>
      <c r="D89" s="73" t="s">
        <v>1106</v>
      </c>
      <c r="E89" s="73" t="s">
        <v>1108</v>
      </c>
      <c r="F89" s="84">
        <v>212.61</v>
      </c>
      <c r="G89" s="73" t="s">
        <v>829</v>
      </c>
      <c r="H89" s="73"/>
      <c r="I89" s="73"/>
      <c r="J89" s="73"/>
      <c r="K89" s="73"/>
      <c r="L89" s="73"/>
      <c r="M89" s="73"/>
      <c r="N89" s="73"/>
      <c r="O89" s="75">
        <f>SUM(TABELA23[[#This Row],[T1]:[T7]])</f>
        <v>0</v>
      </c>
      <c r="P89" s="76">
        <f>TABELA23[[#This Row],[QTDE]]*TABELA23[[#This Row],[PREÇO]]</f>
        <v>0</v>
      </c>
    </row>
    <row r="90" spans="1:16" x14ac:dyDescent="0.2">
      <c r="A90" s="70" t="s">
        <v>1114</v>
      </c>
      <c r="B90" s="71" t="s">
        <v>1110</v>
      </c>
      <c r="C90" s="72" t="s">
        <v>1112</v>
      </c>
      <c r="D90" s="73" t="s">
        <v>1111</v>
      </c>
      <c r="E90" s="73" t="s">
        <v>1113</v>
      </c>
      <c r="F90" s="84">
        <v>203.91</v>
      </c>
      <c r="G90" s="73" t="s">
        <v>829</v>
      </c>
      <c r="H90" s="73"/>
      <c r="I90" s="73"/>
      <c r="J90" s="73"/>
      <c r="K90" s="73"/>
      <c r="L90" s="73"/>
      <c r="M90" s="73"/>
      <c r="N90" s="73"/>
      <c r="O90" s="75">
        <f>SUM(TABELA23[[#This Row],[T1]:[T7]])</f>
        <v>0</v>
      </c>
      <c r="P90" s="76">
        <f>TABELA23[[#This Row],[QTDE]]*TABELA23[[#This Row],[PREÇO]]</f>
        <v>0</v>
      </c>
    </row>
    <row r="91" spans="1:16" x14ac:dyDescent="0.2">
      <c r="A91" s="70" t="s">
        <v>1117</v>
      </c>
      <c r="B91" s="71" t="s">
        <v>1115</v>
      </c>
      <c r="C91" s="72" t="s">
        <v>1116</v>
      </c>
      <c r="D91" s="73" t="s">
        <v>32</v>
      </c>
      <c r="E91" s="73" t="s">
        <v>33</v>
      </c>
      <c r="F91" s="84">
        <v>208.26</v>
      </c>
      <c r="G91" s="73" t="s">
        <v>829</v>
      </c>
      <c r="H91" s="73"/>
      <c r="I91" s="73"/>
      <c r="J91" s="73"/>
      <c r="K91" s="73"/>
      <c r="L91" s="73"/>
      <c r="M91" s="73"/>
      <c r="N91" s="73"/>
      <c r="O91" s="75">
        <f>SUM(TABELA23[[#This Row],[T1]:[T7]])</f>
        <v>0</v>
      </c>
      <c r="P91" s="76">
        <f>TABELA23[[#This Row],[QTDE]]*TABELA23[[#This Row],[PREÇO]]</f>
        <v>0</v>
      </c>
    </row>
    <row r="92" spans="1:16" x14ac:dyDescent="0.2">
      <c r="A92" s="70" t="s">
        <v>1120</v>
      </c>
      <c r="B92" s="71" t="s">
        <v>1115</v>
      </c>
      <c r="C92" s="72" t="s">
        <v>1116</v>
      </c>
      <c r="D92" s="73" t="s">
        <v>1118</v>
      </c>
      <c r="E92" s="73" t="s">
        <v>1119</v>
      </c>
      <c r="F92" s="84">
        <v>208.26</v>
      </c>
      <c r="G92" s="73" t="s">
        <v>829</v>
      </c>
      <c r="H92" s="73"/>
      <c r="I92" s="73"/>
      <c r="J92" s="73"/>
      <c r="K92" s="73"/>
      <c r="L92" s="73"/>
      <c r="M92" s="73"/>
      <c r="N92" s="73"/>
      <c r="O92" s="75">
        <f>SUM(TABELA23[[#This Row],[T1]:[T7]])</f>
        <v>0</v>
      </c>
      <c r="P92" s="76">
        <f>TABELA23[[#This Row],[QTDE]]*TABELA23[[#This Row],[PREÇO]]</f>
        <v>0</v>
      </c>
    </row>
    <row r="93" spans="1:16" x14ac:dyDescent="0.2">
      <c r="A93" s="70" t="s">
        <v>1123</v>
      </c>
      <c r="B93" s="71" t="s">
        <v>1121</v>
      </c>
      <c r="C93" s="72" t="s">
        <v>1122</v>
      </c>
      <c r="D93" s="73" t="s">
        <v>1106</v>
      </c>
      <c r="E93" s="73" t="s">
        <v>1108</v>
      </c>
      <c r="F93" s="84">
        <v>108.26</v>
      </c>
      <c r="G93" s="73" t="s">
        <v>829</v>
      </c>
      <c r="H93" s="73"/>
      <c r="I93" s="73"/>
      <c r="J93" s="73"/>
      <c r="K93" s="73"/>
      <c r="L93" s="73"/>
      <c r="M93" s="73"/>
      <c r="N93" s="73"/>
      <c r="O93" s="75">
        <f>SUM(TABELA23[[#This Row],[T1]:[T7]])</f>
        <v>0</v>
      </c>
      <c r="P93" s="76">
        <f>TABELA23[[#This Row],[QTDE]]*TABELA23[[#This Row],[PREÇO]]</f>
        <v>0</v>
      </c>
    </row>
    <row r="94" spans="1:16" x14ac:dyDescent="0.2">
      <c r="A94" s="70" t="s">
        <v>1126</v>
      </c>
      <c r="B94" s="71" t="s">
        <v>1124</v>
      </c>
      <c r="C94" s="72" t="s">
        <v>1125</v>
      </c>
      <c r="D94" s="73" t="s">
        <v>1111</v>
      </c>
      <c r="E94" s="73" t="s">
        <v>1113</v>
      </c>
      <c r="F94" s="84">
        <v>116.96</v>
      </c>
      <c r="G94" s="73" t="s">
        <v>829</v>
      </c>
      <c r="H94" s="73"/>
      <c r="I94" s="73"/>
      <c r="J94" s="73"/>
      <c r="K94" s="73"/>
      <c r="L94" s="73"/>
      <c r="M94" s="73"/>
      <c r="N94" s="73"/>
      <c r="O94" s="75">
        <f>SUM(TABELA23[[#This Row],[T1]:[T7]])</f>
        <v>0</v>
      </c>
      <c r="P94" s="76">
        <f>TABELA23[[#This Row],[QTDE]]*TABELA23[[#This Row],[PREÇO]]</f>
        <v>0</v>
      </c>
    </row>
    <row r="95" spans="1:16" x14ac:dyDescent="0.2">
      <c r="A95" s="70" t="s">
        <v>1129</v>
      </c>
      <c r="B95" s="71" t="s">
        <v>1127</v>
      </c>
      <c r="C95" s="72" t="s">
        <v>1128</v>
      </c>
      <c r="D95" s="73" t="s">
        <v>929</v>
      </c>
      <c r="E95" s="73" t="s">
        <v>931</v>
      </c>
      <c r="F95" s="84">
        <v>143.04</v>
      </c>
      <c r="G95" s="73" t="s">
        <v>829</v>
      </c>
      <c r="H95" s="73"/>
      <c r="I95" s="73"/>
      <c r="J95" s="73"/>
      <c r="K95" s="73"/>
      <c r="L95" s="73"/>
      <c r="M95" s="73"/>
      <c r="N95" s="73"/>
      <c r="O95" s="75">
        <f>SUM(TABELA23[[#This Row],[T1]:[T7]])</f>
        <v>0</v>
      </c>
      <c r="P95" s="76">
        <f>TABELA23[[#This Row],[QTDE]]*TABELA23[[#This Row],[PREÇO]]</f>
        <v>0</v>
      </c>
    </row>
    <row r="96" spans="1:16" x14ac:dyDescent="0.2">
      <c r="A96" s="70" t="s">
        <v>1132</v>
      </c>
      <c r="B96" s="71" t="s">
        <v>1130</v>
      </c>
      <c r="C96" s="72" t="s">
        <v>1131</v>
      </c>
      <c r="D96" s="73" t="s">
        <v>32</v>
      </c>
      <c r="E96" s="73" t="s">
        <v>33</v>
      </c>
      <c r="F96" s="84">
        <v>151.74</v>
      </c>
      <c r="G96" s="73" t="s">
        <v>829</v>
      </c>
      <c r="H96" s="73"/>
      <c r="I96" s="73"/>
      <c r="J96" s="73"/>
      <c r="K96" s="73"/>
      <c r="L96" s="73"/>
      <c r="M96" s="73"/>
      <c r="N96" s="73"/>
      <c r="O96" s="75">
        <f>SUM(TABELA23[[#This Row],[T1]:[T7]])</f>
        <v>0</v>
      </c>
      <c r="P96" s="76">
        <f>TABELA23[[#This Row],[QTDE]]*TABELA23[[#This Row],[PREÇO]]</f>
        <v>0</v>
      </c>
    </row>
    <row r="97" spans="1:16" x14ac:dyDescent="0.2">
      <c r="A97" s="70" t="s">
        <v>1135</v>
      </c>
      <c r="B97" s="71" t="s">
        <v>1130</v>
      </c>
      <c r="C97" s="72" t="s">
        <v>1131</v>
      </c>
      <c r="D97" s="73" t="s">
        <v>1133</v>
      </c>
      <c r="E97" s="73" t="s">
        <v>1134</v>
      </c>
      <c r="F97" s="84">
        <v>151.74</v>
      </c>
      <c r="G97" s="73" t="s">
        <v>829</v>
      </c>
      <c r="H97" s="73"/>
      <c r="I97" s="73"/>
      <c r="J97" s="73"/>
      <c r="K97" s="73"/>
      <c r="L97" s="73"/>
      <c r="M97" s="73"/>
      <c r="N97" s="73"/>
      <c r="O97" s="75">
        <f>SUM(TABELA23[[#This Row],[T1]:[T7]])</f>
        <v>0</v>
      </c>
      <c r="P97" s="76">
        <f>TABELA23[[#This Row],[QTDE]]*TABELA23[[#This Row],[PREÇO]]</f>
        <v>0</v>
      </c>
    </row>
    <row r="98" spans="1:16" x14ac:dyDescent="0.2">
      <c r="A98" s="70" t="s">
        <v>1139</v>
      </c>
      <c r="B98" s="71" t="s">
        <v>1136</v>
      </c>
      <c r="C98" s="72" t="s">
        <v>1137</v>
      </c>
      <c r="D98" s="73" t="s">
        <v>1133</v>
      </c>
      <c r="E98" s="73" t="s">
        <v>1134</v>
      </c>
      <c r="F98" s="84">
        <v>121.3</v>
      </c>
      <c r="G98" s="73" t="s">
        <v>829</v>
      </c>
      <c r="H98" s="73"/>
      <c r="I98" s="73"/>
      <c r="J98" s="73"/>
      <c r="K98" s="73"/>
      <c r="L98" s="73"/>
      <c r="M98" s="73"/>
      <c r="N98" s="73"/>
      <c r="O98" s="75">
        <f>SUM(TABELA23[[#This Row],[T1]:[T7]])</f>
        <v>0</v>
      </c>
      <c r="P98" s="76">
        <f>TABELA23[[#This Row],[QTDE]]*TABELA23[[#This Row],[PREÇO]]</f>
        <v>0</v>
      </c>
    </row>
    <row r="99" spans="1:16" x14ac:dyDescent="0.2">
      <c r="A99" s="70" t="s">
        <v>1138</v>
      </c>
      <c r="B99" s="71" t="s">
        <v>1136</v>
      </c>
      <c r="C99" s="72" t="s">
        <v>1137</v>
      </c>
      <c r="D99" s="73" t="s">
        <v>32</v>
      </c>
      <c r="E99" s="73" t="s">
        <v>33</v>
      </c>
      <c r="F99" s="84">
        <v>121.3</v>
      </c>
      <c r="G99" s="73" t="s">
        <v>829</v>
      </c>
      <c r="H99" s="73"/>
      <c r="I99" s="73"/>
      <c r="J99" s="73"/>
      <c r="K99" s="73"/>
      <c r="L99" s="73"/>
      <c r="M99" s="73"/>
      <c r="N99" s="73"/>
      <c r="O99" s="75">
        <f>SUM(TABELA23[[#This Row],[T1]:[T7]])</f>
        <v>0</v>
      </c>
      <c r="P99" s="76">
        <f>TABELA23[[#This Row],[QTDE]]*TABELA23[[#This Row],[PREÇO]]</f>
        <v>0</v>
      </c>
    </row>
    <row r="100" spans="1:16" x14ac:dyDescent="0.2">
      <c r="A100" s="70" t="s">
        <v>1142</v>
      </c>
      <c r="B100" s="71" t="s">
        <v>1140</v>
      </c>
      <c r="C100" s="72" t="s">
        <v>1141</v>
      </c>
      <c r="D100" s="73" t="s">
        <v>929</v>
      </c>
      <c r="E100" s="73" t="s">
        <v>931</v>
      </c>
      <c r="F100" s="84">
        <v>173.48</v>
      </c>
      <c r="G100" s="73" t="s">
        <v>829</v>
      </c>
      <c r="H100" s="73"/>
      <c r="I100" s="73"/>
      <c r="J100" s="73"/>
      <c r="K100" s="73"/>
      <c r="L100" s="73"/>
      <c r="M100" s="73"/>
      <c r="N100" s="73"/>
      <c r="O100" s="75">
        <f>SUM(TABELA23[[#This Row],[T1]:[T7]])</f>
        <v>0</v>
      </c>
      <c r="P100" s="76">
        <f>TABELA23[[#This Row],[QTDE]]*TABELA23[[#This Row],[PREÇO]]</f>
        <v>0</v>
      </c>
    </row>
    <row r="101" spans="1:16" x14ac:dyDescent="0.2">
      <c r="A101" s="70" t="s">
        <v>1145</v>
      </c>
      <c r="B101" s="71" t="s">
        <v>1143</v>
      </c>
      <c r="C101" s="72" t="s">
        <v>1144</v>
      </c>
      <c r="D101" s="73" t="s">
        <v>1106</v>
      </c>
      <c r="E101" s="73" t="s">
        <v>1108</v>
      </c>
      <c r="F101" s="84">
        <v>156.09</v>
      </c>
      <c r="G101" s="73" t="s">
        <v>829</v>
      </c>
      <c r="H101" s="73"/>
      <c r="I101" s="73"/>
      <c r="J101" s="73"/>
      <c r="K101" s="73"/>
      <c r="L101" s="73"/>
      <c r="M101" s="73"/>
      <c r="N101" s="73"/>
      <c r="O101" s="75">
        <f>SUM(TABELA23[[#This Row],[T1]:[T7]])</f>
        <v>0</v>
      </c>
      <c r="P101" s="76">
        <f>TABELA23[[#This Row],[QTDE]]*TABELA23[[#This Row],[PREÇO]]</f>
        <v>0</v>
      </c>
    </row>
    <row r="102" spans="1:16" x14ac:dyDescent="0.2">
      <c r="A102" s="70" t="s">
        <v>1148</v>
      </c>
      <c r="B102" s="71" t="s">
        <v>1146</v>
      </c>
      <c r="C102" s="72" t="s">
        <v>1147</v>
      </c>
      <c r="D102" s="73" t="s">
        <v>1111</v>
      </c>
      <c r="E102" s="73" t="s">
        <v>1113</v>
      </c>
      <c r="F102" s="84">
        <v>173.48</v>
      </c>
      <c r="G102" s="73" t="s">
        <v>829</v>
      </c>
      <c r="H102" s="73"/>
      <c r="I102" s="73"/>
      <c r="J102" s="73"/>
      <c r="K102" s="73"/>
      <c r="L102" s="73"/>
      <c r="M102" s="73"/>
      <c r="N102" s="73"/>
      <c r="O102" s="75">
        <f>SUM(TABELA23[[#This Row],[T1]:[T7]])</f>
        <v>0</v>
      </c>
      <c r="P102" s="76">
        <f>TABELA23[[#This Row],[QTDE]]*TABELA23[[#This Row],[PREÇO]]</f>
        <v>0</v>
      </c>
    </row>
    <row r="103" spans="1:16" x14ac:dyDescent="0.2">
      <c r="A103" s="70" t="s">
        <v>1151</v>
      </c>
      <c r="B103" s="71" t="s">
        <v>1149</v>
      </c>
      <c r="C103" s="72" t="s">
        <v>1150</v>
      </c>
      <c r="D103" s="73" t="s">
        <v>1064</v>
      </c>
      <c r="E103" s="73" t="s">
        <v>1066</v>
      </c>
      <c r="F103" s="84">
        <v>390.87</v>
      </c>
      <c r="G103" s="73" t="s">
        <v>829</v>
      </c>
      <c r="H103" s="73"/>
      <c r="I103" s="73"/>
      <c r="J103" s="73"/>
      <c r="K103" s="73"/>
      <c r="L103" s="73"/>
      <c r="M103" s="73"/>
      <c r="N103" s="73"/>
      <c r="O103" s="75">
        <f>SUM(TABELA23[[#This Row],[T1]:[T7]])</f>
        <v>0</v>
      </c>
      <c r="P103" s="76">
        <f>TABELA23[[#This Row],[QTDE]]*TABELA23[[#This Row],[PREÇO]]</f>
        <v>0</v>
      </c>
    </row>
    <row r="104" spans="1:16" x14ac:dyDescent="0.2">
      <c r="A104" s="70" t="s">
        <v>1152</v>
      </c>
      <c r="B104" s="71" t="s">
        <v>1149</v>
      </c>
      <c r="C104" s="72" t="s">
        <v>1150</v>
      </c>
      <c r="D104" s="73" t="s">
        <v>1068</v>
      </c>
      <c r="E104" s="73" t="s">
        <v>1069</v>
      </c>
      <c r="F104" s="84">
        <v>390.87</v>
      </c>
      <c r="G104" s="73" t="s">
        <v>829</v>
      </c>
      <c r="H104" s="73"/>
      <c r="I104" s="73"/>
      <c r="J104" s="73"/>
      <c r="K104" s="73"/>
      <c r="L104" s="73"/>
      <c r="M104" s="73"/>
      <c r="N104" s="73"/>
      <c r="O104" s="75">
        <f>SUM(TABELA23[[#This Row],[T1]:[T7]])</f>
        <v>0</v>
      </c>
      <c r="P104" s="76">
        <f>TABELA23[[#This Row],[QTDE]]*TABELA23[[#This Row],[PREÇO]]</f>
        <v>0</v>
      </c>
    </row>
    <row r="105" spans="1:16" x14ac:dyDescent="0.2">
      <c r="A105" s="70" t="s">
        <v>1155</v>
      </c>
      <c r="B105" s="71" t="s">
        <v>1153</v>
      </c>
      <c r="C105" s="72" t="s">
        <v>1154</v>
      </c>
      <c r="D105" s="73" t="s">
        <v>821</v>
      </c>
      <c r="E105" s="73" t="s">
        <v>822</v>
      </c>
      <c r="F105" s="84">
        <v>330</v>
      </c>
      <c r="G105" s="73" t="s">
        <v>829</v>
      </c>
      <c r="H105" s="73"/>
      <c r="I105" s="73"/>
      <c r="J105" s="73"/>
      <c r="K105" s="73"/>
      <c r="L105" s="73"/>
      <c r="M105" s="73"/>
      <c r="N105" s="73"/>
      <c r="O105" s="75">
        <f>SUM(TABELA23[[#This Row],[T1]:[T7]])</f>
        <v>0</v>
      </c>
      <c r="P105" s="76">
        <f>TABELA23[[#This Row],[QTDE]]*TABELA23[[#This Row],[PREÇO]]</f>
        <v>0</v>
      </c>
    </row>
    <row r="106" spans="1:16" x14ac:dyDescent="0.2">
      <c r="A106" s="70" t="s">
        <v>1158</v>
      </c>
      <c r="B106" s="71" t="s">
        <v>1156</v>
      </c>
      <c r="C106" s="72" t="s">
        <v>1157</v>
      </c>
      <c r="D106" s="73" t="s">
        <v>924</v>
      </c>
      <c r="E106" s="73" t="s">
        <v>926</v>
      </c>
      <c r="F106" s="84">
        <v>216.96</v>
      </c>
      <c r="G106" s="73" t="s">
        <v>829</v>
      </c>
      <c r="H106" s="73"/>
      <c r="I106" s="73"/>
      <c r="J106" s="73"/>
      <c r="K106" s="73"/>
      <c r="L106" s="73"/>
      <c r="M106" s="73"/>
      <c r="N106" s="73"/>
      <c r="O106" s="75">
        <f>SUM(TABELA23[[#This Row],[T1]:[T7]])</f>
        <v>0</v>
      </c>
      <c r="P106" s="76">
        <f>TABELA23[[#This Row],[QTDE]]*TABELA23[[#This Row],[PREÇO]]</f>
        <v>0</v>
      </c>
    </row>
    <row r="107" spans="1:16" x14ac:dyDescent="0.2">
      <c r="A107" s="70" t="s">
        <v>1162</v>
      </c>
      <c r="B107" s="71" t="s">
        <v>1159</v>
      </c>
      <c r="C107" s="72" t="s">
        <v>1160</v>
      </c>
      <c r="D107" s="73" t="s">
        <v>888</v>
      </c>
      <c r="E107" s="73" t="s">
        <v>1161</v>
      </c>
      <c r="F107" s="84">
        <v>203.91</v>
      </c>
      <c r="G107" s="73" t="s">
        <v>829</v>
      </c>
      <c r="H107" s="73"/>
      <c r="I107" s="73"/>
      <c r="J107" s="73"/>
      <c r="K107" s="73"/>
      <c r="L107" s="73"/>
      <c r="M107" s="73"/>
      <c r="N107" s="73"/>
      <c r="O107" s="75">
        <f>SUM(TABELA23[[#This Row],[T1]:[T7]])</f>
        <v>0</v>
      </c>
      <c r="P107" s="76">
        <f>TABELA23[[#This Row],[QTDE]]*TABELA23[[#This Row],[PREÇO]]</f>
        <v>0</v>
      </c>
    </row>
    <row r="108" spans="1:16" x14ac:dyDescent="0.2">
      <c r="A108" s="70" t="s">
        <v>1167</v>
      </c>
      <c r="B108" s="71" t="s">
        <v>1163</v>
      </c>
      <c r="C108" s="72" t="s">
        <v>1165</v>
      </c>
      <c r="D108" s="73" t="s">
        <v>1164</v>
      </c>
      <c r="E108" s="73" t="s">
        <v>1166</v>
      </c>
      <c r="F108" s="84">
        <v>125.65</v>
      </c>
      <c r="G108" s="73" t="s">
        <v>829</v>
      </c>
      <c r="H108" s="73"/>
      <c r="I108" s="73"/>
      <c r="J108" s="73"/>
      <c r="K108" s="73"/>
      <c r="L108" s="73"/>
      <c r="M108" s="73"/>
      <c r="N108" s="73"/>
      <c r="O108" s="75">
        <f>SUM(TABELA23[[#This Row],[T1]:[T7]])</f>
        <v>0</v>
      </c>
      <c r="P108" s="76">
        <f>TABELA23[[#This Row],[QTDE]]*TABELA23[[#This Row],[PREÇO]]</f>
        <v>0</v>
      </c>
    </row>
    <row r="109" spans="1:16" x14ac:dyDescent="0.2">
      <c r="A109" s="70" t="s">
        <v>1168</v>
      </c>
      <c r="B109" s="71" t="s">
        <v>1169</v>
      </c>
      <c r="C109" s="72" t="s">
        <v>1170</v>
      </c>
      <c r="D109" s="73" t="s">
        <v>824</v>
      </c>
      <c r="E109" s="73" t="s">
        <v>825</v>
      </c>
      <c r="F109" s="84">
        <v>251.74</v>
      </c>
      <c r="G109" s="73" t="s">
        <v>826</v>
      </c>
      <c r="H109" s="73"/>
      <c r="I109" s="73"/>
      <c r="J109" s="73"/>
      <c r="K109" s="73"/>
      <c r="L109" s="73"/>
      <c r="M109" s="73"/>
      <c r="N109" s="73"/>
      <c r="O109" s="75">
        <f>SUM(TABELA23[[#This Row],[T1]:[T7]])</f>
        <v>0</v>
      </c>
      <c r="P109" s="76">
        <f>TABELA23[[#This Row],[QTDE]]*TABELA23[[#This Row],[PREÇO]]</f>
        <v>0</v>
      </c>
    </row>
    <row r="110" spans="1:16" x14ac:dyDescent="0.2">
      <c r="A110" s="70" t="s">
        <v>1171</v>
      </c>
      <c r="B110" s="71" t="s">
        <v>1172</v>
      </c>
      <c r="C110" s="72" t="s">
        <v>1174</v>
      </c>
      <c r="D110" s="73" t="s">
        <v>1173</v>
      </c>
      <c r="E110" s="73" t="s">
        <v>1175</v>
      </c>
      <c r="F110" s="84">
        <v>238.7</v>
      </c>
      <c r="G110" s="73" t="s">
        <v>826</v>
      </c>
      <c r="H110" s="73"/>
      <c r="I110" s="73"/>
      <c r="J110" s="73"/>
      <c r="K110" s="73"/>
      <c r="L110" s="73"/>
      <c r="M110" s="73"/>
      <c r="N110" s="73"/>
      <c r="O110" s="75">
        <f>SUM(TABELA23[[#This Row],[T1]:[T7]])</f>
        <v>0</v>
      </c>
      <c r="P110" s="76">
        <f>TABELA23[[#This Row],[QTDE]]*TABELA23[[#This Row],[PREÇO]]</f>
        <v>0</v>
      </c>
    </row>
    <row r="111" spans="1:16" x14ac:dyDescent="0.2">
      <c r="A111" s="70" t="s">
        <v>1176</v>
      </c>
      <c r="B111" s="71" t="s">
        <v>1177</v>
      </c>
      <c r="C111" s="72" t="s">
        <v>1178</v>
      </c>
      <c r="D111" s="73" t="s">
        <v>32</v>
      </c>
      <c r="E111" s="73" t="s">
        <v>33</v>
      </c>
      <c r="F111" s="84">
        <v>156.09</v>
      </c>
      <c r="G111" s="73" t="s">
        <v>826</v>
      </c>
      <c r="H111" s="73"/>
      <c r="I111" s="73"/>
      <c r="J111" s="73"/>
      <c r="K111" s="73"/>
      <c r="L111" s="73"/>
      <c r="M111" s="73"/>
      <c r="N111" s="73"/>
      <c r="O111" s="75">
        <f>SUM(TABELA23[[#This Row],[T1]:[T7]])</f>
        <v>0</v>
      </c>
      <c r="P111" s="76">
        <f>TABELA23[[#This Row],[QTDE]]*TABELA23[[#This Row],[PREÇO]]</f>
        <v>0</v>
      </c>
    </row>
    <row r="112" spans="1:16" x14ac:dyDescent="0.2">
      <c r="A112" s="70" t="s">
        <v>1179</v>
      </c>
      <c r="B112" s="71" t="s">
        <v>1177</v>
      </c>
      <c r="C112" s="72" t="s">
        <v>1178</v>
      </c>
      <c r="D112" s="73" t="s">
        <v>830</v>
      </c>
      <c r="E112" s="73" t="s">
        <v>43</v>
      </c>
      <c r="F112" s="84">
        <v>156.09</v>
      </c>
      <c r="G112" s="73" t="s">
        <v>826</v>
      </c>
      <c r="H112" s="73"/>
      <c r="I112" s="73"/>
      <c r="J112" s="73"/>
      <c r="K112" s="73"/>
      <c r="L112" s="73"/>
      <c r="M112" s="73"/>
      <c r="N112" s="73"/>
      <c r="O112" s="75">
        <f>SUM(TABELA23[[#This Row],[T1]:[T7]])</f>
        <v>0</v>
      </c>
      <c r="P112" s="76">
        <f>TABELA23[[#This Row],[QTDE]]*TABELA23[[#This Row],[PREÇO]]</f>
        <v>0</v>
      </c>
    </row>
    <row r="113" spans="1:16" x14ac:dyDescent="0.2">
      <c r="A113" s="70" t="s">
        <v>1180</v>
      </c>
      <c r="B113" s="71" t="s">
        <v>1181</v>
      </c>
      <c r="C113" s="72" t="s">
        <v>1182</v>
      </c>
      <c r="D113" s="73" t="s">
        <v>32</v>
      </c>
      <c r="E113" s="73" t="s">
        <v>33</v>
      </c>
      <c r="F113" s="84">
        <v>164.78</v>
      </c>
      <c r="G113" s="73" t="s">
        <v>17</v>
      </c>
      <c r="H113" s="73"/>
      <c r="I113" s="73"/>
      <c r="J113" s="73"/>
      <c r="K113" s="73"/>
      <c r="L113" s="73"/>
      <c r="M113" s="73"/>
      <c r="N113" s="73"/>
      <c r="O113" s="75">
        <f>SUM(TABELA23[[#This Row],[T1]:[T7]])</f>
        <v>0</v>
      </c>
      <c r="P113" s="76">
        <f>TABELA23[[#This Row],[QTDE]]*TABELA23[[#This Row],[PREÇO]]</f>
        <v>0</v>
      </c>
    </row>
    <row r="114" spans="1:16" x14ac:dyDescent="0.2">
      <c r="A114" s="70" t="s">
        <v>1183</v>
      </c>
      <c r="B114" s="71" t="s">
        <v>1181</v>
      </c>
      <c r="C114" s="72" t="s">
        <v>1182</v>
      </c>
      <c r="D114" s="73" t="s">
        <v>830</v>
      </c>
      <c r="E114" s="73" t="s">
        <v>43</v>
      </c>
      <c r="F114" s="84">
        <v>164.78</v>
      </c>
      <c r="G114" s="73" t="s">
        <v>17</v>
      </c>
      <c r="H114" s="73"/>
      <c r="I114" s="73"/>
      <c r="J114" s="73"/>
      <c r="K114" s="73"/>
      <c r="L114" s="73"/>
      <c r="M114" s="73"/>
      <c r="N114" s="73"/>
      <c r="O114" s="75">
        <f>SUM(TABELA23[[#This Row],[T1]:[T7]])</f>
        <v>0</v>
      </c>
      <c r="P114" s="76">
        <f>TABELA23[[#This Row],[QTDE]]*TABELA23[[#This Row],[PREÇO]]</f>
        <v>0</v>
      </c>
    </row>
    <row r="115" spans="1:16" x14ac:dyDescent="0.2">
      <c r="A115" s="70" t="s">
        <v>1186</v>
      </c>
      <c r="B115" s="71" t="s">
        <v>1185</v>
      </c>
      <c r="C115" s="72" t="s">
        <v>841</v>
      </c>
      <c r="D115" s="73" t="s">
        <v>830</v>
      </c>
      <c r="E115" s="73" t="s">
        <v>43</v>
      </c>
      <c r="F115" s="84">
        <v>121.3</v>
      </c>
      <c r="G115" s="73" t="s">
        <v>829</v>
      </c>
      <c r="H115" s="73"/>
      <c r="I115" s="73"/>
      <c r="J115" s="73"/>
      <c r="K115" s="73"/>
      <c r="L115" s="73"/>
      <c r="M115" s="73"/>
      <c r="N115" s="73"/>
      <c r="O115" s="75">
        <f>SUM(TABELA23[[#This Row],[T1]:[T7]])</f>
        <v>0</v>
      </c>
      <c r="P115" s="76">
        <f>TABELA23[[#This Row],[QTDE]]*TABELA23[[#This Row],[PREÇO]]</f>
        <v>0</v>
      </c>
    </row>
    <row r="116" spans="1:16" x14ac:dyDescent="0.2">
      <c r="A116" s="70" t="s">
        <v>1187</v>
      </c>
      <c r="B116" s="71" t="s">
        <v>1185</v>
      </c>
      <c r="C116" s="72" t="s">
        <v>841</v>
      </c>
      <c r="D116" s="73" t="s">
        <v>1118</v>
      </c>
      <c r="E116" s="73" t="s">
        <v>1119</v>
      </c>
      <c r="F116" s="84">
        <v>121.3</v>
      </c>
      <c r="G116" s="73" t="s">
        <v>829</v>
      </c>
      <c r="H116" s="73"/>
      <c r="I116" s="73"/>
      <c r="J116" s="73"/>
      <c r="K116" s="73"/>
      <c r="L116" s="73"/>
      <c r="M116" s="73"/>
      <c r="N116" s="73"/>
      <c r="O116" s="75">
        <f>SUM(TABELA23[[#This Row],[T1]:[T7]])</f>
        <v>0</v>
      </c>
      <c r="P116" s="76">
        <f>TABELA23[[#This Row],[QTDE]]*TABELA23[[#This Row],[PREÇO]]</f>
        <v>0</v>
      </c>
    </row>
    <row r="117" spans="1:16" x14ac:dyDescent="0.2">
      <c r="A117" s="70" t="s">
        <v>1188</v>
      </c>
      <c r="B117" s="71" t="s">
        <v>1185</v>
      </c>
      <c r="C117" s="72" t="s">
        <v>841</v>
      </c>
      <c r="D117" s="73" t="s">
        <v>1164</v>
      </c>
      <c r="E117" s="73" t="s">
        <v>1166</v>
      </c>
      <c r="F117" s="84">
        <v>121.3</v>
      </c>
      <c r="G117" s="73" t="s">
        <v>829</v>
      </c>
      <c r="H117" s="73"/>
      <c r="I117" s="73"/>
      <c r="J117" s="73"/>
      <c r="K117" s="73"/>
      <c r="L117" s="73"/>
      <c r="M117" s="73"/>
      <c r="N117" s="73"/>
      <c r="O117" s="75">
        <f>SUM(TABELA23[[#This Row],[T1]:[T7]])</f>
        <v>0</v>
      </c>
      <c r="P117" s="76">
        <f>TABELA23[[#This Row],[QTDE]]*TABELA23[[#This Row],[PREÇO]]</f>
        <v>0</v>
      </c>
    </row>
    <row r="118" spans="1:16" x14ac:dyDescent="0.2">
      <c r="A118" s="70" t="s">
        <v>1190</v>
      </c>
      <c r="B118" s="71" t="s">
        <v>1189</v>
      </c>
      <c r="C118" s="72" t="s">
        <v>833</v>
      </c>
      <c r="D118" s="73" t="s">
        <v>1118</v>
      </c>
      <c r="E118" s="73" t="s">
        <v>1119</v>
      </c>
      <c r="F118" s="84">
        <v>208.26</v>
      </c>
      <c r="G118" s="73" t="s">
        <v>829</v>
      </c>
      <c r="H118" s="73"/>
      <c r="I118" s="73"/>
      <c r="J118" s="73"/>
      <c r="K118" s="73"/>
      <c r="L118" s="73"/>
      <c r="M118" s="73"/>
      <c r="N118" s="73"/>
      <c r="O118" s="75">
        <f>SUM(TABELA23[[#This Row],[T1]:[T7]])</f>
        <v>0</v>
      </c>
      <c r="P118" s="76">
        <f>TABELA23[[#This Row],[QTDE]]*TABELA23[[#This Row],[PREÇO]]</f>
        <v>0</v>
      </c>
    </row>
    <row r="119" spans="1:16" x14ac:dyDescent="0.2">
      <c r="A119" s="70" t="s">
        <v>1191</v>
      </c>
      <c r="B119" s="71" t="s">
        <v>1189</v>
      </c>
      <c r="C119" s="72" t="s">
        <v>833</v>
      </c>
      <c r="D119" s="73" t="s">
        <v>914</v>
      </c>
      <c r="E119" s="73" t="s">
        <v>915</v>
      </c>
      <c r="F119" s="84">
        <v>208.26</v>
      </c>
      <c r="G119" s="73" t="s">
        <v>829</v>
      </c>
      <c r="H119" s="73"/>
      <c r="I119" s="73"/>
      <c r="J119" s="73"/>
      <c r="K119" s="73"/>
      <c r="L119" s="73"/>
      <c r="M119" s="73"/>
      <c r="N119" s="73"/>
      <c r="O119" s="75">
        <f>SUM(TABELA23[[#This Row],[T1]:[T7]])</f>
        <v>0</v>
      </c>
      <c r="P119" s="76">
        <f>TABELA23[[#This Row],[QTDE]]*TABELA23[[#This Row],[PREÇO]]</f>
        <v>0</v>
      </c>
    </row>
    <row r="120" spans="1:16" x14ac:dyDescent="0.2">
      <c r="A120" s="70" t="s">
        <v>1196</v>
      </c>
      <c r="B120" s="71" t="s">
        <v>1192</v>
      </c>
      <c r="C120" s="72" t="s">
        <v>1194</v>
      </c>
      <c r="D120" s="73" t="s">
        <v>1193</v>
      </c>
      <c r="E120" s="73" t="s">
        <v>1195</v>
      </c>
      <c r="F120" s="84">
        <v>216.96</v>
      </c>
      <c r="G120" s="73" t="s">
        <v>829</v>
      </c>
      <c r="H120" s="73"/>
      <c r="I120" s="73"/>
      <c r="J120" s="73"/>
      <c r="K120" s="73"/>
      <c r="L120" s="73"/>
      <c r="M120" s="73"/>
      <c r="N120" s="73"/>
      <c r="O120" s="75">
        <f>SUM(TABELA23[[#This Row],[T1]:[T7]])</f>
        <v>0</v>
      </c>
      <c r="P120" s="76">
        <f>TABELA23[[#This Row],[QTDE]]*TABELA23[[#This Row],[PREÇO]]</f>
        <v>0</v>
      </c>
    </row>
    <row r="121" spans="1:16" x14ac:dyDescent="0.2">
      <c r="A121" s="70" t="s">
        <v>1199</v>
      </c>
      <c r="B121" s="71" t="s">
        <v>1197</v>
      </c>
      <c r="C121" s="72" t="s">
        <v>1198</v>
      </c>
      <c r="D121" s="73" t="s">
        <v>830</v>
      </c>
      <c r="E121" s="73" t="s">
        <v>43</v>
      </c>
      <c r="F121" s="84">
        <v>216.96</v>
      </c>
      <c r="G121" s="73" t="s">
        <v>829</v>
      </c>
      <c r="H121" s="73"/>
      <c r="I121" s="73"/>
      <c r="J121" s="73"/>
      <c r="K121" s="73"/>
      <c r="L121" s="73"/>
      <c r="M121" s="73"/>
      <c r="N121" s="73"/>
      <c r="O121" s="75">
        <f>SUM(TABELA23[[#This Row],[T1]:[T7]])</f>
        <v>0</v>
      </c>
      <c r="P121" s="76">
        <f>TABELA23[[#This Row],[QTDE]]*TABELA23[[#This Row],[PREÇO]]</f>
        <v>0</v>
      </c>
    </row>
    <row r="122" spans="1:16" x14ac:dyDescent="0.2">
      <c r="A122" s="70" t="s">
        <v>1202</v>
      </c>
      <c r="B122" s="71" t="s">
        <v>1200</v>
      </c>
      <c r="C122" s="72" t="s">
        <v>1201</v>
      </c>
      <c r="D122" s="73" t="s">
        <v>895</v>
      </c>
      <c r="E122" s="73" t="s">
        <v>896</v>
      </c>
      <c r="F122" s="84">
        <v>234.35</v>
      </c>
      <c r="G122" s="73" t="s">
        <v>829</v>
      </c>
      <c r="H122" s="73"/>
      <c r="I122" s="73"/>
      <c r="J122" s="73"/>
      <c r="K122" s="73"/>
      <c r="L122" s="73"/>
      <c r="M122" s="73"/>
      <c r="N122" s="73"/>
      <c r="O122" s="75">
        <f>SUM(TABELA23[[#This Row],[T1]:[T7]])</f>
        <v>0</v>
      </c>
      <c r="P122" s="76">
        <f>TABELA23[[#This Row],[QTDE]]*TABELA23[[#This Row],[PREÇO]]</f>
        <v>0</v>
      </c>
    </row>
    <row r="123" spans="1:16" x14ac:dyDescent="0.2">
      <c r="A123" s="70" t="s">
        <v>1205</v>
      </c>
      <c r="B123" s="71" t="s">
        <v>1203</v>
      </c>
      <c r="C123" s="72" t="s">
        <v>1204</v>
      </c>
      <c r="D123" s="73" t="s">
        <v>878</v>
      </c>
      <c r="E123" s="73" t="s">
        <v>880</v>
      </c>
      <c r="F123" s="84">
        <v>130</v>
      </c>
      <c r="G123" s="73" t="s">
        <v>829</v>
      </c>
      <c r="H123" s="73"/>
      <c r="I123" s="73"/>
      <c r="J123" s="73"/>
      <c r="K123" s="73"/>
      <c r="L123" s="73"/>
      <c r="M123" s="73"/>
      <c r="N123" s="73"/>
      <c r="O123" s="75">
        <f>SUM(TABELA23[[#This Row],[T1]:[T7]])</f>
        <v>0</v>
      </c>
      <c r="P123" s="76">
        <f>TABELA23[[#This Row],[QTDE]]*TABELA23[[#This Row],[PREÇO]]</f>
        <v>0</v>
      </c>
    </row>
    <row r="124" spans="1:16" x14ac:dyDescent="0.2">
      <c r="A124" s="70" t="s">
        <v>1206</v>
      </c>
      <c r="B124" s="71" t="s">
        <v>1203</v>
      </c>
      <c r="C124" s="72" t="s">
        <v>1204</v>
      </c>
      <c r="D124" s="73" t="s">
        <v>882</v>
      </c>
      <c r="E124" s="73" t="s">
        <v>817</v>
      </c>
      <c r="F124" s="84">
        <v>130</v>
      </c>
      <c r="G124" s="73" t="s">
        <v>829</v>
      </c>
      <c r="H124" s="73"/>
      <c r="I124" s="73"/>
      <c r="J124" s="73"/>
      <c r="K124" s="73"/>
      <c r="L124" s="73"/>
      <c r="M124" s="73"/>
      <c r="N124" s="73"/>
      <c r="O124" s="75">
        <f>SUM(TABELA23[[#This Row],[T1]:[T7]])</f>
        <v>0</v>
      </c>
      <c r="P124" s="76">
        <f>TABELA23[[#This Row],[QTDE]]*TABELA23[[#This Row],[PREÇO]]</f>
        <v>0</v>
      </c>
    </row>
    <row r="125" spans="1:16" x14ac:dyDescent="0.2">
      <c r="A125" s="70" t="s">
        <v>1207</v>
      </c>
      <c r="B125" s="71" t="s">
        <v>1208</v>
      </c>
      <c r="C125" s="72" t="s">
        <v>1209</v>
      </c>
      <c r="D125" s="73" t="s">
        <v>1009</v>
      </c>
      <c r="E125" s="73" t="s">
        <v>1011</v>
      </c>
      <c r="F125" s="84">
        <v>173.48</v>
      </c>
      <c r="G125" s="73" t="s">
        <v>826</v>
      </c>
      <c r="H125" s="73"/>
      <c r="I125" s="73"/>
      <c r="J125" s="73"/>
      <c r="K125" s="73"/>
      <c r="L125" s="73"/>
      <c r="M125" s="73"/>
      <c r="N125" s="73"/>
      <c r="O125" s="75">
        <f>SUM(TABELA23[[#This Row],[T1]:[T7]])</f>
        <v>0</v>
      </c>
      <c r="P125" s="76">
        <f>TABELA23[[#This Row],[QTDE]]*TABELA23[[#This Row],[PREÇO]]</f>
        <v>0</v>
      </c>
    </row>
    <row r="126" spans="1:16" x14ac:dyDescent="0.2">
      <c r="A126" s="70" t="s">
        <v>1210</v>
      </c>
      <c r="B126" s="71" t="s">
        <v>1211</v>
      </c>
      <c r="C126" s="72" t="s">
        <v>831</v>
      </c>
      <c r="D126" s="73" t="s">
        <v>1009</v>
      </c>
      <c r="E126" s="73" t="s">
        <v>1011</v>
      </c>
      <c r="F126" s="84">
        <v>186.52</v>
      </c>
      <c r="G126" s="73" t="s">
        <v>826</v>
      </c>
      <c r="H126" s="73"/>
      <c r="I126" s="73"/>
      <c r="J126" s="73"/>
      <c r="K126" s="73"/>
      <c r="L126" s="73"/>
      <c r="M126" s="73"/>
      <c r="N126" s="73"/>
      <c r="O126" s="75">
        <f>SUM(TABELA23[[#This Row],[T1]:[T7]])</f>
        <v>0</v>
      </c>
      <c r="P126" s="76">
        <f>TABELA23[[#This Row],[QTDE]]*TABELA23[[#This Row],[PREÇO]]</f>
        <v>0</v>
      </c>
    </row>
    <row r="127" spans="1:16" x14ac:dyDescent="0.2">
      <c r="A127" s="70" t="s">
        <v>1212</v>
      </c>
      <c r="B127" s="71" t="s">
        <v>1213</v>
      </c>
      <c r="C127" s="72" t="s">
        <v>1214</v>
      </c>
      <c r="D127" s="73" t="s">
        <v>1009</v>
      </c>
      <c r="E127" s="73" t="s">
        <v>1011</v>
      </c>
      <c r="F127" s="84">
        <v>151.74</v>
      </c>
      <c r="G127" s="73" t="s">
        <v>826</v>
      </c>
      <c r="H127" s="73"/>
      <c r="I127" s="73"/>
      <c r="J127" s="73"/>
      <c r="K127" s="73"/>
      <c r="L127" s="73"/>
      <c r="M127" s="73"/>
      <c r="N127" s="73"/>
      <c r="O127" s="75">
        <f>SUM(TABELA23[[#This Row],[T1]:[T7]])</f>
        <v>0</v>
      </c>
      <c r="P127" s="76">
        <f>TABELA23[[#This Row],[QTDE]]*TABELA23[[#This Row],[PREÇO]]</f>
        <v>0</v>
      </c>
    </row>
    <row r="128" spans="1:16" x14ac:dyDescent="0.2">
      <c r="A128" s="70" t="s">
        <v>1219</v>
      </c>
      <c r="B128" s="71" t="s">
        <v>1215</v>
      </c>
      <c r="C128" s="72" t="s">
        <v>1217</v>
      </c>
      <c r="D128" s="73" t="s">
        <v>1216</v>
      </c>
      <c r="E128" s="73" t="s">
        <v>1218</v>
      </c>
      <c r="F128" s="84">
        <v>199.57</v>
      </c>
      <c r="G128" s="73" t="s">
        <v>829</v>
      </c>
      <c r="H128" s="73"/>
      <c r="I128" s="73"/>
      <c r="J128" s="73"/>
      <c r="K128" s="73"/>
      <c r="L128" s="73"/>
      <c r="M128" s="73"/>
      <c r="N128" s="73"/>
      <c r="O128" s="75">
        <f>SUM(TABELA23[[#This Row],[T1]:[T7]])</f>
        <v>0</v>
      </c>
      <c r="P128" s="76">
        <f>TABELA23[[#This Row],[QTDE]]*TABELA23[[#This Row],[PREÇO]]</f>
        <v>0</v>
      </c>
    </row>
    <row r="129" spans="1:16" x14ac:dyDescent="0.2">
      <c r="A129" s="70" t="s">
        <v>1222</v>
      </c>
      <c r="B129" s="71" t="s">
        <v>1220</v>
      </c>
      <c r="C129" s="72" t="s">
        <v>1221</v>
      </c>
      <c r="D129" s="73" t="s">
        <v>1216</v>
      </c>
      <c r="E129" s="73" t="s">
        <v>1218</v>
      </c>
      <c r="F129" s="84">
        <v>282.17</v>
      </c>
      <c r="G129" s="73" t="s">
        <v>829</v>
      </c>
      <c r="H129" s="73"/>
      <c r="I129" s="73"/>
      <c r="J129" s="73"/>
      <c r="K129" s="73"/>
      <c r="L129" s="73"/>
      <c r="M129" s="73"/>
      <c r="N129" s="73"/>
      <c r="O129" s="75">
        <f>SUM(TABELA23[[#This Row],[T1]:[T7]])</f>
        <v>0</v>
      </c>
      <c r="P129" s="76">
        <f>TABELA23[[#This Row],[QTDE]]*TABELA23[[#This Row],[PREÇO]]</f>
        <v>0</v>
      </c>
    </row>
    <row r="130" spans="1:16" x14ac:dyDescent="0.2">
      <c r="A130" s="70" t="s">
        <v>1225</v>
      </c>
      <c r="B130" s="71" t="s">
        <v>1223</v>
      </c>
      <c r="C130" s="72" t="s">
        <v>1224</v>
      </c>
      <c r="D130" s="73" t="s">
        <v>32</v>
      </c>
      <c r="E130" s="73" t="s">
        <v>33</v>
      </c>
      <c r="F130" s="84">
        <v>143.04</v>
      </c>
      <c r="G130" s="73" t="s">
        <v>829</v>
      </c>
      <c r="H130" s="73"/>
      <c r="I130" s="73"/>
      <c r="J130" s="73"/>
      <c r="K130" s="73"/>
      <c r="L130" s="73"/>
      <c r="M130" s="73"/>
      <c r="N130" s="73"/>
      <c r="O130" s="75">
        <f>SUM(TABELA23[[#This Row],[T1]:[T7]])</f>
        <v>0</v>
      </c>
      <c r="P130" s="76">
        <f>TABELA23[[#This Row],[QTDE]]*TABELA23[[#This Row],[PREÇO]]</f>
        <v>0</v>
      </c>
    </row>
    <row r="131" spans="1:16" x14ac:dyDescent="0.2">
      <c r="A131" s="70" t="s">
        <v>1228</v>
      </c>
      <c r="B131" s="71" t="s">
        <v>1226</v>
      </c>
      <c r="C131" s="72" t="s">
        <v>1227</v>
      </c>
      <c r="D131" s="73" t="s">
        <v>1101</v>
      </c>
      <c r="E131" s="73" t="s">
        <v>1103</v>
      </c>
      <c r="F131" s="84">
        <v>86.52</v>
      </c>
      <c r="G131" s="73" t="s">
        <v>829</v>
      </c>
      <c r="H131" s="73"/>
      <c r="I131" s="73"/>
      <c r="J131" s="73"/>
      <c r="K131" s="73"/>
      <c r="L131" s="73"/>
      <c r="M131" s="73"/>
      <c r="N131" s="73"/>
      <c r="O131" s="75">
        <f>SUM(TABELA23[[#This Row],[T1]:[T7]])</f>
        <v>0</v>
      </c>
      <c r="P131" s="76">
        <f>TABELA23[[#This Row],[QTDE]]*TABELA23[[#This Row],[PREÇO]]</f>
        <v>0</v>
      </c>
    </row>
    <row r="132" spans="1:16" x14ac:dyDescent="0.2">
      <c r="A132" s="70" t="s">
        <v>1231</v>
      </c>
      <c r="B132" s="71" t="s">
        <v>1229</v>
      </c>
      <c r="C132" s="72" t="s">
        <v>1230</v>
      </c>
      <c r="D132" s="73" t="s">
        <v>1193</v>
      </c>
      <c r="E132" s="73" t="s">
        <v>1195</v>
      </c>
      <c r="F132" s="84">
        <v>260.43</v>
      </c>
      <c r="G132" s="73" t="s">
        <v>829</v>
      </c>
      <c r="H132" s="73"/>
      <c r="I132" s="73"/>
      <c r="J132" s="73"/>
      <c r="K132" s="73"/>
      <c r="L132" s="73"/>
      <c r="M132" s="73"/>
      <c r="N132" s="73"/>
      <c r="O132" s="75">
        <f>SUM(TABELA23[[#This Row],[T1]:[T7]])</f>
        <v>0</v>
      </c>
      <c r="P132" s="76">
        <f>TABELA23[[#This Row],[QTDE]]*TABELA23[[#This Row],[PREÇO]]</f>
        <v>0</v>
      </c>
    </row>
    <row r="133" spans="1:16" x14ac:dyDescent="0.2">
      <c r="A133" s="70" t="s">
        <v>1236</v>
      </c>
      <c r="B133" s="71" t="s">
        <v>1232</v>
      </c>
      <c r="C133" s="72" t="s">
        <v>1234</v>
      </c>
      <c r="D133" s="73" t="s">
        <v>1233</v>
      </c>
      <c r="E133" s="73" t="s">
        <v>1235</v>
      </c>
      <c r="F133" s="84">
        <v>230</v>
      </c>
      <c r="G133" s="73" t="s">
        <v>829</v>
      </c>
      <c r="H133" s="73"/>
      <c r="I133" s="73"/>
      <c r="J133" s="73"/>
      <c r="K133" s="73"/>
      <c r="L133" s="73"/>
      <c r="M133" s="73"/>
      <c r="N133" s="73"/>
      <c r="O133" s="75">
        <f>SUM(TABELA23[[#This Row],[T1]:[T7]])</f>
        <v>0</v>
      </c>
      <c r="P133" s="76">
        <f>TABELA23[[#This Row],[QTDE]]*TABELA23[[#This Row],[PREÇO]]</f>
        <v>0</v>
      </c>
    </row>
    <row r="134" spans="1:16" x14ac:dyDescent="0.2">
      <c r="A134" s="70" t="s">
        <v>1239</v>
      </c>
      <c r="B134" s="71" t="s">
        <v>1237</v>
      </c>
      <c r="C134" s="72" t="s">
        <v>1238</v>
      </c>
      <c r="D134" s="73" t="s">
        <v>32</v>
      </c>
      <c r="E134" s="73" t="s">
        <v>33</v>
      </c>
      <c r="F134" s="84">
        <v>182.17</v>
      </c>
      <c r="G134" s="73" t="s">
        <v>829</v>
      </c>
      <c r="H134" s="73"/>
      <c r="I134" s="73"/>
      <c r="J134" s="73"/>
      <c r="K134" s="73"/>
      <c r="L134" s="73"/>
      <c r="M134" s="73"/>
      <c r="N134" s="73"/>
      <c r="O134" s="75">
        <f>SUM(TABELA23[[#This Row],[T1]:[T7]])</f>
        <v>0</v>
      </c>
      <c r="P134" s="76">
        <f>TABELA23[[#This Row],[QTDE]]*TABELA23[[#This Row],[PREÇO]]</f>
        <v>0</v>
      </c>
    </row>
    <row r="135" spans="1:16" x14ac:dyDescent="0.2">
      <c r="A135" s="70" t="s">
        <v>1240</v>
      </c>
      <c r="B135" s="71" t="s">
        <v>1237</v>
      </c>
      <c r="C135" s="72" t="s">
        <v>1238</v>
      </c>
      <c r="D135" s="73" t="s">
        <v>1164</v>
      </c>
      <c r="E135" s="73" t="s">
        <v>1166</v>
      </c>
      <c r="F135" s="84">
        <v>182.17</v>
      </c>
      <c r="G135" s="73" t="s">
        <v>829</v>
      </c>
      <c r="H135" s="73"/>
      <c r="I135" s="73"/>
      <c r="J135" s="73"/>
      <c r="K135" s="73"/>
      <c r="L135" s="73"/>
      <c r="M135" s="73"/>
      <c r="N135" s="73"/>
      <c r="O135" s="75">
        <f>SUM(TABELA23[[#This Row],[T1]:[T7]])</f>
        <v>0</v>
      </c>
      <c r="P135" s="76">
        <f>TABELA23[[#This Row],[QTDE]]*TABELA23[[#This Row],[PREÇO]]</f>
        <v>0</v>
      </c>
    </row>
    <row r="136" spans="1:16" x14ac:dyDescent="0.2">
      <c r="A136" s="70" t="s">
        <v>1243</v>
      </c>
      <c r="B136" s="71" t="s">
        <v>1241</v>
      </c>
      <c r="C136" s="72" t="s">
        <v>1242</v>
      </c>
      <c r="D136" s="73" t="s">
        <v>1233</v>
      </c>
      <c r="E136" s="73" t="s">
        <v>1235</v>
      </c>
      <c r="F136" s="84">
        <v>195.22</v>
      </c>
      <c r="G136" s="73" t="s">
        <v>829</v>
      </c>
      <c r="H136" s="73"/>
      <c r="I136" s="73"/>
      <c r="J136" s="73"/>
      <c r="K136" s="73"/>
      <c r="L136" s="73"/>
      <c r="M136" s="73"/>
      <c r="N136" s="73"/>
      <c r="O136" s="75">
        <f>SUM(TABELA23[[#This Row],[T1]:[T7]])</f>
        <v>0</v>
      </c>
      <c r="P136" s="76">
        <f>TABELA23[[#This Row],[QTDE]]*TABELA23[[#This Row],[PREÇO]]</f>
        <v>0</v>
      </c>
    </row>
    <row r="137" spans="1:16" x14ac:dyDescent="0.2">
      <c r="A137" s="70" t="s">
        <v>1246</v>
      </c>
      <c r="B137" s="71" t="s">
        <v>1244</v>
      </c>
      <c r="C137" s="72" t="s">
        <v>1245</v>
      </c>
      <c r="D137" s="73" t="s">
        <v>1193</v>
      </c>
      <c r="E137" s="73" t="s">
        <v>1195</v>
      </c>
      <c r="F137" s="84">
        <v>147.38999999999999</v>
      </c>
      <c r="G137" s="73" t="s">
        <v>829</v>
      </c>
      <c r="H137" s="73"/>
      <c r="I137" s="73"/>
      <c r="J137" s="73"/>
      <c r="K137" s="73"/>
      <c r="L137" s="73"/>
      <c r="M137" s="73"/>
      <c r="N137" s="73"/>
      <c r="O137" s="75">
        <f>SUM(TABELA23[[#This Row],[T1]:[T7]])</f>
        <v>0</v>
      </c>
      <c r="P137" s="76">
        <f>TABELA23[[#This Row],[QTDE]]*TABELA23[[#This Row],[PREÇO]]</f>
        <v>0</v>
      </c>
    </row>
    <row r="138" spans="1:16" x14ac:dyDescent="0.2">
      <c r="A138" s="70" t="s">
        <v>1247</v>
      </c>
      <c r="B138" s="71" t="s">
        <v>1248</v>
      </c>
      <c r="C138" s="72" t="s">
        <v>1249</v>
      </c>
      <c r="D138" s="73" t="s">
        <v>819</v>
      </c>
      <c r="E138" s="73" t="s">
        <v>73</v>
      </c>
      <c r="F138" s="84">
        <v>86.52</v>
      </c>
      <c r="G138" s="73" t="s">
        <v>826</v>
      </c>
      <c r="H138" s="73"/>
      <c r="I138" s="73"/>
      <c r="J138" s="73"/>
      <c r="K138" s="73"/>
      <c r="L138" s="73"/>
      <c r="M138" s="73"/>
      <c r="N138" s="73"/>
      <c r="O138" s="75">
        <f>SUM(TABELA23[[#This Row],[T1]:[T7]])</f>
        <v>0</v>
      </c>
      <c r="P138" s="76">
        <f>TABELA23[[#This Row],[QTDE]]*TABELA23[[#This Row],[PREÇO]]</f>
        <v>0</v>
      </c>
    </row>
    <row r="139" spans="1:16" x14ac:dyDescent="0.2">
      <c r="A139" s="70" t="s">
        <v>1252</v>
      </c>
      <c r="B139" s="71" t="s">
        <v>1250</v>
      </c>
      <c r="C139" s="72" t="s">
        <v>1251</v>
      </c>
      <c r="D139" s="73" t="s">
        <v>830</v>
      </c>
      <c r="E139" s="73" t="s">
        <v>43</v>
      </c>
      <c r="F139" s="84">
        <v>151.74</v>
      </c>
      <c r="G139" s="73" t="s">
        <v>826</v>
      </c>
      <c r="H139" s="73"/>
      <c r="I139" s="73"/>
      <c r="J139" s="73"/>
      <c r="K139" s="73"/>
      <c r="L139" s="73"/>
      <c r="M139" s="73"/>
      <c r="N139" s="73"/>
      <c r="O139" s="75">
        <f>SUM(TABELA23[[#This Row],[T1]:[T7]])</f>
        <v>0</v>
      </c>
      <c r="P139" s="76">
        <f>TABELA23[[#This Row],[QTDE]]*TABELA23[[#This Row],[PREÇO]]</f>
        <v>0</v>
      </c>
    </row>
    <row r="140" spans="1:16" x14ac:dyDescent="0.2">
      <c r="A140" s="70" t="s">
        <v>1253</v>
      </c>
      <c r="B140" s="71" t="s">
        <v>1254</v>
      </c>
      <c r="C140" s="72" t="s">
        <v>1255</v>
      </c>
      <c r="D140" s="73" t="s">
        <v>32</v>
      </c>
      <c r="E140" s="73" t="s">
        <v>33</v>
      </c>
      <c r="F140" s="84">
        <v>130</v>
      </c>
      <c r="G140" s="73" t="s">
        <v>826</v>
      </c>
      <c r="H140" s="73"/>
      <c r="I140" s="73"/>
      <c r="J140" s="73"/>
      <c r="K140" s="73"/>
      <c r="L140" s="73"/>
      <c r="M140" s="73"/>
      <c r="N140" s="73"/>
      <c r="O140" s="75">
        <f>SUM(TABELA23[[#This Row],[T1]:[T7]])</f>
        <v>0</v>
      </c>
      <c r="P140" s="76">
        <f>TABELA23[[#This Row],[QTDE]]*TABELA23[[#This Row],[PREÇO]]</f>
        <v>0</v>
      </c>
    </row>
    <row r="141" spans="1:16" x14ac:dyDescent="0.2">
      <c r="A141" s="70" t="s">
        <v>1258</v>
      </c>
      <c r="B141" s="71" t="s">
        <v>1256</v>
      </c>
      <c r="C141" s="72" t="s">
        <v>1257</v>
      </c>
      <c r="D141" s="73" t="s">
        <v>32</v>
      </c>
      <c r="E141" s="73" t="s">
        <v>33</v>
      </c>
      <c r="F141" s="84">
        <v>216.96</v>
      </c>
      <c r="G141" s="73" t="s">
        <v>829</v>
      </c>
      <c r="H141" s="73"/>
      <c r="I141" s="73"/>
      <c r="J141" s="73"/>
      <c r="K141" s="73"/>
      <c r="L141" s="73"/>
      <c r="M141" s="73"/>
      <c r="N141" s="73"/>
      <c r="O141" s="75">
        <f>SUM(TABELA23[[#This Row],[T1]:[T7]])</f>
        <v>0</v>
      </c>
      <c r="P141" s="76">
        <f>TABELA23[[#This Row],[QTDE]]*TABELA23[[#This Row],[PREÇO]]</f>
        <v>0</v>
      </c>
    </row>
    <row r="142" spans="1:16" x14ac:dyDescent="0.2">
      <c r="A142" s="70" t="s">
        <v>1261</v>
      </c>
      <c r="B142" s="71" t="s">
        <v>1259</v>
      </c>
      <c r="C142" s="72" t="s">
        <v>1260</v>
      </c>
      <c r="D142" s="73" t="s">
        <v>1118</v>
      </c>
      <c r="E142" s="73" t="s">
        <v>1119</v>
      </c>
      <c r="F142" s="84">
        <v>230</v>
      </c>
      <c r="G142" s="73" t="s">
        <v>829</v>
      </c>
      <c r="H142" s="73"/>
      <c r="I142" s="73"/>
      <c r="J142" s="73"/>
      <c r="K142" s="73"/>
      <c r="L142" s="73"/>
      <c r="M142" s="73"/>
      <c r="N142" s="73"/>
      <c r="O142" s="75">
        <f>SUM(TABELA23[[#This Row],[T1]:[T7]])</f>
        <v>0</v>
      </c>
      <c r="P142" s="76">
        <f>TABELA23[[#This Row],[QTDE]]*TABELA23[[#This Row],[PREÇO]]</f>
        <v>0</v>
      </c>
    </row>
    <row r="143" spans="1:16" x14ac:dyDescent="0.2">
      <c r="A143" s="70" t="s">
        <v>1266</v>
      </c>
      <c r="B143" s="71" t="s">
        <v>1262</v>
      </c>
      <c r="C143" s="72" t="s">
        <v>1264</v>
      </c>
      <c r="D143" s="73" t="s">
        <v>1263</v>
      </c>
      <c r="E143" s="73" t="s">
        <v>1265</v>
      </c>
      <c r="F143" s="84">
        <v>195.22</v>
      </c>
      <c r="G143" s="73" t="s">
        <v>829</v>
      </c>
      <c r="H143" s="73"/>
      <c r="I143" s="73"/>
      <c r="J143" s="73"/>
      <c r="K143" s="73"/>
      <c r="L143" s="73"/>
      <c r="M143" s="73"/>
      <c r="N143" s="73"/>
      <c r="O143" s="75">
        <f>SUM(TABELA23[[#This Row],[T1]:[T7]])</f>
        <v>0</v>
      </c>
      <c r="P143" s="76">
        <f>TABELA23[[#This Row],[QTDE]]*TABELA23[[#This Row],[PREÇO]]</f>
        <v>0</v>
      </c>
    </row>
    <row r="144" spans="1:16" x14ac:dyDescent="0.2">
      <c r="A144" s="70" t="s">
        <v>1267</v>
      </c>
      <c r="B144" s="71" t="s">
        <v>1268</v>
      </c>
      <c r="C144" s="72" t="s">
        <v>1269</v>
      </c>
      <c r="D144" s="73" t="s">
        <v>32</v>
      </c>
      <c r="E144" s="73" t="s">
        <v>33</v>
      </c>
      <c r="F144" s="84">
        <v>360.43</v>
      </c>
      <c r="G144" s="73" t="s">
        <v>826</v>
      </c>
      <c r="H144" s="73"/>
      <c r="I144" s="73"/>
      <c r="J144" s="73"/>
      <c r="K144" s="73"/>
      <c r="L144" s="73"/>
      <c r="M144" s="73"/>
      <c r="N144" s="73"/>
      <c r="O144" s="75">
        <f>SUM(TABELA23[[#This Row],[T1]:[T7]])</f>
        <v>0</v>
      </c>
      <c r="P144" s="76">
        <f>TABELA23[[#This Row],[QTDE]]*TABELA23[[#This Row],[PREÇO]]</f>
        <v>0</v>
      </c>
    </row>
    <row r="145" spans="1:16" x14ac:dyDescent="0.2">
      <c r="A145" s="70" t="s">
        <v>1270</v>
      </c>
      <c r="B145" s="71" t="s">
        <v>1271</v>
      </c>
      <c r="C145" s="72" t="s">
        <v>1272</v>
      </c>
      <c r="D145" s="73" t="s">
        <v>32</v>
      </c>
      <c r="E145" s="73" t="s">
        <v>33</v>
      </c>
      <c r="F145" s="84">
        <v>164.78</v>
      </c>
      <c r="G145" s="73" t="s">
        <v>826</v>
      </c>
      <c r="H145" s="73"/>
      <c r="I145" s="73"/>
      <c r="J145" s="73"/>
      <c r="K145" s="73"/>
      <c r="L145" s="73"/>
      <c r="M145" s="73"/>
      <c r="N145" s="73"/>
      <c r="O145" s="75">
        <f>SUM(TABELA23[[#This Row],[T1]:[T7]])</f>
        <v>0</v>
      </c>
      <c r="P145" s="76">
        <f>TABELA23[[#This Row],[QTDE]]*TABELA23[[#This Row],[PREÇO]]</f>
        <v>0</v>
      </c>
    </row>
    <row r="146" spans="1:16" x14ac:dyDescent="0.2">
      <c r="A146" s="70" t="s">
        <v>1273</v>
      </c>
      <c r="B146" s="71" t="s">
        <v>1274</v>
      </c>
      <c r="C146" s="72" t="s">
        <v>2309</v>
      </c>
      <c r="D146" s="73" t="s">
        <v>32</v>
      </c>
      <c r="E146" s="73" t="s">
        <v>33</v>
      </c>
      <c r="F146" s="84">
        <v>103.91</v>
      </c>
      <c r="G146" s="73" t="s">
        <v>826</v>
      </c>
      <c r="H146" s="73"/>
      <c r="I146" s="73"/>
      <c r="J146" s="73"/>
      <c r="K146" s="73"/>
      <c r="L146" s="73"/>
      <c r="M146" s="73"/>
      <c r="N146" s="73"/>
      <c r="O146" s="75">
        <f>SUM(TABELA23[[#This Row],[T1]:[T7]])</f>
        <v>0</v>
      </c>
      <c r="P146" s="76">
        <f>TABELA23[[#This Row],[QTDE]]*TABELA23[[#This Row],[PREÇO]]</f>
        <v>0</v>
      </c>
    </row>
    <row r="147" spans="1:16" x14ac:dyDescent="0.2">
      <c r="A147" s="70" t="s">
        <v>1277</v>
      </c>
      <c r="B147" s="71" t="s">
        <v>1275</v>
      </c>
      <c r="C147" s="72" t="s">
        <v>1276</v>
      </c>
      <c r="D147" s="73" t="s">
        <v>32</v>
      </c>
      <c r="E147" s="73" t="s">
        <v>33</v>
      </c>
      <c r="F147" s="84">
        <v>216.96</v>
      </c>
      <c r="G147" s="73" t="s">
        <v>826</v>
      </c>
      <c r="H147" s="73"/>
      <c r="I147" s="73"/>
      <c r="J147" s="73"/>
      <c r="K147" s="73"/>
      <c r="L147" s="73"/>
      <c r="M147" s="73"/>
      <c r="N147" s="73"/>
      <c r="O147" s="75">
        <f>SUM(TABELA23[[#This Row],[T1]:[T7]])</f>
        <v>0</v>
      </c>
      <c r="P147" s="76">
        <f>TABELA23[[#This Row],[QTDE]]*TABELA23[[#This Row],[PREÇO]]</f>
        <v>0</v>
      </c>
    </row>
    <row r="148" spans="1:16" x14ac:dyDescent="0.2">
      <c r="A148" s="70" t="s">
        <v>1280</v>
      </c>
      <c r="B148" s="71" t="s">
        <v>1278</v>
      </c>
      <c r="C148" s="72" t="s">
        <v>1279</v>
      </c>
      <c r="D148" s="73" t="s">
        <v>830</v>
      </c>
      <c r="E148" s="73" t="s">
        <v>836</v>
      </c>
      <c r="F148" s="84">
        <v>121.3</v>
      </c>
      <c r="G148" s="73" t="s">
        <v>826</v>
      </c>
      <c r="H148" s="73"/>
      <c r="I148" s="73"/>
      <c r="J148" s="73"/>
      <c r="K148" s="73"/>
      <c r="L148" s="73"/>
      <c r="M148" s="73"/>
      <c r="N148" s="73"/>
      <c r="O148" s="75">
        <f>SUM(TABELA23[[#This Row],[T1]:[T7]])</f>
        <v>0</v>
      </c>
      <c r="P148" s="76">
        <f>TABELA23[[#This Row],[QTDE]]*TABELA23[[#This Row],[PREÇO]]</f>
        <v>0</v>
      </c>
    </row>
    <row r="149" spans="1:16" x14ac:dyDescent="0.2">
      <c r="A149" s="70" t="s">
        <v>1281</v>
      </c>
      <c r="B149" s="71" t="s">
        <v>1282</v>
      </c>
      <c r="C149" s="72" t="s">
        <v>1283</v>
      </c>
      <c r="D149" s="73" t="s">
        <v>803</v>
      </c>
      <c r="E149" s="73" t="s">
        <v>840</v>
      </c>
      <c r="F149" s="84">
        <v>125.65</v>
      </c>
      <c r="G149" s="73" t="s">
        <v>826</v>
      </c>
      <c r="H149" s="73"/>
      <c r="I149" s="73"/>
      <c r="J149" s="73"/>
      <c r="K149" s="73"/>
      <c r="L149" s="73"/>
      <c r="M149" s="73"/>
      <c r="N149" s="73"/>
      <c r="O149" s="75">
        <f>SUM(TABELA23[[#This Row],[T1]:[T7]])</f>
        <v>0</v>
      </c>
      <c r="P149" s="76">
        <f>TABELA23[[#This Row],[QTDE]]*TABELA23[[#This Row],[PREÇO]]</f>
        <v>0</v>
      </c>
    </row>
    <row r="150" spans="1:16" x14ac:dyDescent="0.2">
      <c r="A150" s="70" t="s">
        <v>1284</v>
      </c>
      <c r="B150" s="71" t="s">
        <v>1285</v>
      </c>
      <c r="C150" s="72" t="s">
        <v>2310</v>
      </c>
      <c r="D150" s="73" t="s">
        <v>32</v>
      </c>
      <c r="E150" s="73" t="s">
        <v>33</v>
      </c>
      <c r="F150" s="84">
        <v>112.61</v>
      </c>
      <c r="G150" s="73" t="s">
        <v>826</v>
      </c>
      <c r="H150" s="73"/>
      <c r="I150" s="73"/>
      <c r="J150" s="73"/>
      <c r="K150" s="73"/>
      <c r="L150" s="73"/>
      <c r="M150" s="73"/>
      <c r="N150" s="73"/>
      <c r="O150" s="75">
        <f>SUM(TABELA23[[#This Row],[T1]:[T7]])</f>
        <v>0</v>
      </c>
      <c r="P150" s="76">
        <f>TABELA23[[#This Row],[QTDE]]*TABELA23[[#This Row],[PREÇO]]</f>
        <v>0</v>
      </c>
    </row>
    <row r="151" spans="1:16" x14ac:dyDescent="0.2">
      <c r="A151" s="70" t="s">
        <v>1286</v>
      </c>
      <c r="B151" s="71" t="s">
        <v>1285</v>
      </c>
      <c r="C151" s="72" t="s">
        <v>2310</v>
      </c>
      <c r="D151" s="73" t="s">
        <v>830</v>
      </c>
      <c r="E151" s="73" t="s">
        <v>2316</v>
      </c>
      <c r="F151" s="84">
        <v>112.61</v>
      </c>
      <c r="G151" s="73" t="s">
        <v>826</v>
      </c>
      <c r="H151" s="73"/>
      <c r="I151" s="73"/>
      <c r="J151" s="73"/>
      <c r="K151" s="73"/>
      <c r="L151" s="73"/>
      <c r="M151" s="73"/>
      <c r="N151" s="73"/>
      <c r="O151" s="75">
        <f>SUM(TABELA23[[#This Row],[T1]:[T7]])</f>
        <v>0</v>
      </c>
      <c r="P151" s="76">
        <f>TABELA23[[#This Row],[QTDE]]*TABELA23[[#This Row],[PREÇO]]</f>
        <v>0</v>
      </c>
    </row>
    <row r="152" spans="1:16" x14ac:dyDescent="0.2">
      <c r="A152" s="70" t="s">
        <v>1287</v>
      </c>
      <c r="B152" s="71" t="s">
        <v>1288</v>
      </c>
      <c r="C152" s="72" t="s">
        <v>1289</v>
      </c>
      <c r="D152" s="73" t="s">
        <v>32</v>
      </c>
      <c r="E152" s="73" t="s">
        <v>33</v>
      </c>
      <c r="F152" s="84">
        <v>86.52</v>
      </c>
      <c r="G152" s="73" t="s">
        <v>826</v>
      </c>
      <c r="H152" s="73"/>
      <c r="I152" s="73"/>
      <c r="J152" s="73"/>
      <c r="K152" s="73"/>
      <c r="L152" s="73"/>
      <c r="M152" s="73"/>
      <c r="N152" s="73"/>
      <c r="O152" s="75">
        <f>SUM(TABELA23[[#This Row],[T1]:[T7]])</f>
        <v>0</v>
      </c>
      <c r="P152" s="76">
        <f>TABELA23[[#This Row],[QTDE]]*TABELA23[[#This Row],[PREÇO]]</f>
        <v>0</v>
      </c>
    </row>
    <row r="153" spans="1:16" x14ac:dyDescent="0.2">
      <c r="A153" s="70" t="s">
        <v>1290</v>
      </c>
      <c r="B153" s="71" t="s">
        <v>1291</v>
      </c>
      <c r="C153" s="72" t="s">
        <v>1292</v>
      </c>
      <c r="D153" s="73" t="s">
        <v>32</v>
      </c>
      <c r="E153" s="73" t="s">
        <v>33</v>
      </c>
      <c r="F153" s="84">
        <v>130</v>
      </c>
      <c r="G153" s="73" t="s">
        <v>826</v>
      </c>
      <c r="H153" s="73"/>
      <c r="I153" s="73"/>
      <c r="J153" s="73"/>
      <c r="K153" s="73"/>
      <c r="L153" s="73"/>
      <c r="M153" s="73"/>
      <c r="N153" s="73"/>
      <c r="O153" s="75">
        <f>SUM(TABELA23[[#This Row],[T1]:[T7]])</f>
        <v>0</v>
      </c>
      <c r="P153" s="76">
        <f>TABELA23[[#This Row],[QTDE]]*TABELA23[[#This Row],[PREÇO]]</f>
        <v>0</v>
      </c>
    </row>
    <row r="154" spans="1:16" x14ac:dyDescent="0.2">
      <c r="A154" s="70" t="s">
        <v>1293</v>
      </c>
      <c r="B154" s="71" t="s">
        <v>1294</v>
      </c>
      <c r="C154" s="72" t="s">
        <v>1295</v>
      </c>
      <c r="D154" s="73" t="s">
        <v>997</v>
      </c>
      <c r="E154" s="73" t="s">
        <v>43</v>
      </c>
      <c r="F154" s="84">
        <v>112.61</v>
      </c>
      <c r="G154" s="73" t="s">
        <v>826</v>
      </c>
      <c r="H154" s="73"/>
      <c r="I154" s="73"/>
      <c r="J154" s="73"/>
      <c r="K154" s="73"/>
      <c r="L154" s="73"/>
      <c r="M154" s="73"/>
      <c r="N154" s="73"/>
      <c r="O154" s="75">
        <f>SUM(TABELA23[[#This Row],[T1]:[T7]])</f>
        <v>0</v>
      </c>
      <c r="P154" s="76">
        <f>TABELA23[[#This Row],[QTDE]]*TABELA23[[#This Row],[PREÇO]]</f>
        <v>0</v>
      </c>
    </row>
    <row r="155" spans="1:16" x14ac:dyDescent="0.2">
      <c r="A155" s="70" t="s">
        <v>1296</v>
      </c>
      <c r="B155" s="71" t="s">
        <v>1297</v>
      </c>
      <c r="C155" s="72" t="s">
        <v>1298</v>
      </c>
      <c r="D155" s="73" t="s">
        <v>838</v>
      </c>
      <c r="E155" s="73" t="s">
        <v>765</v>
      </c>
      <c r="F155" s="84">
        <v>360.43</v>
      </c>
      <c r="G155" s="73" t="s">
        <v>826</v>
      </c>
      <c r="H155" s="73"/>
      <c r="I155" s="73"/>
      <c r="J155" s="73"/>
      <c r="K155" s="73"/>
      <c r="L155" s="73"/>
      <c r="M155" s="73"/>
      <c r="N155" s="73"/>
      <c r="O155" s="75">
        <f>SUM(TABELA23[[#This Row],[T1]:[T7]])</f>
        <v>0</v>
      </c>
      <c r="P155" s="76">
        <f>TABELA23[[#This Row],[QTDE]]*TABELA23[[#This Row],[PREÇO]]</f>
        <v>0</v>
      </c>
    </row>
    <row r="156" spans="1:16" x14ac:dyDescent="0.2">
      <c r="A156" s="70" t="s">
        <v>1299</v>
      </c>
      <c r="B156" s="71" t="s">
        <v>1300</v>
      </c>
      <c r="C156" s="72" t="s">
        <v>1301</v>
      </c>
      <c r="D156" s="73" t="s">
        <v>32</v>
      </c>
      <c r="E156" s="73" t="s">
        <v>33</v>
      </c>
      <c r="F156" s="84">
        <v>151.74</v>
      </c>
      <c r="G156" s="73" t="s">
        <v>826</v>
      </c>
      <c r="H156" s="73"/>
      <c r="I156" s="73"/>
      <c r="J156" s="73"/>
      <c r="K156" s="73"/>
      <c r="L156" s="73"/>
      <c r="M156" s="73"/>
      <c r="N156" s="73"/>
      <c r="O156" s="75">
        <f>SUM(TABELA23[[#This Row],[T1]:[T7]])</f>
        <v>0</v>
      </c>
      <c r="P156" s="76">
        <f>TABELA23[[#This Row],[QTDE]]*TABELA23[[#This Row],[PREÇO]]</f>
        <v>0</v>
      </c>
    </row>
    <row r="157" spans="1:16" x14ac:dyDescent="0.2">
      <c r="A157" s="70" t="s">
        <v>1302</v>
      </c>
      <c r="B157" s="71" t="s">
        <v>1303</v>
      </c>
      <c r="C157" s="72" t="s">
        <v>1304</v>
      </c>
      <c r="D157" s="73" t="s">
        <v>32</v>
      </c>
      <c r="E157" s="73" t="s">
        <v>33</v>
      </c>
      <c r="F157" s="84">
        <v>69.13</v>
      </c>
      <c r="G157" s="73" t="s">
        <v>826</v>
      </c>
      <c r="H157" s="73"/>
      <c r="I157" s="73"/>
      <c r="J157" s="73"/>
      <c r="K157" s="73"/>
      <c r="L157" s="73"/>
      <c r="M157" s="73"/>
      <c r="N157" s="73"/>
      <c r="O157" s="75">
        <f>SUM(TABELA23[[#This Row],[T1]:[T7]])</f>
        <v>0</v>
      </c>
      <c r="P157" s="76">
        <f>TABELA23[[#This Row],[QTDE]]*TABELA23[[#This Row],[PREÇO]]</f>
        <v>0</v>
      </c>
    </row>
    <row r="158" spans="1:16" x14ac:dyDescent="0.2">
      <c r="A158" s="70" t="s">
        <v>1305</v>
      </c>
      <c r="B158" s="71" t="s">
        <v>1303</v>
      </c>
      <c r="C158" s="72" t="s">
        <v>1304</v>
      </c>
      <c r="D158" s="73" t="s">
        <v>819</v>
      </c>
      <c r="E158" s="73" t="s">
        <v>73</v>
      </c>
      <c r="F158" s="84">
        <v>69.13</v>
      </c>
      <c r="G158" s="73" t="s">
        <v>826</v>
      </c>
      <c r="H158" s="73"/>
      <c r="I158" s="73"/>
      <c r="J158" s="73"/>
      <c r="K158" s="73"/>
      <c r="L158" s="73"/>
      <c r="M158" s="73"/>
      <c r="N158" s="73"/>
      <c r="O158" s="75">
        <f>SUM(TABELA23[[#This Row],[T1]:[T7]])</f>
        <v>0</v>
      </c>
      <c r="P158" s="76">
        <f>TABELA23[[#This Row],[QTDE]]*TABELA23[[#This Row],[PREÇO]]</f>
        <v>0</v>
      </c>
    </row>
    <row r="159" spans="1:16" x14ac:dyDescent="0.2">
      <c r="A159" s="70" t="s">
        <v>1308</v>
      </c>
      <c r="B159" s="71" t="s">
        <v>1309</v>
      </c>
      <c r="C159" s="72" t="s">
        <v>1310</v>
      </c>
      <c r="D159" s="73" t="s">
        <v>32</v>
      </c>
      <c r="E159" s="73" t="s">
        <v>33</v>
      </c>
      <c r="F159" s="84">
        <v>130</v>
      </c>
      <c r="G159" s="73" t="s">
        <v>826</v>
      </c>
      <c r="H159" s="73"/>
      <c r="I159" s="73"/>
      <c r="J159" s="73"/>
      <c r="K159" s="73"/>
      <c r="L159" s="73"/>
      <c r="M159" s="73"/>
      <c r="N159" s="73"/>
      <c r="O159" s="75">
        <f>SUM(TABELA23[[#This Row],[T1]:[T7]])</f>
        <v>0</v>
      </c>
      <c r="P159" s="76">
        <f>TABELA23[[#This Row],[QTDE]]*TABELA23[[#This Row],[PREÇO]]</f>
        <v>0</v>
      </c>
    </row>
    <row r="160" spans="1:16" x14ac:dyDescent="0.2">
      <c r="A160" s="70" t="s">
        <v>1312</v>
      </c>
      <c r="B160" s="71" t="s">
        <v>1313</v>
      </c>
      <c r="C160" s="72" t="s">
        <v>1314</v>
      </c>
      <c r="D160" s="73" t="s">
        <v>1004</v>
      </c>
      <c r="E160" s="73" t="s">
        <v>1307</v>
      </c>
      <c r="F160" s="84">
        <v>103.91</v>
      </c>
      <c r="G160" s="73" t="s">
        <v>826</v>
      </c>
      <c r="H160" s="73"/>
      <c r="I160" s="73"/>
      <c r="J160" s="73"/>
      <c r="K160" s="73"/>
      <c r="L160" s="73"/>
      <c r="M160" s="73"/>
      <c r="N160" s="73"/>
      <c r="O160" s="75">
        <f>SUM(TABELA23[[#This Row],[T1]:[T7]])</f>
        <v>0</v>
      </c>
      <c r="P160" s="76">
        <f>TABELA23[[#This Row],[QTDE]]*TABELA23[[#This Row],[PREÇO]]</f>
        <v>0</v>
      </c>
    </row>
    <row r="161" spans="1:16" x14ac:dyDescent="0.2">
      <c r="A161" s="70" t="s">
        <v>1315</v>
      </c>
      <c r="B161" s="71" t="s">
        <v>1313</v>
      </c>
      <c r="C161" s="72" t="s">
        <v>1314</v>
      </c>
      <c r="D161" s="73" t="s">
        <v>898</v>
      </c>
      <c r="E161" s="73" t="s">
        <v>900</v>
      </c>
      <c r="F161" s="84">
        <v>103.91</v>
      </c>
      <c r="G161" s="73" t="s">
        <v>826</v>
      </c>
      <c r="H161" s="73"/>
      <c r="I161" s="73"/>
      <c r="J161" s="73"/>
      <c r="K161" s="73"/>
      <c r="L161" s="73"/>
      <c r="M161" s="73"/>
      <c r="N161" s="73"/>
      <c r="O161" s="75">
        <f>SUM(TABELA23[[#This Row],[T1]:[T7]])</f>
        <v>0</v>
      </c>
      <c r="P161" s="76">
        <f>TABELA23[[#This Row],[QTDE]]*TABELA23[[#This Row],[PREÇO]]</f>
        <v>0</v>
      </c>
    </row>
    <row r="162" spans="1:16" x14ac:dyDescent="0.2">
      <c r="A162" s="70" t="s">
        <v>1320</v>
      </c>
      <c r="B162" s="71" t="s">
        <v>1316</v>
      </c>
      <c r="C162" s="72" t="s">
        <v>1318</v>
      </c>
      <c r="D162" s="73" t="s">
        <v>1317</v>
      </c>
      <c r="E162" s="73" t="s">
        <v>1319</v>
      </c>
      <c r="F162" s="84">
        <v>99.57</v>
      </c>
      <c r="G162" s="73" t="s">
        <v>826</v>
      </c>
      <c r="H162" s="73"/>
      <c r="I162" s="73"/>
      <c r="J162" s="73"/>
      <c r="K162" s="73"/>
      <c r="L162" s="73"/>
      <c r="M162" s="73"/>
      <c r="N162" s="73"/>
      <c r="O162" s="75">
        <f>SUM(TABELA23[[#This Row],[T1]:[T7]])</f>
        <v>0</v>
      </c>
      <c r="P162" s="76">
        <f>TABELA23[[#This Row],[QTDE]]*TABELA23[[#This Row],[PREÇO]]</f>
        <v>0</v>
      </c>
    </row>
    <row r="163" spans="1:16" x14ac:dyDescent="0.2">
      <c r="A163" s="70" t="s">
        <v>1321</v>
      </c>
      <c r="B163" s="71" t="s">
        <v>1322</v>
      </c>
      <c r="C163" s="72" t="s">
        <v>1323</v>
      </c>
      <c r="D163" s="73" t="s">
        <v>882</v>
      </c>
      <c r="E163" s="73" t="s">
        <v>817</v>
      </c>
      <c r="F163" s="84">
        <v>108.26</v>
      </c>
      <c r="G163" s="73" t="s">
        <v>826</v>
      </c>
      <c r="H163" s="73"/>
      <c r="I163" s="73"/>
      <c r="J163" s="73"/>
      <c r="K163" s="73"/>
      <c r="L163" s="73"/>
      <c r="M163" s="73"/>
      <c r="N163" s="73"/>
      <c r="O163" s="75">
        <f>SUM(TABELA23[[#This Row],[T1]:[T7]])</f>
        <v>0</v>
      </c>
      <c r="P163" s="76">
        <f>TABELA23[[#This Row],[QTDE]]*TABELA23[[#This Row],[PREÇO]]</f>
        <v>0</v>
      </c>
    </row>
    <row r="164" spans="1:16" x14ac:dyDescent="0.2">
      <c r="A164" s="70" t="s">
        <v>1326</v>
      </c>
      <c r="B164" s="71" t="s">
        <v>1324</v>
      </c>
      <c r="C164" s="72" t="s">
        <v>1318</v>
      </c>
      <c r="D164" s="73" t="s">
        <v>888</v>
      </c>
      <c r="E164" s="73" t="s">
        <v>890</v>
      </c>
      <c r="F164" s="84">
        <v>99.57</v>
      </c>
      <c r="G164" s="73" t="s">
        <v>826</v>
      </c>
      <c r="H164" s="73"/>
      <c r="I164" s="73"/>
      <c r="J164" s="73"/>
      <c r="K164" s="73"/>
      <c r="L164" s="73"/>
      <c r="M164" s="73"/>
      <c r="N164" s="73"/>
      <c r="O164" s="75">
        <f>SUM(TABELA23[[#This Row],[T1]:[T7]])</f>
        <v>0</v>
      </c>
      <c r="P164" s="76">
        <f>TABELA23[[#This Row],[QTDE]]*TABELA23[[#This Row],[PREÇO]]</f>
        <v>0</v>
      </c>
    </row>
    <row r="165" spans="1:16" x14ac:dyDescent="0.2">
      <c r="A165" s="70" t="s">
        <v>1325</v>
      </c>
      <c r="B165" s="71" t="s">
        <v>1324</v>
      </c>
      <c r="C165" s="72" t="s">
        <v>1318</v>
      </c>
      <c r="D165" s="73" t="s">
        <v>830</v>
      </c>
      <c r="E165" s="73" t="s">
        <v>2316</v>
      </c>
      <c r="F165" s="84">
        <v>99.57</v>
      </c>
      <c r="G165" s="73" t="s">
        <v>826</v>
      </c>
      <c r="H165" s="73"/>
      <c r="I165" s="73"/>
      <c r="J165" s="73"/>
      <c r="K165" s="73"/>
      <c r="L165" s="73"/>
      <c r="M165" s="73"/>
      <c r="N165" s="73"/>
      <c r="O165" s="75">
        <f>SUM(TABELA23[[#This Row],[T1]:[T7]])</f>
        <v>0</v>
      </c>
      <c r="P165" s="76">
        <f>TABELA23[[#This Row],[QTDE]]*TABELA23[[#This Row],[PREÇO]]</f>
        <v>0</v>
      </c>
    </row>
    <row r="166" spans="1:16" x14ac:dyDescent="0.2">
      <c r="A166" s="70" t="s">
        <v>1327</v>
      </c>
      <c r="B166" s="71" t="s">
        <v>1328</v>
      </c>
      <c r="C166" s="72" t="s">
        <v>1329</v>
      </c>
      <c r="D166" s="73" t="s">
        <v>819</v>
      </c>
      <c r="E166" s="73" t="s">
        <v>73</v>
      </c>
      <c r="F166" s="84">
        <v>121.3</v>
      </c>
      <c r="G166" s="73" t="s">
        <v>826</v>
      </c>
      <c r="H166" s="73"/>
      <c r="I166" s="73"/>
      <c r="J166" s="73"/>
      <c r="K166" s="73"/>
      <c r="L166" s="73"/>
      <c r="M166" s="73"/>
      <c r="N166" s="73"/>
      <c r="O166" s="75">
        <f>SUM(TABELA23[[#This Row],[T1]:[T7]])</f>
        <v>0</v>
      </c>
      <c r="P166" s="76">
        <f>TABELA23[[#This Row],[QTDE]]*TABELA23[[#This Row],[PREÇO]]</f>
        <v>0</v>
      </c>
    </row>
    <row r="167" spans="1:16" x14ac:dyDescent="0.2">
      <c r="A167" s="70" t="s">
        <v>1331</v>
      </c>
      <c r="B167" s="71" t="s">
        <v>1330</v>
      </c>
      <c r="C167" s="72" t="s">
        <v>839</v>
      </c>
      <c r="D167" s="73" t="s">
        <v>32</v>
      </c>
      <c r="E167" s="73" t="s">
        <v>33</v>
      </c>
      <c r="F167" s="84">
        <v>77.83</v>
      </c>
      <c r="G167" s="73" t="s">
        <v>826</v>
      </c>
      <c r="H167" s="73"/>
      <c r="I167" s="73"/>
      <c r="J167" s="73"/>
      <c r="K167" s="73"/>
      <c r="L167" s="73"/>
      <c r="M167" s="73"/>
      <c r="N167" s="73"/>
      <c r="O167" s="75">
        <f>SUM(TABELA23[[#This Row],[T1]:[T7]])</f>
        <v>0</v>
      </c>
      <c r="P167" s="76">
        <f>TABELA23[[#This Row],[QTDE]]*TABELA23[[#This Row],[PREÇO]]</f>
        <v>0</v>
      </c>
    </row>
    <row r="168" spans="1:16" x14ac:dyDescent="0.2">
      <c r="A168" s="70" t="s">
        <v>1332</v>
      </c>
      <c r="B168" s="71" t="s">
        <v>1330</v>
      </c>
      <c r="C168" s="72" t="s">
        <v>839</v>
      </c>
      <c r="D168" s="73" t="s">
        <v>830</v>
      </c>
      <c r="E168" s="73" t="s">
        <v>2316</v>
      </c>
      <c r="F168" s="84">
        <v>77.83</v>
      </c>
      <c r="G168" s="73" t="s">
        <v>826</v>
      </c>
      <c r="H168" s="73"/>
      <c r="I168" s="73"/>
      <c r="J168" s="73"/>
      <c r="K168" s="73"/>
      <c r="L168" s="73"/>
      <c r="M168" s="73"/>
      <c r="N168" s="73"/>
      <c r="O168" s="75">
        <f>SUM(TABELA23[[#This Row],[T1]:[T7]])</f>
        <v>0</v>
      </c>
      <c r="P168" s="76">
        <f>TABELA23[[#This Row],[QTDE]]*TABELA23[[#This Row],[PREÇO]]</f>
        <v>0</v>
      </c>
    </row>
    <row r="169" spans="1:16" x14ac:dyDescent="0.2">
      <c r="A169" s="70" t="s">
        <v>1335</v>
      </c>
      <c r="B169" s="71" t="s">
        <v>1333</v>
      </c>
      <c r="C169" s="72" t="s">
        <v>1334</v>
      </c>
      <c r="D169" s="73" t="s">
        <v>1118</v>
      </c>
      <c r="E169" s="73" t="s">
        <v>1119</v>
      </c>
      <c r="F169" s="84">
        <v>369.13</v>
      </c>
      <c r="G169" s="73" t="s">
        <v>829</v>
      </c>
      <c r="H169" s="73"/>
      <c r="I169" s="73"/>
      <c r="J169" s="73"/>
      <c r="K169" s="73"/>
      <c r="L169" s="73"/>
      <c r="M169" s="73"/>
      <c r="N169" s="73"/>
      <c r="O169" s="75">
        <f>SUM(TABELA23[[#This Row],[T1]:[T7]])</f>
        <v>0</v>
      </c>
      <c r="P169" s="76">
        <f>TABELA23[[#This Row],[QTDE]]*TABELA23[[#This Row],[PREÇO]]</f>
        <v>0</v>
      </c>
    </row>
    <row r="170" spans="1:16" x14ac:dyDescent="0.2">
      <c r="A170" s="70" t="s">
        <v>1336</v>
      </c>
      <c r="B170" s="71" t="s">
        <v>1337</v>
      </c>
      <c r="C170" s="72" t="s">
        <v>1338</v>
      </c>
      <c r="D170" s="73" t="s">
        <v>992</v>
      </c>
      <c r="E170" s="73" t="s">
        <v>994</v>
      </c>
      <c r="F170" s="84">
        <v>86.52</v>
      </c>
      <c r="G170" s="73" t="s">
        <v>826</v>
      </c>
      <c r="H170" s="73"/>
      <c r="I170" s="73"/>
      <c r="J170" s="73"/>
      <c r="K170" s="73"/>
      <c r="L170" s="73"/>
      <c r="M170" s="73"/>
      <c r="N170" s="73"/>
      <c r="O170" s="75">
        <f>SUM(TABELA23[[#This Row],[T1]:[T7]])</f>
        <v>0</v>
      </c>
      <c r="P170" s="76">
        <f>TABELA23[[#This Row],[QTDE]]*TABELA23[[#This Row],[PREÇO]]</f>
        <v>0</v>
      </c>
    </row>
    <row r="171" spans="1:16" x14ac:dyDescent="0.2">
      <c r="A171" s="70" t="s">
        <v>1341</v>
      </c>
      <c r="B171" s="71" t="s">
        <v>1339</v>
      </c>
      <c r="C171" s="72" t="s">
        <v>1340</v>
      </c>
      <c r="D171" s="73" t="s">
        <v>821</v>
      </c>
      <c r="E171" s="73" t="s">
        <v>822</v>
      </c>
      <c r="F171" s="84">
        <v>156.09</v>
      </c>
      <c r="G171" s="73" t="s">
        <v>829</v>
      </c>
      <c r="H171" s="73"/>
      <c r="I171" s="73"/>
      <c r="J171" s="73"/>
      <c r="K171" s="73"/>
      <c r="L171" s="73"/>
      <c r="M171" s="73"/>
      <c r="N171" s="73"/>
      <c r="O171" s="75">
        <f>SUM(TABELA23[[#This Row],[T1]:[T7]])</f>
        <v>0</v>
      </c>
      <c r="P171" s="76">
        <f>TABELA23[[#This Row],[QTDE]]*TABELA23[[#This Row],[PREÇO]]</f>
        <v>0</v>
      </c>
    </row>
    <row r="172" spans="1:16" x14ac:dyDescent="0.2">
      <c r="A172" s="70" t="s">
        <v>1344</v>
      </c>
      <c r="B172" s="71" t="s">
        <v>1342</v>
      </c>
      <c r="C172" s="72" t="s">
        <v>1343</v>
      </c>
      <c r="D172" s="73" t="s">
        <v>821</v>
      </c>
      <c r="E172" s="73" t="s">
        <v>822</v>
      </c>
      <c r="F172" s="84">
        <v>295.22000000000003</v>
      </c>
      <c r="G172" s="73" t="s">
        <v>17</v>
      </c>
      <c r="H172" s="73"/>
      <c r="I172" s="73"/>
      <c r="J172" s="73"/>
      <c r="K172" s="73"/>
      <c r="L172" s="73"/>
      <c r="M172" s="73"/>
      <c r="N172" s="73"/>
      <c r="O172" s="75">
        <f>SUM(TABELA23[[#This Row],[T1]:[T7]])</f>
        <v>0</v>
      </c>
      <c r="P172" s="76">
        <f>TABELA23[[#This Row],[QTDE]]*TABELA23[[#This Row],[PREÇO]]</f>
        <v>0</v>
      </c>
    </row>
    <row r="173" spans="1:16" x14ac:dyDescent="0.2">
      <c r="A173" s="70" t="s">
        <v>1347</v>
      </c>
      <c r="B173" s="71" t="s">
        <v>1345</v>
      </c>
      <c r="C173" s="72" t="s">
        <v>1346</v>
      </c>
      <c r="D173" s="73" t="s">
        <v>815</v>
      </c>
      <c r="E173" s="73" t="s">
        <v>816</v>
      </c>
      <c r="F173" s="84">
        <v>156.09</v>
      </c>
      <c r="G173" s="73" t="s">
        <v>826</v>
      </c>
      <c r="H173" s="73"/>
      <c r="I173" s="73"/>
      <c r="J173" s="73"/>
      <c r="K173" s="73"/>
      <c r="L173" s="73"/>
      <c r="M173" s="73"/>
      <c r="N173" s="73"/>
      <c r="O173" s="75">
        <f>SUM(TABELA23[[#This Row],[T1]:[T7]])</f>
        <v>0</v>
      </c>
      <c r="P173" s="76">
        <f>TABELA23[[#This Row],[QTDE]]*TABELA23[[#This Row],[PREÇO]]</f>
        <v>0</v>
      </c>
    </row>
    <row r="174" spans="1:16" x14ac:dyDescent="0.2">
      <c r="A174" s="70" t="s">
        <v>1350</v>
      </c>
      <c r="B174" s="71" t="s">
        <v>1348</v>
      </c>
      <c r="C174" s="72" t="s">
        <v>1349</v>
      </c>
      <c r="D174" s="73" t="s">
        <v>821</v>
      </c>
      <c r="E174" s="73" t="s">
        <v>822</v>
      </c>
      <c r="F174" s="84">
        <v>260.43</v>
      </c>
      <c r="G174" s="73" t="s">
        <v>829</v>
      </c>
      <c r="H174" s="73"/>
      <c r="I174" s="73"/>
      <c r="J174" s="73"/>
      <c r="K174" s="73"/>
      <c r="L174" s="73"/>
      <c r="M174" s="73"/>
      <c r="N174" s="73"/>
      <c r="O174" s="75">
        <f>SUM(TABELA23[[#This Row],[T1]:[T7]])</f>
        <v>0</v>
      </c>
      <c r="P174" s="76">
        <f>TABELA23[[#This Row],[QTDE]]*TABELA23[[#This Row],[PREÇO]]</f>
        <v>0</v>
      </c>
    </row>
    <row r="175" spans="1:16" x14ac:dyDescent="0.2">
      <c r="A175" s="70" t="s">
        <v>1353</v>
      </c>
      <c r="B175" s="71" t="s">
        <v>1351</v>
      </c>
      <c r="C175" s="72" t="s">
        <v>1352</v>
      </c>
      <c r="D175" s="73" t="s">
        <v>898</v>
      </c>
      <c r="E175" s="73" t="s">
        <v>900</v>
      </c>
      <c r="F175" s="84">
        <v>86.52</v>
      </c>
      <c r="G175" s="73" t="s">
        <v>17</v>
      </c>
      <c r="H175" s="73"/>
      <c r="I175" s="73"/>
      <c r="J175" s="73"/>
      <c r="K175" s="73"/>
      <c r="L175" s="73"/>
      <c r="M175" s="73"/>
      <c r="N175" s="73"/>
      <c r="O175" s="75">
        <f>SUM(TABELA23[[#This Row],[T1]:[T7]])</f>
        <v>0</v>
      </c>
      <c r="P175" s="76">
        <f>TABELA23[[#This Row],[QTDE]]*TABELA23[[#This Row],[PREÇO]]</f>
        <v>0</v>
      </c>
    </row>
    <row r="176" spans="1:16" x14ac:dyDescent="0.2">
      <c r="A176" s="70" t="s">
        <v>1358</v>
      </c>
      <c r="B176" s="71" t="s">
        <v>1356</v>
      </c>
      <c r="C176" s="72" t="s">
        <v>1357</v>
      </c>
      <c r="D176" s="73" t="s">
        <v>823</v>
      </c>
      <c r="E176" s="73" t="s">
        <v>820</v>
      </c>
      <c r="F176" s="84">
        <v>299.57</v>
      </c>
      <c r="G176" s="73" t="s">
        <v>828</v>
      </c>
      <c r="H176" s="73"/>
      <c r="I176" s="73"/>
      <c r="J176" s="73"/>
      <c r="K176" s="73"/>
      <c r="L176" s="73"/>
      <c r="M176" s="73"/>
      <c r="N176" s="73"/>
      <c r="O176" s="75">
        <f>SUM(TABELA23[[#This Row],[T1]:[T7]])</f>
        <v>0</v>
      </c>
      <c r="P176" s="76">
        <f>TABELA23[[#This Row],[QTDE]]*TABELA23[[#This Row],[PREÇO]]</f>
        <v>0</v>
      </c>
    </row>
    <row r="177" spans="1:16" x14ac:dyDescent="0.2">
      <c r="A177" s="70" t="s">
        <v>1361</v>
      </c>
      <c r="B177" s="71" t="s">
        <v>1359</v>
      </c>
      <c r="C177" s="72" t="s">
        <v>1360</v>
      </c>
      <c r="D177" s="73" t="s">
        <v>823</v>
      </c>
      <c r="E177" s="73" t="s">
        <v>820</v>
      </c>
      <c r="F177" s="84">
        <v>199.57</v>
      </c>
      <c r="G177" s="73" t="s">
        <v>828</v>
      </c>
      <c r="H177" s="73"/>
      <c r="I177" s="73"/>
      <c r="J177" s="73"/>
      <c r="K177" s="73"/>
      <c r="L177" s="73"/>
      <c r="M177" s="73"/>
      <c r="N177" s="73"/>
      <c r="O177" s="75">
        <f>SUM(TABELA23[[#This Row],[T1]:[T7]])</f>
        <v>0</v>
      </c>
      <c r="P177" s="76">
        <f>TABELA23[[#This Row],[QTDE]]*TABELA23[[#This Row],[PREÇO]]</f>
        <v>0</v>
      </c>
    </row>
    <row r="178" spans="1:16" x14ac:dyDescent="0.2">
      <c r="A178" s="70" t="s">
        <v>1362</v>
      </c>
      <c r="B178" s="71" t="s">
        <v>1363</v>
      </c>
      <c r="C178" s="72" t="s">
        <v>1365</v>
      </c>
      <c r="D178" s="73" t="s">
        <v>1364</v>
      </c>
      <c r="E178" s="73" t="s">
        <v>1366</v>
      </c>
      <c r="F178" s="84">
        <v>243.04</v>
      </c>
      <c r="G178" s="73" t="s">
        <v>826</v>
      </c>
      <c r="H178" s="73"/>
      <c r="I178" s="73"/>
      <c r="J178" s="73"/>
      <c r="K178" s="73"/>
      <c r="L178" s="73"/>
      <c r="M178" s="73"/>
      <c r="N178" s="73"/>
      <c r="O178" s="75">
        <f>SUM(TABELA23[[#This Row],[T1]:[T7]])</f>
        <v>0</v>
      </c>
      <c r="P178" s="76">
        <f>TABELA23[[#This Row],[QTDE]]*TABELA23[[#This Row],[PREÇO]]</f>
        <v>0</v>
      </c>
    </row>
    <row r="179" spans="1:16" x14ac:dyDescent="0.2">
      <c r="A179" s="70" t="s">
        <v>1367</v>
      </c>
      <c r="B179" s="71" t="s">
        <v>1368</v>
      </c>
      <c r="C179" s="72" t="s">
        <v>1369</v>
      </c>
      <c r="D179" s="73" t="s">
        <v>823</v>
      </c>
      <c r="E179" s="73" t="s">
        <v>820</v>
      </c>
      <c r="F179" s="84">
        <v>325.64999999999998</v>
      </c>
      <c r="G179" s="73" t="s">
        <v>826</v>
      </c>
      <c r="H179" s="73"/>
      <c r="I179" s="73"/>
      <c r="J179" s="73"/>
      <c r="K179" s="73"/>
      <c r="L179" s="73"/>
      <c r="M179" s="73"/>
      <c r="N179" s="73"/>
      <c r="O179" s="75">
        <f>SUM(TABELA23[[#This Row],[T1]:[T7]])</f>
        <v>0</v>
      </c>
      <c r="P179" s="76">
        <f>TABELA23[[#This Row],[QTDE]]*TABELA23[[#This Row],[PREÇO]]</f>
        <v>0</v>
      </c>
    </row>
    <row r="180" spans="1:16" x14ac:dyDescent="0.2">
      <c r="A180" s="70" t="s">
        <v>1374</v>
      </c>
      <c r="B180" s="71" t="s">
        <v>1370</v>
      </c>
      <c r="C180" s="72" t="s">
        <v>1372</v>
      </c>
      <c r="D180" s="73" t="s">
        <v>1371</v>
      </c>
      <c r="E180" s="73" t="s">
        <v>1373</v>
      </c>
      <c r="F180" s="84">
        <v>160.43</v>
      </c>
      <c r="G180" s="73" t="s">
        <v>828</v>
      </c>
      <c r="H180" s="73"/>
      <c r="I180" s="73"/>
      <c r="J180" s="73"/>
      <c r="K180" s="73"/>
      <c r="L180" s="73"/>
      <c r="M180" s="73"/>
      <c r="N180" s="73"/>
      <c r="O180" s="75">
        <f>SUM(TABELA23[[#This Row],[T1]:[T7]])</f>
        <v>0</v>
      </c>
      <c r="P180" s="76">
        <f>TABELA23[[#This Row],[QTDE]]*TABELA23[[#This Row],[PREÇO]]</f>
        <v>0</v>
      </c>
    </row>
    <row r="181" spans="1:16" x14ac:dyDescent="0.2">
      <c r="A181" s="70" t="s">
        <v>1375</v>
      </c>
      <c r="B181" s="71" t="s">
        <v>1376</v>
      </c>
      <c r="C181" s="72" t="s">
        <v>837</v>
      </c>
      <c r="D181" s="73" t="s">
        <v>823</v>
      </c>
      <c r="E181" s="73" t="s">
        <v>820</v>
      </c>
      <c r="F181" s="84">
        <v>286.52</v>
      </c>
      <c r="G181" s="73" t="s">
        <v>826</v>
      </c>
      <c r="H181" s="73"/>
      <c r="I181" s="73"/>
      <c r="J181" s="73"/>
      <c r="K181" s="73"/>
      <c r="L181" s="73"/>
      <c r="M181" s="73"/>
      <c r="N181" s="73"/>
      <c r="O181" s="75">
        <f>SUM(TABELA23[[#This Row],[T1]:[T7]])</f>
        <v>0</v>
      </c>
      <c r="P181" s="76">
        <f>TABELA23[[#This Row],[QTDE]]*TABELA23[[#This Row],[PREÇO]]</f>
        <v>0</v>
      </c>
    </row>
    <row r="182" spans="1:16" x14ac:dyDescent="0.2">
      <c r="A182" s="70" t="s">
        <v>1379</v>
      </c>
      <c r="B182" s="71" t="s">
        <v>1377</v>
      </c>
      <c r="C182" s="72" t="s">
        <v>1378</v>
      </c>
      <c r="D182" s="73" t="s">
        <v>32</v>
      </c>
      <c r="E182" s="73" t="s">
        <v>33</v>
      </c>
      <c r="F182" s="84">
        <v>143.04</v>
      </c>
      <c r="G182" s="73" t="s">
        <v>828</v>
      </c>
      <c r="H182" s="73"/>
      <c r="I182" s="73"/>
      <c r="J182" s="73"/>
      <c r="K182" s="73"/>
      <c r="L182" s="73"/>
      <c r="M182" s="73"/>
      <c r="N182" s="73"/>
      <c r="O182" s="75">
        <f>SUM(TABELA23[[#This Row],[T1]:[T7]])</f>
        <v>0</v>
      </c>
      <c r="P182" s="76">
        <f>TABELA23[[#This Row],[QTDE]]*TABELA23[[#This Row],[PREÇO]]</f>
        <v>0</v>
      </c>
    </row>
    <row r="183" spans="1:16" x14ac:dyDescent="0.2">
      <c r="A183" s="70" t="s">
        <v>1380</v>
      </c>
      <c r="B183" s="71" t="s">
        <v>1377</v>
      </c>
      <c r="C183" s="72" t="s">
        <v>1378</v>
      </c>
      <c r="D183" s="73" t="s">
        <v>888</v>
      </c>
      <c r="E183" s="73" t="s">
        <v>890</v>
      </c>
      <c r="F183" s="84">
        <v>143.04</v>
      </c>
      <c r="G183" s="73" t="s">
        <v>828</v>
      </c>
      <c r="H183" s="73"/>
      <c r="I183" s="73"/>
      <c r="J183" s="73"/>
      <c r="K183" s="73"/>
      <c r="L183" s="73"/>
      <c r="M183" s="73"/>
      <c r="N183" s="73"/>
      <c r="O183" s="75">
        <f>SUM(TABELA23[[#This Row],[T1]:[T7]])</f>
        <v>0</v>
      </c>
      <c r="P183" s="76">
        <f>TABELA23[[#This Row],[QTDE]]*TABELA23[[#This Row],[PREÇO]]</f>
        <v>0</v>
      </c>
    </row>
    <row r="184" spans="1:16" x14ac:dyDescent="0.2">
      <c r="A184" s="70" t="s">
        <v>1381</v>
      </c>
      <c r="B184" s="71" t="s">
        <v>1377</v>
      </c>
      <c r="C184" s="72" t="s">
        <v>1378</v>
      </c>
      <c r="D184" s="73" t="s">
        <v>1317</v>
      </c>
      <c r="E184" s="73" t="s">
        <v>1571</v>
      </c>
      <c r="F184" s="84">
        <v>143.04</v>
      </c>
      <c r="G184" s="73" t="s">
        <v>828</v>
      </c>
      <c r="H184" s="73"/>
      <c r="I184" s="73"/>
      <c r="J184" s="73"/>
      <c r="K184" s="73"/>
      <c r="L184" s="73"/>
      <c r="M184" s="73"/>
      <c r="N184" s="73"/>
      <c r="O184" s="75">
        <f>SUM(TABELA23[[#This Row],[T1]:[T7]])</f>
        <v>0</v>
      </c>
      <c r="P184" s="76">
        <f>TABELA23[[#This Row],[QTDE]]*TABELA23[[#This Row],[PREÇO]]</f>
        <v>0</v>
      </c>
    </row>
    <row r="185" spans="1:16" x14ac:dyDescent="0.2">
      <c r="A185" s="70" t="s">
        <v>1382</v>
      </c>
      <c r="B185" s="71" t="s">
        <v>1383</v>
      </c>
      <c r="C185" s="72" t="s">
        <v>1385</v>
      </c>
      <c r="D185" s="73" t="s">
        <v>1384</v>
      </c>
      <c r="E185" s="73" t="s">
        <v>1386</v>
      </c>
      <c r="F185" s="84">
        <v>230</v>
      </c>
      <c r="G185" s="73" t="s">
        <v>826</v>
      </c>
      <c r="H185" s="73"/>
      <c r="I185" s="73"/>
      <c r="J185" s="73"/>
      <c r="K185" s="73"/>
      <c r="L185" s="73"/>
      <c r="M185" s="73"/>
      <c r="N185" s="73"/>
      <c r="O185" s="75">
        <f>SUM(TABELA23[[#This Row],[T1]:[T7]])</f>
        <v>0</v>
      </c>
      <c r="P185" s="76">
        <f>TABELA23[[#This Row],[QTDE]]*TABELA23[[#This Row],[PREÇO]]</f>
        <v>0</v>
      </c>
    </row>
    <row r="186" spans="1:16" x14ac:dyDescent="0.2">
      <c r="A186" s="70" t="s">
        <v>1387</v>
      </c>
      <c r="B186" s="71" t="s">
        <v>1388</v>
      </c>
      <c r="C186" s="72" t="s">
        <v>1389</v>
      </c>
      <c r="D186" s="73" t="s">
        <v>823</v>
      </c>
      <c r="E186" s="73" t="s">
        <v>820</v>
      </c>
      <c r="F186" s="84">
        <v>238.7</v>
      </c>
      <c r="G186" s="73" t="s">
        <v>826</v>
      </c>
      <c r="H186" s="73"/>
      <c r="I186" s="73"/>
      <c r="J186" s="73"/>
      <c r="K186" s="73"/>
      <c r="L186" s="73"/>
      <c r="M186" s="73"/>
      <c r="N186" s="73"/>
      <c r="O186" s="75">
        <f>SUM(TABELA23[[#This Row],[T1]:[T7]])</f>
        <v>0</v>
      </c>
      <c r="P186" s="76">
        <f>TABELA23[[#This Row],[QTDE]]*TABELA23[[#This Row],[PREÇO]]</f>
        <v>0</v>
      </c>
    </row>
    <row r="187" spans="1:16" x14ac:dyDescent="0.2">
      <c r="A187" s="70" t="s">
        <v>1390</v>
      </c>
      <c r="B187" s="71" t="s">
        <v>1391</v>
      </c>
      <c r="C187" s="72" t="s">
        <v>1392</v>
      </c>
      <c r="D187" s="73" t="s">
        <v>32</v>
      </c>
      <c r="E187" s="73" t="s">
        <v>33</v>
      </c>
      <c r="F187" s="84">
        <v>151.74</v>
      </c>
      <c r="G187" s="73" t="s">
        <v>826</v>
      </c>
      <c r="H187" s="73"/>
      <c r="I187" s="73"/>
      <c r="J187" s="73"/>
      <c r="K187" s="73"/>
      <c r="L187" s="73"/>
      <c r="M187" s="73"/>
      <c r="N187" s="73"/>
      <c r="O187" s="75">
        <f>SUM(TABELA23[[#This Row],[T1]:[T7]])</f>
        <v>0</v>
      </c>
      <c r="P187" s="76">
        <f>TABELA23[[#This Row],[QTDE]]*TABELA23[[#This Row],[PREÇO]]</f>
        <v>0</v>
      </c>
    </row>
    <row r="188" spans="1:16" x14ac:dyDescent="0.2">
      <c r="A188" s="70" t="s">
        <v>1393</v>
      </c>
      <c r="B188" s="71" t="s">
        <v>1391</v>
      </c>
      <c r="C188" s="72" t="s">
        <v>1392</v>
      </c>
      <c r="D188" s="73" t="s">
        <v>888</v>
      </c>
      <c r="E188" s="73" t="s">
        <v>890</v>
      </c>
      <c r="F188" s="84">
        <v>151.74</v>
      </c>
      <c r="G188" s="73" t="s">
        <v>826</v>
      </c>
      <c r="H188" s="73"/>
      <c r="I188" s="73"/>
      <c r="J188" s="73"/>
      <c r="K188" s="73"/>
      <c r="L188" s="73"/>
      <c r="M188" s="73"/>
      <c r="N188" s="73"/>
      <c r="O188" s="75">
        <f>SUM(TABELA23[[#This Row],[T1]:[T7]])</f>
        <v>0</v>
      </c>
      <c r="P188" s="76">
        <f>TABELA23[[#This Row],[QTDE]]*TABELA23[[#This Row],[PREÇO]]</f>
        <v>0</v>
      </c>
    </row>
    <row r="189" spans="1:16" x14ac:dyDescent="0.2">
      <c r="A189" s="70" t="s">
        <v>1394</v>
      </c>
      <c r="B189" s="71" t="s">
        <v>1391</v>
      </c>
      <c r="C189" s="72" t="s">
        <v>1392</v>
      </c>
      <c r="D189" s="73" t="s">
        <v>1317</v>
      </c>
      <c r="E189" s="73" t="s">
        <v>1571</v>
      </c>
      <c r="F189" s="84">
        <v>151.74</v>
      </c>
      <c r="G189" s="73" t="s">
        <v>826</v>
      </c>
      <c r="H189" s="73"/>
      <c r="I189" s="73"/>
      <c r="J189" s="73"/>
      <c r="K189" s="73"/>
      <c r="L189" s="73"/>
      <c r="M189" s="73"/>
      <c r="N189" s="73"/>
      <c r="O189" s="75">
        <f>SUM(TABELA23[[#This Row],[T1]:[T7]])</f>
        <v>0</v>
      </c>
      <c r="P189" s="76">
        <f>TABELA23[[#This Row],[QTDE]]*TABELA23[[#This Row],[PREÇO]]</f>
        <v>0</v>
      </c>
    </row>
    <row r="190" spans="1:16" x14ac:dyDescent="0.2">
      <c r="A190" s="70" t="s">
        <v>1397</v>
      </c>
      <c r="B190" s="71" t="s">
        <v>1395</v>
      </c>
      <c r="C190" s="72" t="s">
        <v>1396</v>
      </c>
      <c r="D190" s="73" t="s">
        <v>1384</v>
      </c>
      <c r="E190" s="73" t="s">
        <v>1386</v>
      </c>
      <c r="F190" s="84">
        <v>151.74</v>
      </c>
      <c r="G190" s="73" t="s">
        <v>828</v>
      </c>
      <c r="H190" s="73"/>
      <c r="I190" s="73"/>
      <c r="J190" s="73"/>
      <c r="K190" s="73"/>
      <c r="L190" s="73"/>
      <c r="M190" s="73"/>
      <c r="N190" s="73"/>
      <c r="O190" s="75">
        <f>SUM(TABELA23[[#This Row],[T1]:[T7]])</f>
        <v>0</v>
      </c>
      <c r="P190" s="76">
        <f>TABELA23[[#This Row],[QTDE]]*TABELA23[[#This Row],[PREÇO]]</f>
        <v>0</v>
      </c>
    </row>
    <row r="191" spans="1:16" x14ac:dyDescent="0.2">
      <c r="A191" s="70" t="s">
        <v>1398</v>
      </c>
      <c r="B191" s="71" t="s">
        <v>1399</v>
      </c>
      <c r="C191" s="72" t="s">
        <v>1400</v>
      </c>
      <c r="D191" s="73" t="s">
        <v>1371</v>
      </c>
      <c r="E191" s="73" t="s">
        <v>1373</v>
      </c>
      <c r="F191" s="84">
        <v>256.08999999999997</v>
      </c>
      <c r="G191" s="73" t="s">
        <v>826</v>
      </c>
      <c r="H191" s="73"/>
      <c r="I191" s="73"/>
      <c r="J191" s="73"/>
      <c r="K191" s="73"/>
      <c r="L191" s="73"/>
      <c r="M191" s="73"/>
      <c r="N191" s="73"/>
      <c r="O191" s="75">
        <f>SUM(TABELA23[[#This Row],[T1]:[T7]])</f>
        <v>0</v>
      </c>
      <c r="P191" s="76">
        <f>TABELA23[[#This Row],[QTDE]]*TABELA23[[#This Row],[PREÇO]]</f>
        <v>0</v>
      </c>
    </row>
    <row r="192" spans="1:16" x14ac:dyDescent="0.2">
      <c r="A192" s="70" t="s">
        <v>1403</v>
      </c>
      <c r="B192" s="71" t="s">
        <v>1401</v>
      </c>
      <c r="C192" s="72" t="s">
        <v>1402</v>
      </c>
      <c r="D192" s="73" t="s">
        <v>32</v>
      </c>
      <c r="E192" s="73" t="s">
        <v>33</v>
      </c>
      <c r="F192" s="84">
        <v>238.7</v>
      </c>
      <c r="G192" s="73" t="s">
        <v>829</v>
      </c>
      <c r="H192" s="73"/>
      <c r="I192" s="73"/>
      <c r="J192" s="73"/>
      <c r="K192" s="73"/>
      <c r="L192" s="73"/>
      <c r="M192" s="73"/>
      <c r="N192" s="73"/>
      <c r="O192" s="75">
        <f>SUM(TABELA23[[#This Row],[T1]:[T7]])</f>
        <v>0</v>
      </c>
      <c r="P192" s="76">
        <f>TABELA23[[#This Row],[QTDE]]*TABELA23[[#This Row],[PREÇO]]</f>
        <v>0</v>
      </c>
    </row>
    <row r="193" spans="1:16" x14ac:dyDescent="0.2">
      <c r="A193" s="70" t="s">
        <v>1406</v>
      </c>
      <c r="B193" s="71" t="s">
        <v>1404</v>
      </c>
      <c r="C193" s="72" t="s">
        <v>1405</v>
      </c>
      <c r="D193" s="73" t="s">
        <v>32</v>
      </c>
      <c r="E193" s="73" t="s">
        <v>33</v>
      </c>
      <c r="F193" s="84">
        <v>347.39</v>
      </c>
      <c r="G193" s="73" t="s">
        <v>829</v>
      </c>
      <c r="H193" s="73"/>
      <c r="I193" s="73"/>
      <c r="J193" s="73"/>
      <c r="K193" s="73"/>
      <c r="L193" s="73"/>
      <c r="M193" s="73"/>
      <c r="N193" s="73"/>
      <c r="O193" s="75">
        <f>SUM(TABELA23[[#This Row],[T1]:[T7]])</f>
        <v>0</v>
      </c>
      <c r="P193" s="76">
        <f>TABELA23[[#This Row],[QTDE]]*TABELA23[[#This Row],[PREÇO]]</f>
        <v>0</v>
      </c>
    </row>
    <row r="194" spans="1:16" x14ac:dyDescent="0.2">
      <c r="A194" s="70" t="s">
        <v>1409</v>
      </c>
      <c r="B194" s="71" t="s">
        <v>1407</v>
      </c>
      <c r="C194" s="72" t="s">
        <v>1408</v>
      </c>
      <c r="D194" s="73" t="s">
        <v>821</v>
      </c>
      <c r="E194" s="73" t="s">
        <v>822</v>
      </c>
      <c r="F194" s="84">
        <v>216.96</v>
      </c>
      <c r="G194" s="73" t="s">
        <v>829</v>
      </c>
      <c r="H194" s="73"/>
      <c r="I194" s="73"/>
      <c r="J194" s="73"/>
      <c r="K194" s="73"/>
      <c r="L194" s="73"/>
      <c r="M194" s="73"/>
      <c r="N194" s="73"/>
      <c r="O194" s="75">
        <f>SUM(TABELA23[[#This Row],[T1]:[T7]])</f>
        <v>0</v>
      </c>
      <c r="P194" s="76">
        <f>TABELA23[[#This Row],[QTDE]]*TABELA23[[#This Row],[PREÇO]]</f>
        <v>0</v>
      </c>
    </row>
    <row r="195" spans="1:16" x14ac:dyDescent="0.2">
      <c r="A195" s="70" t="s">
        <v>1412</v>
      </c>
      <c r="B195" s="71" t="s">
        <v>1410</v>
      </c>
      <c r="C195" s="72" t="s">
        <v>1411</v>
      </c>
      <c r="D195" s="73" t="s">
        <v>32</v>
      </c>
      <c r="E195" s="73" t="s">
        <v>33</v>
      </c>
      <c r="F195" s="84">
        <v>243.04</v>
      </c>
      <c r="G195" s="73" t="s">
        <v>829</v>
      </c>
      <c r="H195" s="73"/>
      <c r="I195" s="73"/>
      <c r="J195" s="73"/>
      <c r="K195" s="73"/>
      <c r="L195" s="73"/>
      <c r="M195" s="73"/>
      <c r="N195" s="73"/>
      <c r="O195" s="75">
        <f>SUM(TABELA23[[#This Row],[T1]:[T7]])</f>
        <v>0</v>
      </c>
      <c r="P195" s="76">
        <f>TABELA23[[#This Row],[QTDE]]*TABELA23[[#This Row],[PREÇO]]</f>
        <v>0</v>
      </c>
    </row>
    <row r="196" spans="1:16" x14ac:dyDescent="0.2">
      <c r="A196" s="70" t="s">
        <v>1415</v>
      </c>
      <c r="B196" s="71" t="s">
        <v>1413</v>
      </c>
      <c r="C196" s="72" t="s">
        <v>1414</v>
      </c>
      <c r="D196" s="73" t="s">
        <v>821</v>
      </c>
      <c r="E196" s="73" t="s">
        <v>822</v>
      </c>
      <c r="F196" s="84">
        <v>108.26</v>
      </c>
      <c r="G196" s="73" t="s">
        <v>2319</v>
      </c>
      <c r="H196" s="73"/>
      <c r="I196" s="73"/>
      <c r="J196" s="73"/>
      <c r="K196" s="73"/>
      <c r="L196" s="73"/>
      <c r="M196" s="73"/>
      <c r="N196" s="73"/>
      <c r="O196" s="75">
        <f>SUM(TABELA23[[#This Row],[T1]:[T7]])</f>
        <v>0</v>
      </c>
      <c r="P196" s="76">
        <f>TABELA23[[#This Row],[QTDE]]*TABELA23[[#This Row],[PREÇO]]</f>
        <v>0</v>
      </c>
    </row>
    <row r="197" spans="1:16" x14ac:dyDescent="0.2">
      <c r="A197" s="70" t="s">
        <v>1420</v>
      </c>
      <c r="B197" s="71" t="s">
        <v>1416</v>
      </c>
      <c r="C197" s="72" t="s">
        <v>1418</v>
      </c>
      <c r="D197" s="73" t="s">
        <v>1417</v>
      </c>
      <c r="E197" s="73" t="s">
        <v>1419</v>
      </c>
      <c r="F197" s="84">
        <v>143.04</v>
      </c>
      <c r="G197" s="73" t="s">
        <v>829</v>
      </c>
      <c r="H197" s="73"/>
      <c r="I197" s="73"/>
      <c r="J197" s="73"/>
      <c r="K197" s="73"/>
      <c r="L197" s="73"/>
      <c r="M197" s="73"/>
      <c r="N197" s="73"/>
      <c r="O197" s="75">
        <f>SUM(TABELA23[[#This Row],[T1]:[T7]])</f>
        <v>0</v>
      </c>
      <c r="P197" s="76">
        <f>TABELA23[[#This Row],[QTDE]]*TABELA23[[#This Row],[PREÇO]]</f>
        <v>0</v>
      </c>
    </row>
    <row r="198" spans="1:16" x14ac:dyDescent="0.2">
      <c r="A198" s="70" t="s">
        <v>1422</v>
      </c>
      <c r="B198" s="71" t="s">
        <v>1421</v>
      </c>
      <c r="C198" s="72" t="s">
        <v>2311</v>
      </c>
      <c r="D198" s="73" t="s">
        <v>32</v>
      </c>
      <c r="E198" s="73" t="s">
        <v>33</v>
      </c>
      <c r="F198" s="84">
        <v>173.48</v>
      </c>
      <c r="G198" s="73" t="s">
        <v>829</v>
      </c>
      <c r="H198" s="73"/>
      <c r="I198" s="73"/>
      <c r="J198" s="73"/>
      <c r="K198" s="73"/>
      <c r="L198" s="73"/>
      <c r="M198" s="73"/>
      <c r="N198" s="73"/>
      <c r="O198" s="75">
        <f>SUM(TABELA23[[#This Row],[T1]:[T7]])</f>
        <v>0</v>
      </c>
      <c r="P198" s="76">
        <f>TABELA23[[#This Row],[QTDE]]*TABELA23[[#This Row],[PREÇO]]</f>
        <v>0</v>
      </c>
    </row>
    <row r="199" spans="1:16" x14ac:dyDescent="0.2">
      <c r="A199" s="70" t="s">
        <v>1425</v>
      </c>
      <c r="B199" s="71" t="s">
        <v>1423</v>
      </c>
      <c r="C199" s="72" t="s">
        <v>1424</v>
      </c>
      <c r="D199" s="73" t="s">
        <v>32</v>
      </c>
      <c r="E199" s="73" t="s">
        <v>33</v>
      </c>
      <c r="F199" s="84">
        <v>303.91000000000003</v>
      </c>
      <c r="G199" s="73" t="s">
        <v>829</v>
      </c>
      <c r="H199" s="73"/>
      <c r="I199" s="73"/>
      <c r="J199" s="73"/>
      <c r="K199" s="73"/>
      <c r="L199" s="73"/>
      <c r="M199" s="73"/>
      <c r="N199" s="73"/>
      <c r="O199" s="75">
        <f>SUM(TABELA23[[#This Row],[T1]:[T7]])</f>
        <v>0</v>
      </c>
      <c r="P199" s="76">
        <f>TABELA23[[#This Row],[QTDE]]*TABELA23[[#This Row],[PREÇO]]</f>
        <v>0</v>
      </c>
    </row>
    <row r="200" spans="1:16" x14ac:dyDescent="0.2">
      <c r="A200" s="70" t="s">
        <v>1426</v>
      </c>
      <c r="B200" s="71" t="s">
        <v>1423</v>
      </c>
      <c r="C200" s="72" t="s">
        <v>1424</v>
      </c>
      <c r="D200" s="73" t="s">
        <v>1317</v>
      </c>
      <c r="E200" s="73" t="s">
        <v>1319</v>
      </c>
      <c r="F200" s="84">
        <v>303.91000000000003</v>
      </c>
      <c r="G200" s="73" t="s">
        <v>829</v>
      </c>
      <c r="H200" s="73"/>
      <c r="I200" s="73"/>
      <c r="J200" s="73"/>
      <c r="K200" s="73"/>
      <c r="L200" s="73"/>
      <c r="M200" s="73"/>
      <c r="N200" s="73"/>
      <c r="O200" s="75">
        <f>SUM(TABELA23[[#This Row],[T1]:[T7]])</f>
        <v>0</v>
      </c>
      <c r="P200" s="76">
        <f>TABELA23[[#This Row],[QTDE]]*TABELA23[[#This Row],[PREÇO]]</f>
        <v>0</v>
      </c>
    </row>
    <row r="201" spans="1:16" x14ac:dyDescent="0.2">
      <c r="A201" s="70" t="s">
        <v>1429</v>
      </c>
      <c r="B201" s="71" t="s">
        <v>1427</v>
      </c>
      <c r="C201" s="72" t="s">
        <v>1428</v>
      </c>
      <c r="D201" s="73" t="s">
        <v>1263</v>
      </c>
      <c r="E201" s="73" t="s">
        <v>1265</v>
      </c>
      <c r="F201" s="84">
        <v>216.96</v>
      </c>
      <c r="G201" s="73" t="s">
        <v>829</v>
      </c>
      <c r="H201" s="73"/>
      <c r="I201" s="73"/>
      <c r="J201" s="73"/>
      <c r="K201" s="73"/>
      <c r="L201" s="73"/>
      <c r="M201" s="73"/>
      <c r="N201" s="73"/>
      <c r="O201" s="75">
        <f>SUM(TABELA23[[#This Row],[T1]:[T7]])</f>
        <v>0</v>
      </c>
      <c r="P201" s="76">
        <f>TABELA23[[#This Row],[QTDE]]*TABELA23[[#This Row],[PREÇO]]</f>
        <v>0</v>
      </c>
    </row>
    <row r="202" spans="1:16" x14ac:dyDescent="0.2">
      <c r="A202" s="70" t="s">
        <v>1432</v>
      </c>
      <c r="B202" s="71" t="s">
        <v>1430</v>
      </c>
      <c r="C202" s="72" t="s">
        <v>1431</v>
      </c>
      <c r="D202" s="73" t="s">
        <v>1371</v>
      </c>
      <c r="E202" s="73" t="s">
        <v>1373</v>
      </c>
      <c r="F202" s="84">
        <v>173.48</v>
      </c>
      <c r="G202" s="73" t="s">
        <v>829</v>
      </c>
      <c r="H202" s="73"/>
      <c r="I202" s="73"/>
      <c r="J202" s="73"/>
      <c r="K202" s="73"/>
      <c r="L202" s="73"/>
      <c r="M202" s="73"/>
      <c r="N202" s="73"/>
      <c r="O202" s="75">
        <f>SUM(TABELA23[[#This Row],[T1]:[T7]])</f>
        <v>0</v>
      </c>
      <c r="P202" s="76">
        <f>TABELA23[[#This Row],[QTDE]]*TABELA23[[#This Row],[PREÇO]]</f>
        <v>0</v>
      </c>
    </row>
    <row r="203" spans="1:16" x14ac:dyDescent="0.2">
      <c r="A203" s="70" t="s">
        <v>1437</v>
      </c>
      <c r="B203" s="71" t="s">
        <v>1435</v>
      </c>
      <c r="C203" s="72" t="s">
        <v>1436</v>
      </c>
      <c r="D203" s="73" t="s">
        <v>823</v>
      </c>
      <c r="E203" s="73" t="s">
        <v>820</v>
      </c>
      <c r="F203" s="84">
        <v>208.26</v>
      </c>
      <c r="G203" s="73" t="s">
        <v>828</v>
      </c>
      <c r="H203" s="73"/>
      <c r="I203" s="73"/>
      <c r="J203" s="73"/>
      <c r="K203" s="73"/>
      <c r="L203" s="73"/>
      <c r="M203" s="73"/>
      <c r="N203" s="73"/>
      <c r="O203" s="75">
        <f>SUM(TABELA23[[#This Row],[T1]:[T7]])</f>
        <v>0</v>
      </c>
      <c r="P203" s="76">
        <f>TABELA23[[#This Row],[QTDE]]*TABELA23[[#This Row],[PREÇO]]</f>
        <v>0</v>
      </c>
    </row>
    <row r="204" spans="1:16" x14ac:dyDescent="0.2">
      <c r="A204" s="70" t="s">
        <v>1440</v>
      </c>
      <c r="B204" s="71" t="s">
        <v>1438</v>
      </c>
      <c r="C204" s="72" t="s">
        <v>1439</v>
      </c>
      <c r="D204" s="73" t="s">
        <v>823</v>
      </c>
      <c r="E204" s="73" t="s">
        <v>820</v>
      </c>
      <c r="F204" s="84">
        <v>199.57</v>
      </c>
      <c r="G204" s="73" t="s">
        <v>828</v>
      </c>
      <c r="H204" s="73"/>
      <c r="I204" s="73"/>
      <c r="J204" s="73"/>
      <c r="K204" s="73"/>
      <c r="L204" s="73"/>
      <c r="M204" s="73"/>
      <c r="N204" s="73"/>
      <c r="O204" s="75">
        <f>SUM(TABELA23[[#This Row],[T1]:[T7]])</f>
        <v>0</v>
      </c>
      <c r="P204" s="76">
        <f>TABELA23[[#This Row],[QTDE]]*TABELA23[[#This Row],[PREÇO]]</f>
        <v>0</v>
      </c>
    </row>
    <row r="205" spans="1:16" x14ac:dyDescent="0.2">
      <c r="A205" s="70" t="s">
        <v>1441</v>
      </c>
      <c r="B205" s="71" t="s">
        <v>1442</v>
      </c>
      <c r="C205" s="72" t="s">
        <v>1443</v>
      </c>
      <c r="D205" s="73" t="s">
        <v>823</v>
      </c>
      <c r="E205" s="73" t="s">
        <v>820</v>
      </c>
      <c r="F205" s="84">
        <v>256.08999999999997</v>
      </c>
      <c r="G205" s="73" t="s">
        <v>826</v>
      </c>
      <c r="H205" s="73"/>
      <c r="I205" s="73"/>
      <c r="J205" s="73"/>
      <c r="K205" s="73"/>
      <c r="L205" s="73"/>
      <c r="M205" s="73"/>
      <c r="N205" s="73"/>
      <c r="O205" s="75">
        <f>SUM(TABELA23[[#This Row],[T1]:[T7]])</f>
        <v>0</v>
      </c>
      <c r="P205" s="76">
        <f>TABELA23[[#This Row],[QTDE]]*TABELA23[[#This Row],[PREÇO]]</f>
        <v>0</v>
      </c>
    </row>
    <row r="206" spans="1:16" x14ac:dyDescent="0.2">
      <c r="A206" s="70" t="s">
        <v>1446</v>
      </c>
      <c r="B206" s="71" t="s">
        <v>1444</v>
      </c>
      <c r="C206" s="72" t="s">
        <v>1445</v>
      </c>
      <c r="D206" s="73" t="s">
        <v>1317</v>
      </c>
      <c r="E206" s="73" t="s">
        <v>1319</v>
      </c>
      <c r="F206" s="84">
        <v>347.39</v>
      </c>
      <c r="G206" s="73" t="s">
        <v>828</v>
      </c>
      <c r="H206" s="73"/>
      <c r="I206" s="73"/>
      <c r="J206" s="73"/>
      <c r="K206" s="73"/>
      <c r="L206" s="73"/>
      <c r="M206" s="73"/>
      <c r="N206" s="73"/>
      <c r="O206" s="75">
        <f>SUM(TABELA23[[#This Row],[T1]:[T7]])</f>
        <v>0</v>
      </c>
      <c r="P206" s="76">
        <f>TABELA23[[#This Row],[QTDE]]*TABELA23[[#This Row],[PREÇO]]</f>
        <v>0</v>
      </c>
    </row>
    <row r="207" spans="1:16" x14ac:dyDescent="0.2">
      <c r="A207" s="70" t="s">
        <v>1451</v>
      </c>
      <c r="B207" s="71" t="s">
        <v>1447</v>
      </c>
      <c r="C207" s="72" t="s">
        <v>1449</v>
      </c>
      <c r="D207" s="73" t="s">
        <v>1448</v>
      </c>
      <c r="E207" s="73" t="s">
        <v>1450</v>
      </c>
      <c r="F207" s="84">
        <v>303.91000000000003</v>
      </c>
      <c r="G207" s="73" t="s">
        <v>828</v>
      </c>
      <c r="H207" s="73"/>
      <c r="I207" s="73"/>
      <c r="J207" s="73"/>
      <c r="K207" s="73"/>
      <c r="L207" s="73"/>
      <c r="M207" s="73"/>
      <c r="N207" s="73"/>
      <c r="O207" s="75">
        <f>SUM(TABELA23[[#This Row],[T1]:[T7]])</f>
        <v>0</v>
      </c>
      <c r="P207" s="76">
        <f>TABELA23[[#This Row],[QTDE]]*TABELA23[[#This Row],[PREÇO]]</f>
        <v>0</v>
      </c>
    </row>
    <row r="208" spans="1:16" x14ac:dyDescent="0.2">
      <c r="A208" s="70" t="s">
        <v>1453</v>
      </c>
      <c r="B208" s="71" t="s">
        <v>1452</v>
      </c>
      <c r="C208" s="72" t="s">
        <v>2312</v>
      </c>
      <c r="D208" s="73" t="s">
        <v>924</v>
      </c>
      <c r="E208" s="73" t="s">
        <v>926</v>
      </c>
      <c r="F208" s="84">
        <v>425.65</v>
      </c>
      <c r="G208" s="73" t="s">
        <v>2319</v>
      </c>
      <c r="H208" s="73"/>
      <c r="I208" s="73"/>
      <c r="J208" s="73"/>
      <c r="K208" s="73"/>
      <c r="L208" s="73"/>
      <c r="M208" s="73"/>
      <c r="N208" s="73"/>
      <c r="O208" s="75">
        <f>SUM(TABELA23[[#This Row],[T1]:[T7]])</f>
        <v>0</v>
      </c>
      <c r="P208" s="76">
        <f>TABELA23[[#This Row],[QTDE]]*TABELA23[[#This Row],[PREÇO]]</f>
        <v>0</v>
      </c>
    </row>
    <row r="209" spans="1:16" x14ac:dyDescent="0.2">
      <c r="A209" s="70" t="s">
        <v>1457</v>
      </c>
      <c r="B209" s="71" t="s">
        <v>1454</v>
      </c>
      <c r="C209" s="72" t="s">
        <v>1455</v>
      </c>
      <c r="D209" s="73" t="s">
        <v>1456</v>
      </c>
      <c r="E209" s="73" t="s">
        <v>820</v>
      </c>
      <c r="F209" s="84">
        <v>173.48</v>
      </c>
      <c r="G209" s="73" t="s">
        <v>828</v>
      </c>
      <c r="H209" s="73"/>
      <c r="I209" s="73"/>
      <c r="J209" s="73"/>
      <c r="K209" s="73"/>
      <c r="L209" s="73"/>
      <c r="M209" s="73"/>
      <c r="N209" s="73"/>
      <c r="O209" s="75">
        <f>SUM(TABELA23[[#This Row],[T1]:[T7]])</f>
        <v>0</v>
      </c>
      <c r="P209" s="76">
        <f>TABELA23[[#This Row],[QTDE]]*TABELA23[[#This Row],[PREÇO]]</f>
        <v>0</v>
      </c>
    </row>
    <row r="210" spans="1:16" x14ac:dyDescent="0.2">
      <c r="A210" s="70" t="s">
        <v>1458</v>
      </c>
      <c r="B210" s="71" t="s">
        <v>1459</v>
      </c>
      <c r="C210" s="72" t="s">
        <v>1460</v>
      </c>
      <c r="D210" s="73" t="s">
        <v>1317</v>
      </c>
      <c r="E210" s="73" t="s">
        <v>1319</v>
      </c>
      <c r="F210" s="84">
        <v>273.48</v>
      </c>
      <c r="G210" s="73" t="s">
        <v>826</v>
      </c>
      <c r="H210" s="73"/>
      <c r="I210" s="73"/>
      <c r="J210" s="73"/>
      <c r="K210" s="73"/>
      <c r="L210" s="73"/>
      <c r="M210" s="73"/>
      <c r="N210" s="73"/>
      <c r="O210" s="75">
        <f>SUM(TABELA23[[#This Row],[T1]:[T7]])</f>
        <v>0</v>
      </c>
      <c r="P210" s="76">
        <f>TABELA23[[#This Row],[QTDE]]*TABELA23[[#This Row],[PREÇO]]</f>
        <v>0</v>
      </c>
    </row>
    <row r="211" spans="1:16" x14ac:dyDescent="0.2">
      <c r="A211" s="70" t="s">
        <v>1463</v>
      </c>
      <c r="B211" s="71" t="s">
        <v>1461</v>
      </c>
      <c r="C211" s="72" t="s">
        <v>1462</v>
      </c>
      <c r="D211" s="73" t="s">
        <v>1456</v>
      </c>
      <c r="E211" s="73" t="s">
        <v>820</v>
      </c>
      <c r="F211" s="84">
        <v>295.22000000000003</v>
      </c>
      <c r="G211" s="73" t="s">
        <v>826</v>
      </c>
      <c r="H211" s="73"/>
      <c r="I211" s="73"/>
      <c r="J211" s="73"/>
      <c r="K211" s="73"/>
      <c r="L211" s="73"/>
      <c r="M211" s="73"/>
      <c r="N211" s="73"/>
      <c r="O211" s="75">
        <f>SUM(TABELA23[[#This Row],[T1]:[T7]])</f>
        <v>0</v>
      </c>
      <c r="P211" s="76">
        <f>TABELA23[[#This Row],[QTDE]]*TABELA23[[#This Row],[PREÇO]]</f>
        <v>0</v>
      </c>
    </row>
    <row r="212" spans="1:16" x14ac:dyDescent="0.2">
      <c r="A212" s="70" t="s">
        <v>1470</v>
      </c>
      <c r="B212" s="71" t="s">
        <v>1467</v>
      </c>
      <c r="C212" s="72" t="s">
        <v>1468</v>
      </c>
      <c r="D212" s="73" t="s">
        <v>1184</v>
      </c>
      <c r="E212" s="73" t="s">
        <v>1469</v>
      </c>
      <c r="F212" s="84">
        <v>390.87</v>
      </c>
      <c r="G212" s="73" t="s">
        <v>829</v>
      </c>
      <c r="H212" s="73"/>
      <c r="I212" s="73"/>
      <c r="J212" s="73"/>
      <c r="K212" s="73"/>
      <c r="L212" s="73"/>
      <c r="M212" s="73"/>
      <c r="N212" s="73"/>
      <c r="O212" s="75">
        <f>SUM(TABELA23[[#This Row],[T1]:[T7]])</f>
        <v>0</v>
      </c>
      <c r="P212" s="76">
        <f>TABELA23[[#This Row],[QTDE]]*TABELA23[[#This Row],[PREÇO]]</f>
        <v>0</v>
      </c>
    </row>
    <row r="213" spans="1:16" x14ac:dyDescent="0.2">
      <c r="A213" s="70" t="s">
        <v>1473</v>
      </c>
      <c r="B213" s="71" t="s">
        <v>1471</v>
      </c>
      <c r="C213" s="72" t="s">
        <v>1472</v>
      </c>
      <c r="D213" s="73" t="s">
        <v>1371</v>
      </c>
      <c r="E213" s="73" t="s">
        <v>1373</v>
      </c>
      <c r="F213" s="84">
        <v>390.87</v>
      </c>
      <c r="G213" s="73" t="s">
        <v>826</v>
      </c>
      <c r="H213" s="73"/>
      <c r="I213" s="73"/>
      <c r="J213" s="73"/>
      <c r="K213" s="73"/>
      <c r="L213" s="73"/>
      <c r="M213" s="73"/>
      <c r="N213" s="73"/>
      <c r="O213" s="75">
        <f>SUM(TABELA23[[#This Row],[T1]:[T7]])</f>
        <v>0</v>
      </c>
      <c r="P213" s="76">
        <f>TABELA23[[#This Row],[QTDE]]*TABELA23[[#This Row],[PREÇO]]</f>
        <v>0</v>
      </c>
    </row>
    <row r="214" spans="1:16" x14ac:dyDescent="0.2">
      <c r="A214" s="70" t="s">
        <v>1478</v>
      </c>
      <c r="B214" s="71" t="s">
        <v>1476</v>
      </c>
      <c r="C214" s="72" t="s">
        <v>1477</v>
      </c>
      <c r="D214" s="73" t="s">
        <v>1433</v>
      </c>
      <c r="E214" s="73" t="s">
        <v>1434</v>
      </c>
      <c r="F214" s="84">
        <v>390.87</v>
      </c>
      <c r="G214" s="73" t="s">
        <v>829</v>
      </c>
      <c r="H214" s="73"/>
      <c r="I214" s="73"/>
      <c r="J214" s="73"/>
      <c r="K214" s="73"/>
      <c r="L214" s="73"/>
      <c r="M214" s="73"/>
      <c r="N214" s="73"/>
      <c r="O214" s="75">
        <f>SUM(TABELA23[[#This Row],[T1]:[T7]])</f>
        <v>0</v>
      </c>
      <c r="P214" s="76">
        <f>TABELA23[[#This Row],[QTDE]]*TABELA23[[#This Row],[PREÇO]]</f>
        <v>0</v>
      </c>
    </row>
    <row r="215" spans="1:16" x14ac:dyDescent="0.2">
      <c r="A215" s="70" t="s">
        <v>1483</v>
      </c>
      <c r="B215" s="71" t="s">
        <v>1479</v>
      </c>
      <c r="C215" s="72" t="s">
        <v>1481</v>
      </c>
      <c r="D215" s="73" t="s">
        <v>1480</v>
      </c>
      <c r="E215" s="73" t="s">
        <v>1482</v>
      </c>
      <c r="F215" s="84">
        <v>477.83</v>
      </c>
      <c r="G215" s="73" t="s">
        <v>829</v>
      </c>
      <c r="H215" s="73"/>
      <c r="I215" s="73"/>
      <c r="J215" s="73"/>
      <c r="K215" s="73"/>
      <c r="L215" s="73"/>
      <c r="M215" s="73"/>
      <c r="N215" s="73"/>
      <c r="O215" s="75">
        <f>SUM(TABELA23[[#This Row],[T1]:[T7]])</f>
        <v>0</v>
      </c>
      <c r="P215" s="76">
        <f>TABELA23[[#This Row],[QTDE]]*TABELA23[[#This Row],[PREÇO]]</f>
        <v>0</v>
      </c>
    </row>
    <row r="216" spans="1:16" x14ac:dyDescent="0.2">
      <c r="A216" s="70" t="s">
        <v>1486</v>
      </c>
      <c r="B216" s="71" t="s">
        <v>1484</v>
      </c>
      <c r="C216" s="72" t="s">
        <v>1485</v>
      </c>
      <c r="D216" s="73" t="s">
        <v>1317</v>
      </c>
      <c r="E216" s="73" t="s">
        <v>1319</v>
      </c>
      <c r="F216" s="84">
        <v>130</v>
      </c>
      <c r="G216" s="73" t="s">
        <v>829</v>
      </c>
      <c r="H216" s="73"/>
      <c r="I216" s="73"/>
      <c r="J216" s="73"/>
      <c r="K216" s="73"/>
      <c r="L216" s="73"/>
      <c r="M216" s="73"/>
      <c r="N216" s="73"/>
      <c r="O216" s="75">
        <f>SUM(TABELA23[[#This Row],[T1]:[T7]])</f>
        <v>0</v>
      </c>
      <c r="P216" s="76">
        <f>TABELA23[[#This Row],[QTDE]]*TABELA23[[#This Row],[PREÇO]]</f>
        <v>0</v>
      </c>
    </row>
    <row r="217" spans="1:16" x14ac:dyDescent="0.2">
      <c r="A217" s="70" t="s">
        <v>1491</v>
      </c>
      <c r="B217" s="71" t="s">
        <v>1487</v>
      </c>
      <c r="C217" s="72" t="s">
        <v>1489</v>
      </c>
      <c r="D217" s="73" t="s">
        <v>1488</v>
      </c>
      <c r="E217" s="73" t="s">
        <v>1490</v>
      </c>
      <c r="F217" s="84">
        <v>121.3</v>
      </c>
      <c r="G217" s="73" t="s">
        <v>829</v>
      </c>
      <c r="H217" s="73"/>
      <c r="I217" s="73"/>
      <c r="J217" s="73"/>
      <c r="K217" s="73"/>
      <c r="L217" s="73"/>
      <c r="M217" s="73"/>
      <c r="N217" s="73"/>
      <c r="O217" s="75">
        <f>SUM(TABELA23[[#This Row],[T1]:[T7]])</f>
        <v>0</v>
      </c>
      <c r="P217" s="76">
        <f>TABELA23[[#This Row],[QTDE]]*TABELA23[[#This Row],[PREÇO]]</f>
        <v>0</v>
      </c>
    </row>
    <row r="218" spans="1:16" x14ac:dyDescent="0.2">
      <c r="A218" s="70" t="s">
        <v>1494</v>
      </c>
      <c r="B218" s="71" t="s">
        <v>1492</v>
      </c>
      <c r="C218" s="72" t="s">
        <v>1493</v>
      </c>
      <c r="D218" s="73" t="s">
        <v>1317</v>
      </c>
      <c r="E218" s="73" t="s">
        <v>1319</v>
      </c>
      <c r="F218" s="84">
        <v>216.96</v>
      </c>
      <c r="G218" s="73" t="s">
        <v>829</v>
      </c>
      <c r="H218" s="73"/>
      <c r="I218" s="73"/>
      <c r="J218" s="73"/>
      <c r="K218" s="73"/>
      <c r="L218" s="73"/>
      <c r="M218" s="73"/>
      <c r="N218" s="73"/>
      <c r="O218" s="75">
        <f>SUM(TABELA23[[#This Row],[T1]:[T7]])</f>
        <v>0</v>
      </c>
      <c r="P218" s="76">
        <f>TABELA23[[#This Row],[QTDE]]*TABELA23[[#This Row],[PREÇO]]</f>
        <v>0</v>
      </c>
    </row>
    <row r="219" spans="1:16" x14ac:dyDescent="0.2">
      <c r="A219" s="70" t="s">
        <v>1497</v>
      </c>
      <c r="B219" s="71" t="s">
        <v>1495</v>
      </c>
      <c r="C219" s="72" t="s">
        <v>1496</v>
      </c>
      <c r="D219" s="73" t="s">
        <v>910</v>
      </c>
      <c r="E219" s="73" t="s">
        <v>912</v>
      </c>
      <c r="F219" s="84">
        <v>151.74</v>
      </c>
      <c r="G219" s="73" t="s">
        <v>829</v>
      </c>
      <c r="H219" s="73"/>
      <c r="I219" s="73"/>
      <c r="J219" s="73"/>
      <c r="K219" s="73"/>
      <c r="L219" s="73"/>
      <c r="M219" s="73"/>
      <c r="N219" s="73"/>
      <c r="O219" s="75">
        <f>SUM(TABELA23[[#This Row],[T1]:[T7]])</f>
        <v>0</v>
      </c>
      <c r="P219" s="76">
        <f>TABELA23[[#This Row],[QTDE]]*TABELA23[[#This Row],[PREÇO]]</f>
        <v>0</v>
      </c>
    </row>
    <row r="220" spans="1:16" x14ac:dyDescent="0.2">
      <c r="A220" s="70" t="s">
        <v>1500</v>
      </c>
      <c r="B220" s="71" t="s">
        <v>1498</v>
      </c>
      <c r="C220" s="72" t="s">
        <v>1499</v>
      </c>
      <c r="D220" s="73" t="s">
        <v>1474</v>
      </c>
      <c r="E220" s="73" t="s">
        <v>1475</v>
      </c>
      <c r="F220" s="84">
        <v>260.43</v>
      </c>
      <c r="G220" s="73" t="s">
        <v>829</v>
      </c>
      <c r="H220" s="73"/>
      <c r="I220" s="73"/>
      <c r="J220" s="73"/>
      <c r="K220" s="73"/>
      <c r="L220" s="73"/>
      <c r="M220" s="73"/>
      <c r="N220" s="73"/>
      <c r="O220" s="75">
        <f>SUM(TABELA23[[#This Row],[T1]:[T7]])</f>
        <v>0</v>
      </c>
      <c r="P220" s="76">
        <f>TABELA23[[#This Row],[QTDE]]*TABELA23[[#This Row],[PREÇO]]</f>
        <v>0</v>
      </c>
    </row>
    <row r="221" spans="1:16" x14ac:dyDescent="0.2">
      <c r="A221" s="70" t="s">
        <v>1503</v>
      </c>
      <c r="B221" s="71" t="s">
        <v>1501</v>
      </c>
      <c r="C221" s="72" t="s">
        <v>1502</v>
      </c>
      <c r="D221" s="73" t="s">
        <v>1488</v>
      </c>
      <c r="E221" s="73" t="s">
        <v>1490</v>
      </c>
      <c r="F221" s="84">
        <v>238.7</v>
      </c>
      <c r="G221" s="73" t="s">
        <v>2319</v>
      </c>
      <c r="H221" s="73"/>
      <c r="I221" s="73"/>
      <c r="J221" s="73"/>
      <c r="K221" s="73"/>
      <c r="L221" s="73"/>
      <c r="M221" s="73"/>
      <c r="N221" s="73"/>
      <c r="O221" s="75">
        <f>SUM(TABELA23[[#This Row],[T1]:[T7]])</f>
        <v>0</v>
      </c>
      <c r="P221" s="76">
        <f>TABELA23[[#This Row],[QTDE]]*TABELA23[[#This Row],[PREÇO]]</f>
        <v>0</v>
      </c>
    </row>
    <row r="222" spans="1:16" x14ac:dyDescent="0.2">
      <c r="A222" s="70" t="s">
        <v>1506</v>
      </c>
      <c r="B222" s="71" t="s">
        <v>1504</v>
      </c>
      <c r="C222" s="72" t="s">
        <v>1505</v>
      </c>
      <c r="D222" s="73" t="s">
        <v>1474</v>
      </c>
      <c r="E222" s="73" t="s">
        <v>1475</v>
      </c>
      <c r="F222" s="84">
        <v>230</v>
      </c>
      <c r="G222" s="73" t="s">
        <v>829</v>
      </c>
      <c r="H222" s="73"/>
      <c r="I222" s="73"/>
      <c r="J222" s="73"/>
      <c r="K222" s="73"/>
      <c r="L222" s="73"/>
      <c r="M222" s="73"/>
      <c r="N222" s="73"/>
      <c r="O222" s="75">
        <f>SUM(TABELA23[[#This Row],[T1]:[T7]])</f>
        <v>0</v>
      </c>
      <c r="P222" s="76">
        <f>TABELA23[[#This Row],[QTDE]]*TABELA23[[#This Row],[PREÇO]]</f>
        <v>0</v>
      </c>
    </row>
    <row r="223" spans="1:16" x14ac:dyDescent="0.2">
      <c r="A223" s="70" t="s">
        <v>1509</v>
      </c>
      <c r="B223" s="71" t="s">
        <v>1507</v>
      </c>
      <c r="C223" s="72" t="s">
        <v>1508</v>
      </c>
      <c r="D223" s="73" t="s">
        <v>1317</v>
      </c>
      <c r="E223" s="73" t="s">
        <v>1319</v>
      </c>
      <c r="F223" s="84">
        <v>347.39</v>
      </c>
      <c r="G223" s="73" t="s">
        <v>829</v>
      </c>
      <c r="H223" s="73"/>
      <c r="I223" s="73"/>
      <c r="J223" s="73"/>
      <c r="K223" s="73"/>
      <c r="L223" s="73"/>
      <c r="M223" s="73"/>
      <c r="N223" s="73"/>
      <c r="O223" s="75">
        <f>SUM(TABELA23[[#This Row],[T1]:[T7]])</f>
        <v>0</v>
      </c>
      <c r="P223" s="76">
        <f>TABELA23[[#This Row],[QTDE]]*TABELA23[[#This Row],[PREÇO]]</f>
        <v>0</v>
      </c>
    </row>
    <row r="224" spans="1:16" x14ac:dyDescent="0.2">
      <c r="A224" s="70" t="s">
        <v>1512</v>
      </c>
      <c r="B224" s="71" t="s">
        <v>1510</v>
      </c>
      <c r="C224" s="72" t="s">
        <v>1511</v>
      </c>
      <c r="D224" s="73" t="s">
        <v>1488</v>
      </c>
      <c r="E224" s="73" t="s">
        <v>1490</v>
      </c>
      <c r="F224" s="84">
        <v>390.87</v>
      </c>
      <c r="G224" s="73" t="s">
        <v>829</v>
      </c>
      <c r="H224" s="73"/>
      <c r="I224" s="73"/>
      <c r="J224" s="73"/>
      <c r="K224" s="73"/>
      <c r="L224" s="73"/>
      <c r="M224" s="73"/>
      <c r="N224" s="73"/>
      <c r="O224" s="75">
        <f>SUM(TABELA23[[#This Row],[T1]:[T7]])</f>
        <v>0</v>
      </c>
      <c r="P224" s="76">
        <f>TABELA23[[#This Row],[QTDE]]*TABELA23[[#This Row],[PREÇO]]</f>
        <v>0</v>
      </c>
    </row>
    <row r="225" spans="1:16" x14ac:dyDescent="0.2">
      <c r="A225" s="70" t="s">
        <v>1517</v>
      </c>
      <c r="B225" s="71" t="s">
        <v>1513</v>
      </c>
      <c r="C225" s="72" t="s">
        <v>1515</v>
      </c>
      <c r="D225" s="73" t="s">
        <v>1514</v>
      </c>
      <c r="E225" s="73" t="s">
        <v>1516</v>
      </c>
      <c r="F225" s="84">
        <v>151.74</v>
      </c>
      <c r="G225" s="73" t="s">
        <v>828</v>
      </c>
      <c r="H225" s="73"/>
      <c r="I225" s="73"/>
      <c r="J225" s="73"/>
      <c r="K225" s="73"/>
      <c r="L225" s="73"/>
      <c r="M225" s="73"/>
      <c r="N225" s="73"/>
      <c r="O225" s="75">
        <f>SUM(TABELA23[[#This Row],[T1]:[T7]])</f>
        <v>0</v>
      </c>
      <c r="P225" s="76">
        <f>TABELA23[[#This Row],[QTDE]]*TABELA23[[#This Row],[PREÇO]]</f>
        <v>0</v>
      </c>
    </row>
    <row r="226" spans="1:16" x14ac:dyDescent="0.2">
      <c r="A226" s="70" t="s">
        <v>1520</v>
      </c>
      <c r="B226" s="71" t="s">
        <v>1518</v>
      </c>
      <c r="C226" s="72" t="s">
        <v>1519</v>
      </c>
      <c r="D226" s="73" t="s">
        <v>830</v>
      </c>
      <c r="E226" s="73" t="s">
        <v>43</v>
      </c>
      <c r="F226" s="84">
        <v>143.04</v>
      </c>
      <c r="G226" s="73" t="s">
        <v>828</v>
      </c>
      <c r="H226" s="73"/>
      <c r="I226" s="73"/>
      <c r="J226" s="73"/>
      <c r="K226" s="73"/>
      <c r="L226" s="73"/>
      <c r="M226" s="73"/>
      <c r="N226" s="73"/>
      <c r="O226" s="75">
        <f>SUM(TABELA23[[#This Row],[T1]:[T7]])</f>
        <v>0</v>
      </c>
      <c r="P226" s="76">
        <f>TABELA23[[#This Row],[QTDE]]*TABELA23[[#This Row],[PREÇO]]</f>
        <v>0</v>
      </c>
    </row>
    <row r="227" spans="1:16" x14ac:dyDescent="0.2">
      <c r="A227" s="70" t="s">
        <v>1527</v>
      </c>
      <c r="B227" s="71" t="s">
        <v>1521</v>
      </c>
      <c r="C227" s="72" t="s">
        <v>1523</v>
      </c>
      <c r="D227" s="73" t="s">
        <v>1525</v>
      </c>
      <c r="E227" s="73" t="s">
        <v>1526</v>
      </c>
      <c r="F227" s="84">
        <v>260.43</v>
      </c>
      <c r="G227" s="73" t="s">
        <v>2320</v>
      </c>
      <c r="H227" s="73"/>
      <c r="I227" s="73"/>
      <c r="J227" s="73"/>
      <c r="K227" s="73"/>
      <c r="L227" s="73"/>
      <c r="M227" s="73"/>
      <c r="N227" s="73"/>
      <c r="O227" s="75">
        <f>SUM(TABELA23[[#This Row],[T1]:[T7]])</f>
        <v>0</v>
      </c>
      <c r="P227" s="76">
        <f>TABELA23[[#This Row],[QTDE]]*TABELA23[[#This Row],[PREÇO]]</f>
        <v>0</v>
      </c>
    </row>
    <row r="228" spans="1:16" x14ac:dyDescent="0.2">
      <c r="A228" s="70" t="s">
        <v>1530</v>
      </c>
      <c r="B228" s="71" t="s">
        <v>1528</v>
      </c>
      <c r="C228" s="72" t="s">
        <v>1529</v>
      </c>
      <c r="D228" s="73" t="s">
        <v>1317</v>
      </c>
      <c r="E228" s="73" t="s">
        <v>1319</v>
      </c>
      <c r="F228" s="84">
        <v>412.61</v>
      </c>
      <c r="G228" s="73" t="s">
        <v>829</v>
      </c>
      <c r="H228" s="73"/>
      <c r="I228" s="73"/>
      <c r="J228" s="73"/>
      <c r="K228" s="73"/>
      <c r="L228" s="73"/>
      <c r="M228" s="73"/>
      <c r="N228" s="73"/>
      <c r="O228" s="75">
        <f>SUM(TABELA23[[#This Row],[T1]:[T7]])</f>
        <v>0</v>
      </c>
      <c r="P228" s="76">
        <f>TABELA23[[#This Row],[QTDE]]*TABELA23[[#This Row],[PREÇO]]</f>
        <v>0</v>
      </c>
    </row>
    <row r="229" spans="1:16" x14ac:dyDescent="0.2">
      <c r="A229" s="70" t="s">
        <v>1533</v>
      </c>
      <c r="B229" s="71" t="s">
        <v>1531</v>
      </c>
      <c r="C229" s="72" t="s">
        <v>1532</v>
      </c>
      <c r="D229" s="73" t="s">
        <v>895</v>
      </c>
      <c r="E229" s="73" t="s">
        <v>896</v>
      </c>
      <c r="F229" s="84">
        <v>477.83</v>
      </c>
      <c r="G229" s="73" t="s">
        <v>829</v>
      </c>
      <c r="H229" s="73"/>
      <c r="I229" s="73"/>
      <c r="J229" s="73"/>
      <c r="K229" s="73"/>
      <c r="L229" s="73"/>
      <c r="M229" s="73"/>
      <c r="N229" s="73"/>
      <c r="O229" s="75">
        <f>SUM(TABELA23[[#This Row],[T1]:[T7]])</f>
        <v>0</v>
      </c>
      <c r="P229" s="76">
        <f>TABELA23[[#This Row],[QTDE]]*TABELA23[[#This Row],[PREÇO]]</f>
        <v>0</v>
      </c>
    </row>
    <row r="230" spans="1:16" x14ac:dyDescent="0.2">
      <c r="A230" s="70" t="s">
        <v>1537</v>
      </c>
      <c r="B230" s="71" t="s">
        <v>1534</v>
      </c>
      <c r="C230" s="72" t="s">
        <v>1535</v>
      </c>
      <c r="D230" s="73" t="s">
        <v>1024</v>
      </c>
      <c r="E230" s="73" t="s">
        <v>1536</v>
      </c>
      <c r="F230" s="84">
        <v>425.65</v>
      </c>
      <c r="G230" s="73" t="s">
        <v>2319</v>
      </c>
      <c r="H230" s="73"/>
      <c r="I230" s="73"/>
      <c r="J230" s="73"/>
      <c r="K230" s="73"/>
      <c r="L230" s="73"/>
      <c r="M230" s="73"/>
      <c r="N230" s="73"/>
      <c r="O230" s="75">
        <f>SUM(TABELA23[[#This Row],[T1]:[T7]])</f>
        <v>0</v>
      </c>
      <c r="P230" s="76">
        <f>TABELA23[[#This Row],[QTDE]]*TABELA23[[#This Row],[PREÇO]]</f>
        <v>0</v>
      </c>
    </row>
    <row r="231" spans="1:16" x14ac:dyDescent="0.2">
      <c r="A231" s="70" t="s">
        <v>1540</v>
      </c>
      <c r="B231" s="71" t="s">
        <v>1538</v>
      </c>
      <c r="C231" s="72" t="s">
        <v>1539</v>
      </c>
      <c r="D231" s="73" t="s">
        <v>823</v>
      </c>
      <c r="E231" s="73" t="s">
        <v>820</v>
      </c>
      <c r="F231" s="84">
        <v>160.43</v>
      </c>
      <c r="G231" s="73" t="s">
        <v>828</v>
      </c>
      <c r="H231" s="73"/>
      <c r="I231" s="73"/>
      <c r="J231" s="73"/>
      <c r="K231" s="73"/>
      <c r="L231" s="73"/>
      <c r="M231" s="73"/>
      <c r="N231" s="73"/>
      <c r="O231" s="75">
        <f>SUM(TABELA23[[#This Row],[T1]:[T7]])</f>
        <v>0</v>
      </c>
      <c r="P231" s="76">
        <f>TABELA23[[#This Row],[QTDE]]*TABELA23[[#This Row],[PREÇO]]</f>
        <v>0</v>
      </c>
    </row>
    <row r="232" spans="1:16" x14ac:dyDescent="0.2">
      <c r="A232" s="70" t="s">
        <v>1543</v>
      </c>
      <c r="B232" s="71" t="s">
        <v>1541</v>
      </c>
      <c r="C232" s="72" t="s">
        <v>1542</v>
      </c>
      <c r="D232" s="73" t="s">
        <v>823</v>
      </c>
      <c r="E232" s="73" t="s">
        <v>820</v>
      </c>
      <c r="F232" s="84">
        <v>173.48</v>
      </c>
      <c r="G232" s="73" t="s">
        <v>828</v>
      </c>
      <c r="H232" s="73"/>
      <c r="I232" s="73"/>
      <c r="J232" s="73"/>
      <c r="K232" s="73"/>
      <c r="L232" s="73"/>
      <c r="M232" s="73"/>
      <c r="N232" s="73"/>
      <c r="O232" s="75">
        <f>SUM(TABELA23[[#This Row],[T1]:[T7]])</f>
        <v>0</v>
      </c>
      <c r="P232" s="76">
        <f>TABELA23[[#This Row],[QTDE]]*TABELA23[[#This Row],[PREÇO]]</f>
        <v>0</v>
      </c>
    </row>
    <row r="233" spans="1:16" x14ac:dyDescent="0.2">
      <c r="A233" s="70" t="s">
        <v>1546</v>
      </c>
      <c r="B233" s="71" t="s">
        <v>1544</v>
      </c>
      <c r="C233" s="72" t="s">
        <v>1545</v>
      </c>
      <c r="D233" s="73" t="s">
        <v>823</v>
      </c>
      <c r="E233" s="73" t="s">
        <v>820</v>
      </c>
      <c r="F233" s="84">
        <v>160.43</v>
      </c>
      <c r="G233" s="73" t="s">
        <v>828</v>
      </c>
      <c r="H233" s="73"/>
      <c r="I233" s="73"/>
      <c r="J233" s="73"/>
      <c r="K233" s="73"/>
      <c r="L233" s="73"/>
      <c r="M233" s="73"/>
      <c r="N233" s="73"/>
      <c r="O233" s="75">
        <f>SUM(TABELA23[[#This Row],[T1]:[T7]])</f>
        <v>0</v>
      </c>
      <c r="P233" s="76">
        <f>TABELA23[[#This Row],[QTDE]]*TABELA23[[#This Row],[PREÇO]]</f>
        <v>0</v>
      </c>
    </row>
    <row r="234" spans="1:16" x14ac:dyDescent="0.2">
      <c r="A234" s="70" t="s">
        <v>1549</v>
      </c>
      <c r="B234" s="71" t="s">
        <v>1547</v>
      </c>
      <c r="C234" s="72" t="s">
        <v>1548</v>
      </c>
      <c r="D234" s="73" t="s">
        <v>1364</v>
      </c>
      <c r="E234" s="73" t="s">
        <v>1366</v>
      </c>
      <c r="F234" s="84">
        <v>160.43</v>
      </c>
      <c r="G234" s="73" t="s">
        <v>828</v>
      </c>
      <c r="H234" s="73"/>
      <c r="I234" s="73"/>
      <c r="J234" s="73"/>
      <c r="K234" s="73"/>
      <c r="L234" s="73"/>
      <c r="M234" s="73"/>
      <c r="N234" s="73"/>
      <c r="O234" s="75">
        <f>SUM(TABELA23[[#This Row],[T1]:[T7]])</f>
        <v>0</v>
      </c>
      <c r="P234" s="76">
        <f>TABELA23[[#This Row],[QTDE]]*TABELA23[[#This Row],[PREÇO]]</f>
        <v>0</v>
      </c>
    </row>
    <row r="235" spans="1:16" x14ac:dyDescent="0.2">
      <c r="A235" s="70" t="s">
        <v>1552</v>
      </c>
      <c r="B235" s="71" t="s">
        <v>1550</v>
      </c>
      <c r="C235" s="72" t="s">
        <v>1551</v>
      </c>
      <c r="D235" s="73" t="s">
        <v>823</v>
      </c>
      <c r="E235" s="73" t="s">
        <v>820</v>
      </c>
      <c r="F235" s="84">
        <v>160.43</v>
      </c>
      <c r="G235" s="73" t="s">
        <v>828</v>
      </c>
      <c r="H235" s="73"/>
      <c r="I235" s="73"/>
      <c r="J235" s="73"/>
      <c r="K235" s="73"/>
      <c r="L235" s="73"/>
      <c r="M235" s="73"/>
      <c r="N235" s="73"/>
      <c r="O235" s="75">
        <f>SUM(TABELA23[[#This Row],[T1]:[T7]])</f>
        <v>0</v>
      </c>
      <c r="P235" s="76">
        <f>TABELA23[[#This Row],[QTDE]]*TABELA23[[#This Row],[PREÇO]]</f>
        <v>0</v>
      </c>
    </row>
    <row r="236" spans="1:16" x14ac:dyDescent="0.2">
      <c r="A236" s="70" t="s">
        <v>1555</v>
      </c>
      <c r="B236" s="71" t="s">
        <v>1553</v>
      </c>
      <c r="C236" s="72" t="s">
        <v>1554</v>
      </c>
      <c r="D236" s="73" t="s">
        <v>938</v>
      </c>
      <c r="E236" s="73" t="s">
        <v>940</v>
      </c>
      <c r="F236" s="84">
        <v>130</v>
      </c>
      <c r="G236" s="73" t="s">
        <v>828</v>
      </c>
      <c r="H236" s="73"/>
      <c r="I236" s="73"/>
      <c r="J236" s="73"/>
      <c r="K236" s="73"/>
      <c r="L236" s="73"/>
      <c r="M236" s="73"/>
      <c r="N236" s="73"/>
      <c r="O236" s="75">
        <f>SUM(TABELA23[[#This Row],[T1]:[T7]])</f>
        <v>0</v>
      </c>
      <c r="P236" s="76">
        <f>TABELA23[[#This Row],[QTDE]]*TABELA23[[#This Row],[PREÇO]]</f>
        <v>0</v>
      </c>
    </row>
    <row r="237" spans="1:16" x14ac:dyDescent="0.2">
      <c r="A237" s="70" t="s">
        <v>1562</v>
      </c>
      <c r="B237" s="71" t="s">
        <v>1560</v>
      </c>
      <c r="C237" s="72" t="s">
        <v>1561</v>
      </c>
      <c r="D237" s="73" t="s">
        <v>1184</v>
      </c>
      <c r="E237" s="73" t="s">
        <v>1469</v>
      </c>
      <c r="F237" s="84">
        <v>151.74</v>
      </c>
      <c r="G237" s="73" t="s">
        <v>829</v>
      </c>
      <c r="H237" s="73"/>
      <c r="I237" s="73"/>
      <c r="J237" s="73"/>
      <c r="K237" s="73"/>
      <c r="L237" s="73"/>
      <c r="M237" s="73"/>
      <c r="N237" s="73"/>
      <c r="O237" s="75">
        <f>SUM(TABELA23[[#This Row],[T1]:[T7]])</f>
        <v>0</v>
      </c>
      <c r="P237" s="76">
        <f>TABELA23[[#This Row],[QTDE]]*TABELA23[[#This Row],[PREÇO]]</f>
        <v>0</v>
      </c>
    </row>
    <row r="238" spans="1:16" x14ac:dyDescent="0.2">
      <c r="A238" s="70" t="s">
        <v>1565</v>
      </c>
      <c r="B238" s="71" t="s">
        <v>1563</v>
      </c>
      <c r="C238" s="72" t="s">
        <v>1564</v>
      </c>
      <c r="D238" s="73" t="s">
        <v>1263</v>
      </c>
      <c r="E238" s="73" t="s">
        <v>1265</v>
      </c>
      <c r="F238" s="84">
        <v>216.96</v>
      </c>
      <c r="G238" s="73" t="s">
        <v>829</v>
      </c>
      <c r="H238" s="73"/>
      <c r="I238" s="73"/>
      <c r="J238" s="73"/>
      <c r="K238" s="73"/>
      <c r="L238" s="73"/>
      <c r="M238" s="73"/>
      <c r="N238" s="73"/>
      <c r="O238" s="75">
        <f>SUM(TABELA23[[#This Row],[T1]:[T7]])</f>
        <v>0</v>
      </c>
      <c r="P238" s="76">
        <f>TABELA23[[#This Row],[QTDE]]*TABELA23[[#This Row],[PREÇO]]</f>
        <v>0</v>
      </c>
    </row>
    <row r="239" spans="1:16" x14ac:dyDescent="0.2">
      <c r="A239" s="70" t="s">
        <v>1566</v>
      </c>
      <c r="B239" s="71" t="s">
        <v>1567</v>
      </c>
      <c r="C239" s="72" t="s">
        <v>1568</v>
      </c>
      <c r="D239" s="73" t="s">
        <v>938</v>
      </c>
      <c r="E239" s="73" t="s">
        <v>940</v>
      </c>
      <c r="F239" s="84">
        <v>216.96</v>
      </c>
      <c r="G239" s="73" t="s">
        <v>826</v>
      </c>
      <c r="H239" s="73"/>
      <c r="I239" s="73"/>
      <c r="J239" s="73"/>
      <c r="K239" s="73"/>
      <c r="L239" s="73"/>
      <c r="M239" s="73"/>
      <c r="N239" s="73"/>
      <c r="O239" s="75">
        <f>SUM(TABELA23[[#This Row],[T1]:[T7]])</f>
        <v>0</v>
      </c>
      <c r="P239" s="76">
        <f>TABELA23[[#This Row],[QTDE]]*TABELA23[[#This Row],[PREÇO]]</f>
        <v>0</v>
      </c>
    </row>
    <row r="240" spans="1:16" x14ac:dyDescent="0.2">
      <c r="A240" s="70" t="s">
        <v>1572</v>
      </c>
      <c r="B240" s="71" t="s">
        <v>1569</v>
      </c>
      <c r="C240" s="72" t="s">
        <v>1570</v>
      </c>
      <c r="D240" s="73" t="s">
        <v>821</v>
      </c>
      <c r="E240" s="73" t="s">
        <v>822</v>
      </c>
      <c r="F240" s="84">
        <v>186.52</v>
      </c>
      <c r="G240" s="73" t="s">
        <v>826</v>
      </c>
      <c r="H240" s="73"/>
      <c r="I240" s="73"/>
      <c r="J240" s="73"/>
      <c r="K240" s="73"/>
      <c r="L240" s="73"/>
      <c r="M240" s="73"/>
      <c r="N240" s="73"/>
      <c r="O240" s="75">
        <f>SUM(TABELA23[[#This Row],[T1]:[T7]])</f>
        <v>0</v>
      </c>
      <c r="P240" s="76">
        <f>TABELA23[[#This Row],[QTDE]]*TABELA23[[#This Row],[PREÇO]]</f>
        <v>0</v>
      </c>
    </row>
    <row r="241" spans="1:16" x14ac:dyDescent="0.2">
      <c r="A241" s="70" t="s">
        <v>1575</v>
      </c>
      <c r="B241" s="71" t="s">
        <v>1573</v>
      </c>
      <c r="C241" s="72" t="s">
        <v>1574</v>
      </c>
      <c r="D241" s="73" t="s">
        <v>821</v>
      </c>
      <c r="E241" s="73" t="s">
        <v>822</v>
      </c>
      <c r="F241" s="84">
        <v>130</v>
      </c>
      <c r="G241" s="73" t="s">
        <v>828</v>
      </c>
      <c r="H241" s="73"/>
      <c r="I241" s="73"/>
      <c r="J241" s="73"/>
      <c r="K241" s="73"/>
      <c r="L241" s="73"/>
      <c r="M241" s="73"/>
      <c r="N241" s="73"/>
      <c r="O241" s="75">
        <f>SUM(TABELA23[[#This Row],[T1]:[T7]])</f>
        <v>0</v>
      </c>
      <c r="P241" s="76">
        <f>TABELA23[[#This Row],[QTDE]]*TABELA23[[#This Row],[PREÇO]]</f>
        <v>0</v>
      </c>
    </row>
    <row r="242" spans="1:16" x14ac:dyDescent="0.2">
      <c r="A242" s="70" t="s">
        <v>1578</v>
      </c>
      <c r="B242" s="71" t="s">
        <v>1576</v>
      </c>
      <c r="C242" s="72" t="s">
        <v>1577</v>
      </c>
      <c r="D242" s="73" t="s">
        <v>1024</v>
      </c>
      <c r="E242" s="73" t="s">
        <v>1037</v>
      </c>
      <c r="F242" s="84">
        <v>216.96</v>
      </c>
      <c r="G242" s="73" t="s">
        <v>829</v>
      </c>
      <c r="H242" s="73"/>
      <c r="I242" s="73"/>
      <c r="J242" s="73"/>
      <c r="K242" s="73"/>
      <c r="L242" s="73"/>
      <c r="M242" s="73"/>
      <c r="N242" s="73"/>
      <c r="O242" s="75">
        <f>SUM(TABELA23[[#This Row],[T1]:[T7]])</f>
        <v>0</v>
      </c>
      <c r="P242" s="76">
        <f>TABELA23[[#This Row],[QTDE]]*TABELA23[[#This Row],[PREÇO]]</f>
        <v>0</v>
      </c>
    </row>
    <row r="243" spans="1:16" x14ac:dyDescent="0.2">
      <c r="A243" s="70" t="s">
        <v>1581</v>
      </c>
      <c r="B243" s="71" t="s">
        <v>1579</v>
      </c>
      <c r="C243" s="72" t="s">
        <v>1580</v>
      </c>
      <c r="D243" s="73" t="s">
        <v>823</v>
      </c>
      <c r="E243" s="73" t="s">
        <v>820</v>
      </c>
      <c r="F243" s="84">
        <v>130</v>
      </c>
      <c r="G243" s="73" t="s">
        <v>828</v>
      </c>
      <c r="H243" s="73"/>
      <c r="I243" s="73"/>
      <c r="J243" s="73"/>
      <c r="K243" s="73"/>
      <c r="L243" s="73"/>
      <c r="M243" s="73"/>
      <c r="N243" s="73"/>
      <c r="O243" s="75">
        <f>SUM(TABELA23[[#This Row],[T1]:[T7]])</f>
        <v>0</v>
      </c>
      <c r="P243" s="76">
        <f>TABELA23[[#This Row],[QTDE]]*TABELA23[[#This Row],[PREÇO]]</f>
        <v>0</v>
      </c>
    </row>
    <row r="244" spans="1:16" x14ac:dyDescent="0.2">
      <c r="A244" s="70" t="s">
        <v>1584</v>
      </c>
      <c r="B244" s="71" t="s">
        <v>1582</v>
      </c>
      <c r="C244" s="72" t="s">
        <v>1583</v>
      </c>
      <c r="D244" s="73" t="s">
        <v>823</v>
      </c>
      <c r="E244" s="73" t="s">
        <v>820</v>
      </c>
      <c r="F244" s="84">
        <v>143.04</v>
      </c>
      <c r="G244" s="73" t="s">
        <v>828</v>
      </c>
      <c r="H244" s="73"/>
      <c r="I244" s="73"/>
      <c r="J244" s="73"/>
      <c r="K244" s="73"/>
      <c r="L244" s="73"/>
      <c r="M244" s="73"/>
      <c r="N244" s="73"/>
      <c r="O244" s="75">
        <f>SUM(TABELA23[[#This Row],[T1]:[T7]])</f>
        <v>0</v>
      </c>
      <c r="P244" s="76">
        <f>TABELA23[[#This Row],[QTDE]]*TABELA23[[#This Row],[PREÇO]]</f>
        <v>0</v>
      </c>
    </row>
    <row r="245" spans="1:16" x14ac:dyDescent="0.2">
      <c r="A245" s="70" t="s">
        <v>1587</v>
      </c>
      <c r="B245" s="71" t="s">
        <v>1585</v>
      </c>
      <c r="C245" s="72" t="s">
        <v>1586</v>
      </c>
      <c r="D245" s="73" t="s">
        <v>1263</v>
      </c>
      <c r="E245" s="73" t="s">
        <v>1265</v>
      </c>
      <c r="F245" s="84">
        <v>316.95999999999998</v>
      </c>
      <c r="G245" s="73" t="s">
        <v>828</v>
      </c>
      <c r="H245" s="73"/>
      <c r="I245" s="73"/>
      <c r="J245" s="73"/>
      <c r="K245" s="73"/>
      <c r="L245" s="73"/>
      <c r="M245" s="73"/>
      <c r="N245" s="73"/>
      <c r="O245" s="75">
        <f>SUM(TABELA23[[#This Row],[T1]:[T7]])</f>
        <v>0</v>
      </c>
      <c r="P245" s="76">
        <f>TABELA23[[#This Row],[QTDE]]*TABELA23[[#This Row],[PREÇO]]</f>
        <v>0</v>
      </c>
    </row>
    <row r="246" spans="1:16" x14ac:dyDescent="0.2">
      <c r="A246" s="70" t="s">
        <v>1590</v>
      </c>
      <c r="B246" s="71" t="s">
        <v>1588</v>
      </c>
      <c r="C246" s="72" t="s">
        <v>1589</v>
      </c>
      <c r="D246" s="73" t="s">
        <v>32</v>
      </c>
      <c r="E246" s="73" t="s">
        <v>33</v>
      </c>
      <c r="F246" s="84">
        <v>390.87</v>
      </c>
      <c r="G246" s="73" t="s">
        <v>828</v>
      </c>
      <c r="H246" s="73"/>
      <c r="I246" s="73"/>
      <c r="J246" s="73"/>
      <c r="K246" s="73"/>
      <c r="L246" s="73"/>
      <c r="M246" s="73"/>
      <c r="N246" s="73"/>
      <c r="O246" s="75">
        <f>SUM(TABELA23[[#This Row],[T1]:[T7]])</f>
        <v>0</v>
      </c>
      <c r="P246" s="76">
        <f>TABELA23[[#This Row],[QTDE]]*TABELA23[[#This Row],[PREÇO]]</f>
        <v>0</v>
      </c>
    </row>
    <row r="247" spans="1:16" x14ac:dyDescent="0.2">
      <c r="A247" s="70" t="s">
        <v>1591</v>
      </c>
      <c r="B247" s="71" t="s">
        <v>1592</v>
      </c>
      <c r="C247" s="72" t="s">
        <v>1593</v>
      </c>
      <c r="D247" s="73" t="s">
        <v>895</v>
      </c>
      <c r="E247" s="73" t="s">
        <v>896</v>
      </c>
      <c r="F247" s="84">
        <v>143.04</v>
      </c>
      <c r="G247" s="73" t="s">
        <v>826</v>
      </c>
      <c r="H247" s="73"/>
      <c r="I247" s="73"/>
      <c r="J247" s="73"/>
      <c r="K247" s="73"/>
      <c r="L247" s="73"/>
      <c r="M247" s="73"/>
      <c r="N247" s="73"/>
      <c r="O247" s="75">
        <f>SUM(TABELA23[[#This Row],[T1]:[T7]])</f>
        <v>0</v>
      </c>
      <c r="P247" s="76">
        <f>TABELA23[[#This Row],[QTDE]]*TABELA23[[#This Row],[PREÇO]]</f>
        <v>0</v>
      </c>
    </row>
    <row r="248" spans="1:16" x14ac:dyDescent="0.2">
      <c r="A248" s="70" t="s">
        <v>1596</v>
      </c>
      <c r="B248" s="71" t="s">
        <v>1594</v>
      </c>
      <c r="C248" s="72" t="s">
        <v>1595</v>
      </c>
      <c r="D248" s="73" t="s">
        <v>32</v>
      </c>
      <c r="E248" s="73" t="s">
        <v>33</v>
      </c>
      <c r="F248" s="84">
        <v>430</v>
      </c>
      <c r="G248" s="73" t="s">
        <v>828</v>
      </c>
      <c r="H248" s="73"/>
      <c r="I248" s="73"/>
      <c r="J248" s="73"/>
      <c r="K248" s="73"/>
      <c r="L248" s="73"/>
      <c r="M248" s="73"/>
      <c r="N248" s="73"/>
      <c r="O248" s="75">
        <f>SUM(TABELA23[[#This Row],[T1]:[T7]])</f>
        <v>0</v>
      </c>
      <c r="P248" s="76">
        <f>TABELA23[[#This Row],[QTDE]]*TABELA23[[#This Row],[PREÇO]]</f>
        <v>0</v>
      </c>
    </row>
    <row r="249" spans="1:16" x14ac:dyDescent="0.2">
      <c r="A249" s="70" t="s">
        <v>1598</v>
      </c>
      <c r="B249" s="71" t="s">
        <v>1597</v>
      </c>
      <c r="C249" s="72" t="s">
        <v>2313</v>
      </c>
      <c r="D249" s="73" t="s">
        <v>1024</v>
      </c>
      <c r="E249" s="73" t="s">
        <v>1037</v>
      </c>
      <c r="F249" s="84">
        <v>369.13</v>
      </c>
      <c r="G249" s="73" t="s">
        <v>828</v>
      </c>
      <c r="H249" s="73"/>
      <c r="I249" s="73"/>
      <c r="J249" s="73"/>
      <c r="K249" s="73"/>
      <c r="L249" s="73"/>
      <c r="M249" s="73"/>
      <c r="N249" s="73"/>
      <c r="O249" s="75">
        <f>SUM(TABELA23[[#This Row],[T1]:[T7]])</f>
        <v>0</v>
      </c>
      <c r="P249" s="76">
        <f>TABELA23[[#This Row],[QTDE]]*TABELA23[[#This Row],[PREÇO]]</f>
        <v>0</v>
      </c>
    </row>
    <row r="250" spans="1:16" x14ac:dyDescent="0.2">
      <c r="A250" s="70" t="s">
        <v>1599</v>
      </c>
      <c r="B250" s="71" t="s">
        <v>1600</v>
      </c>
      <c r="C250" s="72" t="s">
        <v>818</v>
      </c>
      <c r="D250" s="73" t="s">
        <v>32</v>
      </c>
      <c r="E250" s="73" t="s">
        <v>33</v>
      </c>
      <c r="F250" s="84">
        <v>160.43</v>
      </c>
      <c r="G250" s="73" t="s">
        <v>826</v>
      </c>
      <c r="H250" s="73"/>
      <c r="I250" s="73"/>
      <c r="J250" s="73"/>
      <c r="K250" s="73"/>
      <c r="L250" s="73"/>
      <c r="M250" s="73"/>
      <c r="N250" s="73"/>
      <c r="O250" s="75">
        <f>SUM(TABELA23[[#This Row],[T1]:[T7]])</f>
        <v>0</v>
      </c>
      <c r="P250" s="76">
        <f>TABELA23[[#This Row],[QTDE]]*TABELA23[[#This Row],[PREÇO]]</f>
        <v>0</v>
      </c>
    </row>
    <row r="251" spans="1:16" x14ac:dyDescent="0.2">
      <c r="A251" s="70" t="s">
        <v>1601</v>
      </c>
      <c r="B251" s="71" t="s">
        <v>1602</v>
      </c>
      <c r="C251" s="72" t="s">
        <v>1603</v>
      </c>
      <c r="D251" s="73" t="s">
        <v>32</v>
      </c>
      <c r="E251" s="73" t="s">
        <v>33</v>
      </c>
      <c r="F251" s="84">
        <v>277.83</v>
      </c>
      <c r="G251" s="73" t="s">
        <v>826</v>
      </c>
      <c r="H251" s="73"/>
      <c r="I251" s="73"/>
      <c r="J251" s="73"/>
      <c r="K251" s="73"/>
      <c r="L251" s="73"/>
      <c r="M251" s="73"/>
      <c r="N251" s="73"/>
      <c r="O251" s="75">
        <f>SUM(TABELA23[[#This Row],[T1]:[T7]])</f>
        <v>0</v>
      </c>
      <c r="P251" s="76">
        <f>TABELA23[[#This Row],[QTDE]]*TABELA23[[#This Row],[PREÇO]]</f>
        <v>0</v>
      </c>
    </row>
    <row r="252" spans="1:16" x14ac:dyDescent="0.2">
      <c r="A252" s="70" t="s">
        <v>1605</v>
      </c>
      <c r="B252" s="71" t="s">
        <v>1606</v>
      </c>
      <c r="C252" s="72" t="s">
        <v>1607</v>
      </c>
      <c r="D252" s="73" t="s">
        <v>938</v>
      </c>
      <c r="E252" s="73" t="s">
        <v>940</v>
      </c>
      <c r="F252" s="84">
        <v>260.43</v>
      </c>
      <c r="G252" s="73" t="s">
        <v>826</v>
      </c>
      <c r="H252" s="73"/>
      <c r="I252" s="73"/>
      <c r="J252" s="73"/>
      <c r="K252" s="73"/>
      <c r="L252" s="73"/>
      <c r="M252" s="73"/>
      <c r="N252" s="73"/>
      <c r="O252" s="75">
        <f>SUM(TABELA23[[#This Row],[T1]:[T7]])</f>
        <v>0</v>
      </c>
      <c r="P252" s="76">
        <f>TABELA23[[#This Row],[QTDE]]*TABELA23[[#This Row],[PREÇO]]</f>
        <v>0</v>
      </c>
    </row>
    <row r="253" spans="1:16" x14ac:dyDescent="0.2">
      <c r="A253" s="70" t="s">
        <v>1610</v>
      </c>
      <c r="B253" s="71" t="s">
        <v>1608</v>
      </c>
      <c r="C253" s="72" t="s">
        <v>1609</v>
      </c>
      <c r="D253" s="73" t="s">
        <v>1433</v>
      </c>
      <c r="E253" s="73" t="s">
        <v>1434</v>
      </c>
      <c r="F253" s="84">
        <v>238.7</v>
      </c>
      <c r="G253" s="73" t="s">
        <v>828</v>
      </c>
      <c r="H253" s="73"/>
      <c r="I253" s="73"/>
      <c r="J253" s="73"/>
      <c r="K253" s="73"/>
      <c r="L253" s="73"/>
      <c r="M253" s="73"/>
      <c r="N253" s="73"/>
      <c r="O253" s="75">
        <f>SUM(TABELA23[[#This Row],[T1]:[T7]])</f>
        <v>0</v>
      </c>
      <c r="P253" s="76">
        <f>TABELA23[[#This Row],[QTDE]]*TABELA23[[#This Row],[PREÇO]]</f>
        <v>0</v>
      </c>
    </row>
    <row r="254" spans="1:16" x14ac:dyDescent="0.2">
      <c r="A254" s="70" t="s">
        <v>1611</v>
      </c>
      <c r="B254" s="71" t="s">
        <v>1612</v>
      </c>
      <c r="C254" s="72" t="s">
        <v>1613</v>
      </c>
      <c r="D254" s="73" t="s">
        <v>32</v>
      </c>
      <c r="E254" s="73" t="s">
        <v>33</v>
      </c>
      <c r="F254" s="84">
        <v>208.26</v>
      </c>
      <c r="G254" s="73" t="s">
        <v>826</v>
      </c>
      <c r="H254" s="73"/>
      <c r="I254" s="73"/>
      <c r="J254" s="73"/>
      <c r="K254" s="73"/>
      <c r="L254" s="73"/>
      <c r="M254" s="73"/>
      <c r="N254" s="73"/>
      <c r="O254" s="75">
        <f>SUM(TABELA23[[#This Row],[T1]:[T7]])</f>
        <v>0</v>
      </c>
      <c r="P254" s="76">
        <f>TABELA23[[#This Row],[QTDE]]*TABELA23[[#This Row],[PREÇO]]</f>
        <v>0</v>
      </c>
    </row>
    <row r="255" spans="1:16" x14ac:dyDescent="0.2">
      <c r="A255" s="70" t="s">
        <v>1614</v>
      </c>
      <c r="B255" s="71" t="s">
        <v>1612</v>
      </c>
      <c r="C255" s="72" t="s">
        <v>1613</v>
      </c>
      <c r="D255" s="73" t="s">
        <v>1184</v>
      </c>
      <c r="E255" s="73" t="s">
        <v>1469</v>
      </c>
      <c r="F255" s="84">
        <v>208.26</v>
      </c>
      <c r="G255" s="73" t="s">
        <v>826</v>
      </c>
      <c r="H255" s="73"/>
      <c r="I255" s="73"/>
      <c r="J255" s="73"/>
      <c r="K255" s="73"/>
      <c r="L255" s="73"/>
      <c r="M255" s="73"/>
      <c r="N255" s="73"/>
      <c r="O255" s="75">
        <f>SUM(TABELA23[[#This Row],[T1]:[T7]])</f>
        <v>0</v>
      </c>
      <c r="P255" s="76">
        <f>TABELA23[[#This Row],[QTDE]]*TABELA23[[#This Row],[PREÇO]]</f>
        <v>0</v>
      </c>
    </row>
    <row r="256" spans="1:16" x14ac:dyDescent="0.2">
      <c r="A256" s="70" t="s">
        <v>1617</v>
      </c>
      <c r="B256" s="71" t="s">
        <v>1615</v>
      </c>
      <c r="C256" s="72" t="s">
        <v>1616</v>
      </c>
      <c r="D256" s="73" t="s">
        <v>1433</v>
      </c>
      <c r="E256" s="73" t="s">
        <v>1434</v>
      </c>
      <c r="F256" s="84">
        <v>347.39</v>
      </c>
      <c r="G256" s="73" t="s">
        <v>826</v>
      </c>
      <c r="H256" s="73"/>
      <c r="I256" s="73"/>
      <c r="J256" s="73"/>
      <c r="K256" s="73"/>
      <c r="L256" s="73"/>
      <c r="M256" s="73"/>
      <c r="N256" s="73"/>
      <c r="O256" s="75">
        <f>SUM(TABELA23[[#This Row],[T1]:[T7]])</f>
        <v>0</v>
      </c>
      <c r="P256" s="76">
        <f>TABELA23[[#This Row],[QTDE]]*TABELA23[[#This Row],[PREÇO]]</f>
        <v>0</v>
      </c>
    </row>
    <row r="257" spans="1:16" x14ac:dyDescent="0.2">
      <c r="A257" s="70" t="s">
        <v>1618</v>
      </c>
      <c r="B257" s="71" t="s">
        <v>1619</v>
      </c>
      <c r="C257" s="72" t="s">
        <v>1620</v>
      </c>
      <c r="D257" s="73" t="s">
        <v>1184</v>
      </c>
      <c r="E257" s="73" t="s">
        <v>1469</v>
      </c>
      <c r="F257" s="84">
        <v>273.48</v>
      </c>
      <c r="G257" s="73" t="s">
        <v>826</v>
      </c>
      <c r="H257" s="73"/>
      <c r="I257" s="73"/>
      <c r="J257" s="73"/>
      <c r="K257" s="73"/>
      <c r="L257" s="73"/>
      <c r="M257" s="73"/>
      <c r="N257" s="73"/>
      <c r="O257" s="75">
        <f>SUM(TABELA23[[#This Row],[T1]:[T7]])</f>
        <v>0</v>
      </c>
      <c r="P257" s="76">
        <f>TABELA23[[#This Row],[QTDE]]*TABELA23[[#This Row],[PREÇO]]</f>
        <v>0</v>
      </c>
    </row>
    <row r="258" spans="1:16" x14ac:dyDescent="0.2">
      <c r="A258" s="70" t="s">
        <v>1623</v>
      </c>
      <c r="B258" s="71" t="s">
        <v>1621</v>
      </c>
      <c r="C258" s="72" t="s">
        <v>1622</v>
      </c>
      <c r="D258" s="73" t="s">
        <v>1448</v>
      </c>
      <c r="E258" s="73" t="s">
        <v>1450</v>
      </c>
      <c r="F258" s="84">
        <v>477.83</v>
      </c>
      <c r="G258" s="73" t="s">
        <v>829</v>
      </c>
      <c r="H258" s="73"/>
      <c r="I258" s="73"/>
      <c r="J258" s="73"/>
      <c r="K258" s="73"/>
      <c r="L258" s="73"/>
      <c r="M258" s="73"/>
      <c r="N258" s="73"/>
      <c r="O258" s="75">
        <f>SUM(TABELA23[[#This Row],[T1]:[T7]])</f>
        <v>0</v>
      </c>
      <c r="P258" s="76">
        <f>TABELA23[[#This Row],[QTDE]]*TABELA23[[#This Row],[PREÇO]]</f>
        <v>0</v>
      </c>
    </row>
    <row r="259" spans="1:16" x14ac:dyDescent="0.2">
      <c r="A259" s="70" t="s">
        <v>1626</v>
      </c>
      <c r="B259" s="71" t="s">
        <v>1624</v>
      </c>
      <c r="C259" s="72" t="s">
        <v>1625</v>
      </c>
      <c r="D259" s="73" t="s">
        <v>1417</v>
      </c>
      <c r="E259" s="73" t="s">
        <v>1419</v>
      </c>
      <c r="F259" s="84">
        <v>521.29999999999995</v>
      </c>
      <c r="G259" s="73" t="s">
        <v>829</v>
      </c>
      <c r="H259" s="73"/>
      <c r="I259" s="73"/>
      <c r="J259" s="73"/>
      <c r="K259" s="73"/>
      <c r="L259" s="73"/>
      <c r="M259" s="73"/>
      <c r="N259" s="73"/>
      <c r="O259" s="75">
        <f>SUM(TABELA23[[#This Row],[T1]:[T7]])</f>
        <v>0</v>
      </c>
      <c r="P259" s="76">
        <f>TABELA23[[#This Row],[QTDE]]*TABELA23[[#This Row],[PREÇO]]</f>
        <v>0</v>
      </c>
    </row>
    <row r="260" spans="1:16" x14ac:dyDescent="0.2">
      <c r="A260" s="70" t="s">
        <v>1627</v>
      </c>
      <c r="B260" s="71" t="s">
        <v>1628</v>
      </c>
      <c r="C260" s="72" t="s">
        <v>1629</v>
      </c>
      <c r="D260" s="73" t="s">
        <v>32</v>
      </c>
      <c r="E260" s="73" t="s">
        <v>33</v>
      </c>
      <c r="F260" s="84">
        <v>143.04</v>
      </c>
      <c r="G260" s="73" t="s">
        <v>826</v>
      </c>
      <c r="H260" s="73"/>
      <c r="I260" s="73"/>
      <c r="J260" s="73"/>
      <c r="K260" s="73"/>
      <c r="L260" s="73"/>
      <c r="M260" s="73"/>
      <c r="N260" s="73"/>
      <c r="O260" s="75">
        <f>SUM(TABELA23[[#This Row],[T1]:[T7]])</f>
        <v>0</v>
      </c>
      <c r="P260" s="76">
        <f>TABELA23[[#This Row],[QTDE]]*TABELA23[[#This Row],[PREÇO]]</f>
        <v>0</v>
      </c>
    </row>
    <row r="261" spans="1:16" x14ac:dyDescent="0.2">
      <c r="A261" s="70" t="s">
        <v>1630</v>
      </c>
      <c r="B261" s="71" t="s">
        <v>1628</v>
      </c>
      <c r="C261" s="72" t="s">
        <v>1629</v>
      </c>
      <c r="D261" s="73" t="s">
        <v>821</v>
      </c>
      <c r="E261" s="73" t="s">
        <v>822</v>
      </c>
      <c r="F261" s="84">
        <v>143.04</v>
      </c>
      <c r="G261" s="73" t="s">
        <v>826</v>
      </c>
      <c r="H261" s="73"/>
      <c r="I261" s="73"/>
      <c r="J261" s="73"/>
      <c r="K261" s="73"/>
      <c r="L261" s="73"/>
      <c r="M261" s="73"/>
      <c r="N261" s="73"/>
      <c r="O261" s="75">
        <f>SUM(TABELA23[[#This Row],[T1]:[T7]])</f>
        <v>0</v>
      </c>
      <c r="P261" s="76">
        <f>TABELA23[[#This Row],[QTDE]]*TABELA23[[#This Row],[PREÇO]]</f>
        <v>0</v>
      </c>
    </row>
    <row r="262" spans="1:16" x14ac:dyDescent="0.2">
      <c r="A262" s="70" t="s">
        <v>1631</v>
      </c>
      <c r="B262" s="71" t="s">
        <v>1632</v>
      </c>
      <c r="C262" s="72" t="s">
        <v>1633</v>
      </c>
      <c r="D262" s="73" t="s">
        <v>32</v>
      </c>
      <c r="E262" s="73" t="s">
        <v>33</v>
      </c>
      <c r="F262" s="84">
        <v>169.13</v>
      </c>
      <c r="G262" s="73" t="s">
        <v>826</v>
      </c>
      <c r="H262" s="73"/>
      <c r="I262" s="73"/>
      <c r="J262" s="73"/>
      <c r="K262" s="73"/>
      <c r="L262" s="73"/>
      <c r="M262" s="73"/>
      <c r="N262" s="73"/>
      <c r="O262" s="75">
        <f>SUM(TABELA23[[#This Row],[T1]:[T7]])</f>
        <v>0</v>
      </c>
      <c r="P262" s="76">
        <f>TABELA23[[#This Row],[QTDE]]*TABELA23[[#This Row],[PREÇO]]</f>
        <v>0</v>
      </c>
    </row>
    <row r="263" spans="1:16" x14ac:dyDescent="0.2">
      <c r="A263" s="70" t="s">
        <v>1634</v>
      </c>
      <c r="B263" s="71" t="s">
        <v>1632</v>
      </c>
      <c r="C263" s="72" t="s">
        <v>1633</v>
      </c>
      <c r="D263" s="73" t="s">
        <v>1635</v>
      </c>
      <c r="E263" s="73" t="s">
        <v>1636</v>
      </c>
      <c r="F263" s="84">
        <v>169.13</v>
      </c>
      <c r="G263" s="73" t="s">
        <v>826</v>
      </c>
      <c r="H263" s="73"/>
      <c r="I263" s="73"/>
      <c r="J263" s="73"/>
      <c r="K263" s="73"/>
      <c r="L263" s="73"/>
      <c r="M263" s="73"/>
      <c r="N263" s="73"/>
      <c r="O263" s="75">
        <f>SUM(TABELA23[[#This Row],[T1]:[T7]])</f>
        <v>0</v>
      </c>
      <c r="P263" s="76">
        <f>TABELA23[[#This Row],[QTDE]]*TABELA23[[#This Row],[PREÇO]]</f>
        <v>0</v>
      </c>
    </row>
    <row r="264" spans="1:16" x14ac:dyDescent="0.2">
      <c r="A264" s="70" t="s">
        <v>1637</v>
      </c>
      <c r="B264" s="71" t="s">
        <v>1638</v>
      </c>
      <c r="C264" s="72" t="s">
        <v>1639</v>
      </c>
      <c r="D264" s="73" t="s">
        <v>32</v>
      </c>
      <c r="E264" s="73" t="s">
        <v>33</v>
      </c>
      <c r="F264" s="84">
        <v>273.48</v>
      </c>
      <c r="G264" s="73" t="s">
        <v>826</v>
      </c>
      <c r="H264" s="73"/>
      <c r="I264" s="73"/>
      <c r="J264" s="73"/>
      <c r="K264" s="73"/>
      <c r="L264" s="73"/>
      <c r="M264" s="73"/>
      <c r="N264" s="73"/>
      <c r="O264" s="75">
        <f>SUM(TABELA23[[#This Row],[T1]:[T7]])</f>
        <v>0</v>
      </c>
      <c r="P264" s="76">
        <f>TABELA23[[#This Row],[QTDE]]*TABELA23[[#This Row],[PREÇO]]</f>
        <v>0</v>
      </c>
    </row>
    <row r="265" spans="1:16" x14ac:dyDescent="0.2">
      <c r="A265" s="70" t="s">
        <v>1640</v>
      </c>
      <c r="B265" s="71" t="s">
        <v>1638</v>
      </c>
      <c r="C265" s="72" t="s">
        <v>1639</v>
      </c>
      <c r="D265" s="73" t="s">
        <v>830</v>
      </c>
      <c r="E265" s="73" t="s">
        <v>43</v>
      </c>
      <c r="F265" s="84">
        <v>273.48</v>
      </c>
      <c r="G265" s="73" t="s">
        <v>826</v>
      </c>
      <c r="H265" s="73"/>
      <c r="I265" s="73"/>
      <c r="J265" s="73"/>
      <c r="K265" s="73"/>
      <c r="L265" s="73"/>
      <c r="M265" s="73"/>
      <c r="N265" s="73"/>
      <c r="O265" s="75">
        <f>SUM(TABELA23[[#This Row],[T1]:[T7]])</f>
        <v>0</v>
      </c>
      <c r="P265" s="76">
        <f>TABELA23[[#This Row],[QTDE]]*TABELA23[[#This Row],[PREÇO]]</f>
        <v>0</v>
      </c>
    </row>
    <row r="266" spans="1:16" x14ac:dyDescent="0.2">
      <c r="A266" s="70" t="s">
        <v>1641</v>
      </c>
      <c r="B266" s="71" t="s">
        <v>1642</v>
      </c>
      <c r="C266" s="72" t="s">
        <v>1644</v>
      </c>
      <c r="D266" s="73" t="s">
        <v>1643</v>
      </c>
      <c r="E266" s="73" t="s">
        <v>64</v>
      </c>
      <c r="F266" s="84">
        <v>164.78</v>
      </c>
      <c r="G266" s="73" t="s">
        <v>826</v>
      </c>
      <c r="H266" s="73"/>
      <c r="I266" s="73"/>
      <c r="J266" s="73"/>
      <c r="K266" s="73"/>
      <c r="L266" s="73"/>
      <c r="M266" s="73"/>
      <c r="N266" s="73"/>
      <c r="O266" s="75">
        <f>SUM(TABELA23[[#This Row],[T1]:[T7]])</f>
        <v>0</v>
      </c>
      <c r="P266" s="76">
        <f>TABELA23[[#This Row],[QTDE]]*TABELA23[[#This Row],[PREÇO]]</f>
        <v>0</v>
      </c>
    </row>
    <row r="267" spans="1:16" x14ac:dyDescent="0.2">
      <c r="A267" s="70" t="s">
        <v>1645</v>
      </c>
      <c r="B267" s="71" t="s">
        <v>1646</v>
      </c>
      <c r="C267" s="72" t="s">
        <v>1647</v>
      </c>
      <c r="D267" s="73" t="s">
        <v>1009</v>
      </c>
      <c r="E267" s="73" t="s">
        <v>1011</v>
      </c>
      <c r="F267" s="84">
        <v>286.52</v>
      </c>
      <c r="G267" s="73" t="s">
        <v>826</v>
      </c>
      <c r="H267" s="73"/>
      <c r="I267" s="73"/>
      <c r="J267" s="73"/>
      <c r="K267" s="73"/>
      <c r="L267" s="73"/>
      <c r="M267" s="73"/>
      <c r="N267" s="73"/>
      <c r="O267" s="75">
        <f>SUM(TABELA23[[#This Row],[T1]:[T7]])</f>
        <v>0</v>
      </c>
      <c r="P267" s="76">
        <f>TABELA23[[#This Row],[QTDE]]*TABELA23[[#This Row],[PREÇO]]</f>
        <v>0</v>
      </c>
    </row>
    <row r="268" spans="1:16" x14ac:dyDescent="0.2">
      <c r="A268" s="70" t="s">
        <v>1648</v>
      </c>
      <c r="B268" s="71" t="s">
        <v>1649</v>
      </c>
      <c r="C268" s="72" t="s">
        <v>1650</v>
      </c>
      <c r="D268" s="73" t="s">
        <v>32</v>
      </c>
      <c r="E268" s="73" t="s">
        <v>33</v>
      </c>
      <c r="F268" s="84">
        <v>195.22</v>
      </c>
      <c r="G268" s="73" t="s">
        <v>2321</v>
      </c>
      <c r="H268" s="73"/>
      <c r="I268" s="73"/>
      <c r="J268" s="73"/>
      <c r="K268" s="73"/>
      <c r="L268" s="73"/>
      <c r="M268" s="73"/>
      <c r="N268" s="73"/>
      <c r="O268" s="75">
        <f>SUM(TABELA23[[#This Row],[T1]:[T7]])</f>
        <v>0</v>
      </c>
      <c r="P268" s="76">
        <f>TABELA23[[#This Row],[QTDE]]*TABELA23[[#This Row],[PREÇO]]</f>
        <v>0</v>
      </c>
    </row>
    <row r="269" spans="1:16" x14ac:dyDescent="0.2">
      <c r="A269" s="70" t="s">
        <v>1651</v>
      </c>
      <c r="B269" s="71" t="s">
        <v>1649</v>
      </c>
      <c r="C269" s="72" t="s">
        <v>1650</v>
      </c>
      <c r="D269" s="73" t="s">
        <v>830</v>
      </c>
      <c r="E269" s="73" t="s">
        <v>43</v>
      </c>
      <c r="F269" s="84">
        <v>195.22</v>
      </c>
      <c r="G269" s="73" t="s">
        <v>2321</v>
      </c>
      <c r="H269" s="73"/>
      <c r="I269" s="73"/>
      <c r="J269" s="73"/>
      <c r="K269" s="73"/>
      <c r="L269" s="73"/>
      <c r="M269" s="73"/>
      <c r="N269" s="73"/>
      <c r="O269" s="75">
        <f>SUM(TABELA23[[#This Row],[T1]:[T7]])</f>
        <v>0</v>
      </c>
      <c r="P269" s="76">
        <f>TABELA23[[#This Row],[QTDE]]*TABELA23[[#This Row],[PREÇO]]</f>
        <v>0</v>
      </c>
    </row>
    <row r="270" spans="1:16" x14ac:dyDescent="0.2">
      <c r="A270" s="70" t="s">
        <v>1652</v>
      </c>
      <c r="B270" s="71" t="s">
        <v>1653</v>
      </c>
      <c r="C270" s="72" t="s">
        <v>1654</v>
      </c>
      <c r="D270" s="73" t="s">
        <v>1635</v>
      </c>
      <c r="E270" s="73" t="s">
        <v>1636</v>
      </c>
      <c r="F270" s="84">
        <v>234.35</v>
      </c>
      <c r="G270" s="73" t="s">
        <v>826</v>
      </c>
      <c r="H270" s="73"/>
      <c r="I270" s="73"/>
      <c r="J270" s="73"/>
      <c r="K270" s="73"/>
      <c r="L270" s="73"/>
      <c r="M270" s="73"/>
      <c r="N270" s="73"/>
      <c r="O270" s="75">
        <f>SUM(TABELA23[[#This Row],[T1]:[T7]])</f>
        <v>0</v>
      </c>
      <c r="P270" s="76">
        <f>TABELA23[[#This Row],[QTDE]]*TABELA23[[#This Row],[PREÇO]]</f>
        <v>0</v>
      </c>
    </row>
    <row r="271" spans="1:16" x14ac:dyDescent="0.2">
      <c r="A271" s="70" t="s">
        <v>1655</v>
      </c>
      <c r="B271" s="71" t="s">
        <v>1656</v>
      </c>
      <c r="C271" s="72" t="s">
        <v>1657</v>
      </c>
      <c r="D271" s="73" t="s">
        <v>1635</v>
      </c>
      <c r="E271" s="73" t="s">
        <v>1636</v>
      </c>
      <c r="F271" s="84">
        <v>251.74</v>
      </c>
      <c r="G271" s="73" t="s">
        <v>826</v>
      </c>
      <c r="H271" s="73"/>
      <c r="I271" s="73"/>
      <c r="J271" s="73"/>
      <c r="K271" s="73"/>
      <c r="L271" s="73"/>
      <c r="M271" s="73"/>
      <c r="N271" s="73"/>
      <c r="O271" s="75">
        <f>SUM(TABELA23[[#This Row],[T1]:[T7]])</f>
        <v>0</v>
      </c>
      <c r="P271" s="76">
        <f>TABELA23[[#This Row],[QTDE]]*TABELA23[[#This Row],[PREÇO]]</f>
        <v>0</v>
      </c>
    </row>
    <row r="272" spans="1:16" x14ac:dyDescent="0.2">
      <c r="A272" s="70" t="s">
        <v>1658</v>
      </c>
      <c r="B272" s="71" t="s">
        <v>1659</v>
      </c>
      <c r="C272" s="72" t="s">
        <v>1660</v>
      </c>
      <c r="D272" s="73" t="s">
        <v>32</v>
      </c>
      <c r="E272" s="73" t="s">
        <v>33</v>
      </c>
      <c r="F272" s="84">
        <v>290.87</v>
      </c>
      <c r="G272" s="73" t="s">
        <v>826</v>
      </c>
      <c r="H272" s="73"/>
      <c r="I272" s="73"/>
      <c r="J272" s="73"/>
      <c r="K272" s="73"/>
      <c r="L272" s="73"/>
      <c r="M272" s="73"/>
      <c r="N272" s="73"/>
      <c r="O272" s="75">
        <f>SUM(TABELA23[[#This Row],[T1]:[T7]])</f>
        <v>0</v>
      </c>
      <c r="P272" s="76">
        <f>TABELA23[[#This Row],[QTDE]]*TABELA23[[#This Row],[PREÇO]]</f>
        <v>0</v>
      </c>
    </row>
    <row r="273" spans="1:16" x14ac:dyDescent="0.2">
      <c r="A273" s="70" t="s">
        <v>1661</v>
      </c>
      <c r="B273" s="71" t="s">
        <v>1659</v>
      </c>
      <c r="C273" s="72" t="s">
        <v>1660</v>
      </c>
      <c r="D273" s="73" t="s">
        <v>1662</v>
      </c>
      <c r="E273" s="73" t="s">
        <v>1663</v>
      </c>
      <c r="F273" s="84">
        <v>290.87</v>
      </c>
      <c r="G273" s="73" t="s">
        <v>826</v>
      </c>
      <c r="H273" s="73"/>
      <c r="I273" s="73"/>
      <c r="J273" s="73"/>
      <c r="K273" s="73"/>
      <c r="L273" s="73"/>
      <c r="M273" s="73"/>
      <c r="N273" s="73"/>
      <c r="O273" s="75">
        <f>SUM(TABELA23[[#This Row],[T1]:[T7]])</f>
        <v>0</v>
      </c>
      <c r="P273" s="76">
        <f>TABELA23[[#This Row],[QTDE]]*TABELA23[[#This Row],[PREÇO]]</f>
        <v>0</v>
      </c>
    </row>
    <row r="274" spans="1:16" x14ac:dyDescent="0.2">
      <c r="A274" s="70" t="s">
        <v>1664</v>
      </c>
      <c r="B274" s="71" t="s">
        <v>1665</v>
      </c>
      <c r="C274" s="72" t="s">
        <v>1666</v>
      </c>
      <c r="D274" s="73" t="s">
        <v>1384</v>
      </c>
      <c r="E274" s="73" t="s">
        <v>1386</v>
      </c>
      <c r="F274" s="84">
        <v>321.3</v>
      </c>
      <c r="G274" s="73" t="s">
        <v>826</v>
      </c>
      <c r="H274" s="73"/>
      <c r="I274" s="73"/>
      <c r="J274" s="73"/>
      <c r="K274" s="73"/>
      <c r="L274" s="73"/>
      <c r="M274" s="73"/>
      <c r="N274" s="73"/>
      <c r="O274" s="75">
        <f>SUM(TABELA23[[#This Row],[T1]:[T7]])</f>
        <v>0</v>
      </c>
      <c r="P274" s="76">
        <f>TABELA23[[#This Row],[QTDE]]*TABELA23[[#This Row],[PREÇO]]</f>
        <v>0</v>
      </c>
    </row>
    <row r="275" spans="1:16" x14ac:dyDescent="0.2">
      <c r="A275" s="70" t="s">
        <v>1667</v>
      </c>
      <c r="B275" s="71" t="s">
        <v>1668</v>
      </c>
      <c r="C275" s="72" t="s">
        <v>1669</v>
      </c>
      <c r="D275" s="73" t="s">
        <v>1635</v>
      </c>
      <c r="E275" s="73" t="s">
        <v>1636</v>
      </c>
      <c r="F275" s="84">
        <v>190.87</v>
      </c>
      <c r="G275" s="73" t="s">
        <v>826</v>
      </c>
      <c r="H275" s="73"/>
      <c r="I275" s="73"/>
      <c r="J275" s="73"/>
      <c r="K275" s="73"/>
      <c r="L275" s="73"/>
      <c r="M275" s="73"/>
      <c r="N275" s="73"/>
      <c r="O275" s="75">
        <f>SUM(TABELA23[[#This Row],[T1]:[T7]])</f>
        <v>0</v>
      </c>
      <c r="P275" s="76">
        <f>TABELA23[[#This Row],[QTDE]]*TABELA23[[#This Row],[PREÇO]]</f>
        <v>0</v>
      </c>
    </row>
    <row r="276" spans="1:16" x14ac:dyDescent="0.2">
      <c r="A276" s="70" t="s">
        <v>1673</v>
      </c>
      <c r="B276" s="71" t="s">
        <v>1671</v>
      </c>
      <c r="C276" s="72" t="s">
        <v>1672</v>
      </c>
      <c r="D276" s="73" t="s">
        <v>830</v>
      </c>
      <c r="E276" s="73" t="s">
        <v>43</v>
      </c>
      <c r="F276" s="84">
        <v>169.13</v>
      </c>
      <c r="G276" s="73" t="s">
        <v>826</v>
      </c>
      <c r="H276" s="73"/>
      <c r="I276" s="73"/>
      <c r="J276" s="73"/>
      <c r="K276" s="73"/>
      <c r="L276" s="73"/>
      <c r="M276" s="73"/>
      <c r="N276" s="73"/>
      <c r="O276" s="75">
        <f>SUM(TABELA23[[#This Row],[T1]:[T7]])</f>
        <v>0</v>
      </c>
      <c r="P276" s="76">
        <f>TABELA23[[#This Row],[QTDE]]*TABELA23[[#This Row],[PREÇO]]</f>
        <v>0</v>
      </c>
    </row>
    <row r="277" spans="1:16" x14ac:dyDescent="0.2">
      <c r="A277" s="70" t="s">
        <v>1670</v>
      </c>
      <c r="B277" s="71" t="s">
        <v>1671</v>
      </c>
      <c r="C277" s="72" t="s">
        <v>1672</v>
      </c>
      <c r="D277" s="73" t="s">
        <v>32</v>
      </c>
      <c r="E277" s="73" t="s">
        <v>33</v>
      </c>
      <c r="F277" s="84">
        <v>169.13</v>
      </c>
      <c r="G277" s="73" t="s">
        <v>826</v>
      </c>
      <c r="H277" s="73"/>
      <c r="I277" s="73"/>
      <c r="J277" s="73"/>
      <c r="K277" s="73"/>
      <c r="L277" s="73"/>
      <c r="M277" s="73"/>
      <c r="N277" s="73"/>
      <c r="O277" s="75">
        <f>SUM(TABELA23[[#This Row],[T1]:[T7]])</f>
        <v>0</v>
      </c>
      <c r="P277" s="76">
        <f>TABELA23[[#This Row],[QTDE]]*TABELA23[[#This Row],[PREÇO]]</f>
        <v>0</v>
      </c>
    </row>
    <row r="278" spans="1:16" x14ac:dyDescent="0.2">
      <c r="A278" s="70" t="s">
        <v>1675</v>
      </c>
      <c r="B278" s="71" t="s">
        <v>1676</v>
      </c>
      <c r="C278" s="72" t="s">
        <v>1677</v>
      </c>
      <c r="D278" s="73" t="s">
        <v>1317</v>
      </c>
      <c r="E278" s="73" t="s">
        <v>1319</v>
      </c>
      <c r="F278" s="84">
        <v>216.96</v>
      </c>
      <c r="G278" s="73" t="s">
        <v>826</v>
      </c>
      <c r="H278" s="73"/>
      <c r="I278" s="73"/>
      <c r="J278" s="73"/>
      <c r="K278" s="73"/>
      <c r="L278" s="73"/>
      <c r="M278" s="73"/>
      <c r="N278" s="73"/>
      <c r="O278" s="75">
        <f>SUM(TABELA23[[#This Row],[T1]:[T7]])</f>
        <v>0</v>
      </c>
      <c r="P278" s="76">
        <f>TABELA23[[#This Row],[QTDE]]*TABELA23[[#This Row],[PREÇO]]</f>
        <v>0</v>
      </c>
    </row>
    <row r="279" spans="1:16" x14ac:dyDescent="0.2">
      <c r="A279" s="70" t="s">
        <v>1681</v>
      </c>
      <c r="B279" s="71" t="s">
        <v>1678</v>
      </c>
      <c r="C279" s="72" t="s">
        <v>1679</v>
      </c>
      <c r="D279" s="73" t="s">
        <v>882</v>
      </c>
      <c r="E279" s="73" t="s">
        <v>817</v>
      </c>
      <c r="F279" s="84">
        <v>195.22</v>
      </c>
      <c r="G279" s="73" t="s">
        <v>826</v>
      </c>
      <c r="H279" s="73"/>
      <c r="I279" s="73"/>
      <c r="J279" s="73"/>
      <c r="K279" s="73"/>
      <c r="L279" s="73"/>
      <c r="M279" s="73"/>
      <c r="N279" s="73"/>
      <c r="O279" s="75">
        <f>SUM(TABELA23[[#This Row],[T1]:[T7]])</f>
        <v>0</v>
      </c>
      <c r="P279" s="76">
        <f>TABELA23[[#This Row],[QTDE]]*TABELA23[[#This Row],[PREÇO]]</f>
        <v>0</v>
      </c>
    </row>
    <row r="280" spans="1:16" x14ac:dyDescent="0.2">
      <c r="A280" s="70" t="s">
        <v>1684</v>
      </c>
      <c r="B280" s="71" t="s">
        <v>1682</v>
      </c>
      <c r="C280" s="72" t="s">
        <v>1683</v>
      </c>
      <c r="D280" s="73" t="s">
        <v>1643</v>
      </c>
      <c r="E280" s="73" t="s">
        <v>64</v>
      </c>
      <c r="F280" s="84">
        <v>277.83</v>
      </c>
      <c r="G280" s="73" t="s">
        <v>826</v>
      </c>
      <c r="H280" s="73"/>
      <c r="I280" s="73"/>
      <c r="J280" s="73"/>
      <c r="K280" s="73"/>
      <c r="L280" s="73"/>
      <c r="M280" s="73"/>
      <c r="N280" s="73"/>
      <c r="O280" s="75">
        <f>SUM(TABELA23[[#This Row],[T1]:[T7]])</f>
        <v>0</v>
      </c>
      <c r="P280" s="76">
        <f>TABELA23[[#This Row],[QTDE]]*TABELA23[[#This Row],[PREÇO]]</f>
        <v>0</v>
      </c>
    </row>
    <row r="281" spans="1:16" x14ac:dyDescent="0.2">
      <c r="A281" s="70" t="s">
        <v>1685</v>
      </c>
      <c r="B281" s="71" t="s">
        <v>1686</v>
      </c>
      <c r="C281" s="72" t="s">
        <v>1687</v>
      </c>
      <c r="D281" s="73" t="s">
        <v>32</v>
      </c>
      <c r="E281" s="73" t="s">
        <v>33</v>
      </c>
      <c r="F281" s="84">
        <v>143.04</v>
      </c>
      <c r="G281" s="73" t="s">
        <v>826</v>
      </c>
      <c r="H281" s="73"/>
      <c r="I281" s="73"/>
      <c r="J281" s="73"/>
      <c r="K281" s="73"/>
      <c r="L281" s="73"/>
      <c r="M281" s="73"/>
      <c r="N281" s="73"/>
      <c r="O281" s="75">
        <f>SUM(TABELA23[[#This Row],[T1]:[T7]])</f>
        <v>0</v>
      </c>
      <c r="P281" s="76">
        <f>TABELA23[[#This Row],[QTDE]]*TABELA23[[#This Row],[PREÇO]]</f>
        <v>0</v>
      </c>
    </row>
    <row r="282" spans="1:16" x14ac:dyDescent="0.2">
      <c r="A282" s="70" t="s">
        <v>1690</v>
      </c>
      <c r="B282" s="71" t="s">
        <v>1691</v>
      </c>
      <c r="C282" s="72" t="s">
        <v>1692</v>
      </c>
      <c r="D282" s="73" t="s">
        <v>1371</v>
      </c>
      <c r="E282" s="73" t="s">
        <v>1373</v>
      </c>
      <c r="F282" s="84">
        <v>238.7</v>
      </c>
      <c r="G282" s="73" t="s">
        <v>826</v>
      </c>
      <c r="H282" s="73"/>
      <c r="I282" s="73"/>
      <c r="J282" s="73"/>
      <c r="K282" s="73"/>
      <c r="L282" s="73"/>
      <c r="M282" s="73"/>
      <c r="N282" s="73"/>
      <c r="O282" s="75">
        <f>SUM(TABELA23[[#This Row],[T1]:[T7]])</f>
        <v>0</v>
      </c>
      <c r="P282" s="76">
        <f>TABELA23[[#This Row],[QTDE]]*TABELA23[[#This Row],[PREÇO]]</f>
        <v>0</v>
      </c>
    </row>
    <row r="283" spans="1:16" x14ac:dyDescent="0.2">
      <c r="A283" s="70" t="s">
        <v>1695</v>
      </c>
      <c r="B283" s="71" t="s">
        <v>1693</v>
      </c>
      <c r="C283" s="72" t="s">
        <v>1694</v>
      </c>
      <c r="D283" s="73" t="s">
        <v>1662</v>
      </c>
      <c r="E283" s="73" t="s">
        <v>1663</v>
      </c>
      <c r="F283" s="84">
        <v>243.04</v>
      </c>
      <c r="G283" s="73" t="s">
        <v>19</v>
      </c>
      <c r="H283" s="73"/>
      <c r="I283" s="73"/>
      <c r="J283" s="73"/>
      <c r="K283" s="73"/>
      <c r="L283" s="73"/>
      <c r="M283" s="73"/>
      <c r="N283" s="73"/>
      <c r="O283" s="75">
        <f>SUM(TABELA23[[#This Row],[T1]:[T7]])</f>
        <v>0</v>
      </c>
      <c r="P283" s="76">
        <f>TABELA23[[#This Row],[QTDE]]*TABELA23[[#This Row],[PREÇO]]</f>
        <v>0</v>
      </c>
    </row>
    <row r="284" spans="1:16" x14ac:dyDescent="0.2">
      <c r="A284" s="70" t="s">
        <v>1697</v>
      </c>
      <c r="B284" s="71" t="s">
        <v>1693</v>
      </c>
      <c r="C284" s="72" t="s">
        <v>1694</v>
      </c>
      <c r="D284" s="73" t="s">
        <v>1696</v>
      </c>
      <c r="E284" s="73" t="s">
        <v>73</v>
      </c>
      <c r="F284" s="84">
        <v>243.04</v>
      </c>
      <c r="G284" s="73" t="s">
        <v>19</v>
      </c>
      <c r="H284" s="73"/>
      <c r="I284" s="73"/>
      <c r="J284" s="73"/>
      <c r="K284" s="73"/>
      <c r="L284" s="73"/>
      <c r="M284" s="73"/>
      <c r="N284" s="73"/>
      <c r="O284" s="75">
        <f>SUM(TABELA23[[#This Row],[T1]:[T7]])</f>
        <v>0</v>
      </c>
      <c r="P284" s="76">
        <f>TABELA23[[#This Row],[QTDE]]*TABELA23[[#This Row],[PREÇO]]</f>
        <v>0</v>
      </c>
    </row>
    <row r="285" spans="1:16" x14ac:dyDescent="0.2">
      <c r="A285" s="70" t="s">
        <v>1698</v>
      </c>
      <c r="B285" s="71" t="s">
        <v>1699</v>
      </c>
      <c r="C285" s="72" t="s">
        <v>1700</v>
      </c>
      <c r="D285" s="73" t="s">
        <v>32</v>
      </c>
      <c r="E285" s="73" t="s">
        <v>33</v>
      </c>
      <c r="F285" s="84">
        <v>164.78</v>
      </c>
      <c r="G285" s="73" t="s">
        <v>826</v>
      </c>
      <c r="H285" s="73"/>
      <c r="I285" s="73"/>
      <c r="J285" s="73"/>
      <c r="K285" s="73"/>
      <c r="L285" s="73"/>
      <c r="M285" s="73"/>
      <c r="N285" s="73"/>
      <c r="O285" s="75">
        <f>SUM(TABELA23[[#This Row],[T1]:[T7]])</f>
        <v>0</v>
      </c>
      <c r="P285" s="76">
        <f>TABELA23[[#This Row],[QTDE]]*TABELA23[[#This Row],[PREÇO]]</f>
        <v>0</v>
      </c>
    </row>
    <row r="286" spans="1:16" x14ac:dyDescent="0.2">
      <c r="A286" s="70" t="s">
        <v>1701</v>
      </c>
      <c r="B286" s="71" t="s">
        <v>1702</v>
      </c>
      <c r="C286" s="72" t="s">
        <v>1703</v>
      </c>
      <c r="D286" s="73" t="s">
        <v>32</v>
      </c>
      <c r="E286" s="73" t="s">
        <v>33</v>
      </c>
      <c r="F286" s="84">
        <v>186.52</v>
      </c>
      <c r="G286" s="73" t="s">
        <v>826</v>
      </c>
      <c r="H286" s="73"/>
      <c r="I286" s="73"/>
      <c r="J286" s="73"/>
      <c r="K286" s="73"/>
      <c r="L286" s="73"/>
      <c r="M286" s="73"/>
      <c r="N286" s="73"/>
      <c r="O286" s="75">
        <f>SUM(TABELA23[[#This Row],[T1]:[T7]])</f>
        <v>0</v>
      </c>
      <c r="P286" s="76">
        <f>TABELA23[[#This Row],[QTDE]]*TABELA23[[#This Row],[PREÇO]]</f>
        <v>0</v>
      </c>
    </row>
    <row r="287" spans="1:16" x14ac:dyDescent="0.2">
      <c r="A287" s="70" t="s">
        <v>1704</v>
      </c>
      <c r="B287" s="71" t="s">
        <v>1705</v>
      </c>
      <c r="C287" s="72" t="s">
        <v>1654</v>
      </c>
      <c r="D287" s="73" t="s">
        <v>1184</v>
      </c>
      <c r="E287" s="73" t="s">
        <v>2317</v>
      </c>
      <c r="F287" s="84">
        <v>234.35</v>
      </c>
      <c r="G287" s="73" t="s">
        <v>826</v>
      </c>
      <c r="H287" s="73"/>
      <c r="I287" s="73"/>
      <c r="J287" s="73"/>
      <c r="K287" s="73"/>
      <c r="L287" s="73"/>
      <c r="M287" s="73"/>
      <c r="N287" s="73"/>
      <c r="O287" s="75">
        <f>SUM(TABELA23[[#This Row],[T1]:[T7]])</f>
        <v>0</v>
      </c>
      <c r="P287" s="76">
        <f>TABELA23[[#This Row],[QTDE]]*TABELA23[[#This Row],[PREÇO]]</f>
        <v>0</v>
      </c>
    </row>
    <row r="288" spans="1:16" x14ac:dyDescent="0.2">
      <c r="A288" s="70" t="s">
        <v>1708</v>
      </c>
      <c r="B288" s="71" t="s">
        <v>1706</v>
      </c>
      <c r="C288" s="72" t="s">
        <v>1707</v>
      </c>
      <c r="D288" s="73" t="s">
        <v>1643</v>
      </c>
      <c r="E288" s="73" t="s">
        <v>64</v>
      </c>
      <c r="F288" s="84">
        <v>190.87</v>
      </c>
      <c r="G288" s="73" t="s">
        <v>826</v>
      </c>
      <c r="H288" s="73"/>
      <c r="I288" s="73"/>
      <c r="J288" s="73"/>
      <c r="K288" s="73"/>
      <c r="L288" s="73"/>
      <c r="M288" s="73"/>
      <c r="N288" s="73"/>
      <c r="O288" s="75">
        <f>SUM(TABELA23[[#This Row],[T1]:[T7]])</f>
        <v>0</v>
      </c>
      <c r="P288" s="76">
        <f>TABELA23[[#This Row],[QTDE]]*TABELA23[[#This Row],[PREÇO]]</f>
        <v>0</v>
      </c>
    </row>
    <row r="289" spans="1:16" x14ac:dyDescent="0.2">
      <c r="A289" s="70" t="s">
        <v>1711</v>
      </c>
      <c r="B289" s="71" t="s">
        <v>1709</v>
      </c>
      <c r="C289" s="72" t="s">
        <v>1710</v>
      </c>
      <c r="D289" s="73" t="s">
        <v>1364</v>
      </c>
      <c r="E289" s="73" t="s">
        <v>1366</v>
      </c>
      <c r="F289" s="84">
        <v>173.48</v>
      </c>
      <c r="G289" s="73" t="s">
        <v>828</v>
      </c>
      <c r="H289" s="73"/>
      <c r="I289" s="73"/>
      <c r="J289" s="73"/>
      <c r="K289" s="73"/>
      <c r="L289" s="73"/>
      <c r="M289" s="73"/>
      <c r="N289" s="73"/>
      <c r="O289" s="75">
        <f>SUM(TABELA23[[#This Row],[T1]:[T7]])</f>
        <v>0</v>
      </c>
      <c r="P289" s="76">
        <f>TABELA23[[#This Row],[QTDE]]*TABELA23[[#This Row],[PREÇO]]</f>
        <v>0</v>
      </c>
    </row>
    <row r="290" spans="1:16" x14ac:dyDescent="0.2">
      <c r="A290" s="70" t="s">
        <v>1714</v>
      </c>
      <c r="B290" s="71" t="s">
        <v>1712</v>
      </c>
      <c r="C290" s="72" t="s">
        <v>1713</v>
      </c>
      <c r="D290" s="73" t="s">
        <v>1364</v>
      </c>
      <c r="E290" s="73" t="s">
        <v>1366</v>
      </c>
      <c r="F290" s="84">
        <v>208.26</v>
      </c>
      <c r="G290" s="73" t="s">
        <v>828</v>
      </c>
      <c r="H290" s="73"/>
      <c r="I290" s="73"/>
      <c r="J290" s="73"/>
      <c r="K290" s="73"/>
      <c r="L290" s="73"/>
      <c r="M290" s="73"/>
      <c r="N290" s="73"/>
      <c r="O290" s="75">
        <f>SUM(TABELA23[[#This Row],[T1]:[T7]])</f>
        <v>0</v>
      </c>
      <c r="P290" s="76">
        <f>TABELA23[[#This Row],[QTDE]]*TABELA23[[#This Row],[PREÇO]]</f>
        <v>0</v>
      </c>
    </row>
    <row r="291" spans="1:16" x14ac:dyDescent="0.2">
      <c r="A291" s="70" t="s">
        <v>1717</v>
      </c>
      <c r="B291" s="71" t="s">
        <v>1715</v>
      </c>
      <c r="C291" s="72" t="s">
        <v>1716</v>
      </c>
      <c r="D291" s="73" t="s">
        <v>823</v>
      </c>
      <c r="E291" s="73" t="s">
        <v>820</v>
      </c>
      <c r="F291" s="84">
        <v>208.26</v>
      </c>
      <c r="G291" s="73" t="s">
        <v>828</v>
      </c>
      <c r="H291" s="73"/>
      <c r="I291" s="73"/>
      <c r="J291" s="73"/>
      <c r="K291" s="73"/>
      <c r="L291" s="73"/>
      <c r="M291" s="73"/>
      <c r="N291" s="73"/>
      <c r="O291" s="75">
        <f>SUM(TABELA23[[#This Row],[T1]:[T7]])</f>
        <v>0</v>
      </c>
      <c r="P291" s="76">
        <f>TABELA23[[#This Row],[QTDE]]*TABELA23[[#This Row],[PREÇO]]</f>
        <v>0</v>
      </c>
    </row>
    <row r="292" spans="1:16" x14ac:dyDescent="0.2">
      <c r="A292" s="70" t="s">
        <v>1720</v>
      </c>
      <c r="B292" s="71" t="s">
        <v>1718</v>
      </c>
      <c r="C292" s="72" t="s">
        <v>1719</v>
      </c>
      <c r="D292" s="73" t="s">
        <v>823</v>
      </c>
      <c r="E292" s="73" t="s">
        <v>820</v>
      </c>
      <c r="F292" s="84">
        <v>208.26</v>
      </c>
      <c r="G292" s="73" t="s">
        <v>828</v>
      </c>
      <c r="H292" s="73"/>
      <c r="I292" s="73"/>
      <c r="J292" s="73"/>
      <c r="K292" s="73"/>
      <c r="L292" s="73"/>
      <c r="M292" s="73"/>
      <c r="N292" s="73"/>
      <c r="O292" s="75">
        <f>SUM(TABELA23[[#This Row],[T1]:[T7]])</f>
        <v>0</v>
      </c>
      <c r="P292" s="76">
        <f>TABELA23[[#This Row],[QTDE]]*TABELA23[[#This Row],[PREÇO]]</f>
        <v>0</v>
      </c>
    </row>
    <row r="293" spans="1:16" x14ac:dyDescent="0.2">
      <c r="A293" s="70" t="s">
        <v>1721</v>
      </c>
      <c r="B293" s="71" t="s">
        <v>1722</v>
      </c>
      <c r="C293" s="72" t="s">
        <v>1723</v>
      </c>
      <c r="D293" s="73" t="s">
        <v>823</v>
      </c>
      <c r="E293" s="73" t="s">
        <v>820</v>
      </c>
      <c r="F293" s="84">
        <v>273.48</v>
      </c>
      <c r="G293" s="73" t="s">
        <v>826</v>
      </c>
      <c r="H293" s="73"/>
      <c r="I293" s="73"/>
      <c r="J293" s="73"/>
      <c r="K293" s="73"/>
      <c r="L293" s="73"/>
      <c r="M293" s="73"/>
      <c r="N293" s="73"/>
      <c r="O293" s="75">
        <f>SUM(TABELA23[[#This Row],[T1]:[T7]])</f>
        <v>0</v>
      </c>
      <c r="P293" s="76">
        <f>TABELA23[[#This Row],[QTDE]]*TABELA23[[#This Row],[PREÇO]]</f>
        <v>0</v>
      </c>
    </row>
    <row r="294" spans="1:16" x14ac:dyDescent="0.2">
      <c r="A294" s="70" t="s">
        <v>1726</v>
      </c>
      <c r="B294" s="71" t="s">
        <v>1724</v>
      </c>
      <c r="C294" s="72" t="s">
        <v>1725</v>
      </c>
      <c r="D294" s="73" t="s">
        <v>1317</v>
      </c>
      <c r="E294" s="73" t="s">
        <v>1319</v>
      </c>
      <c r="F294" s="84">
        <v>160.43</v>
      </c>
      <c r="G294" s="73" t="s">
        <v>828</v>
      </c>
      <c r="H294" s="73"/>
      <c r="I294" s="73"/>
      <c r="J294" s="73"/>
      <c r="K294" s="73"/>
      <c r="L294" s="73"/>
      <c r="M294" s="73"/>
      <c r="N294" s="73"/>
      <c r="O294" s="75">
        <f>SUM(TABELA23[[#This Row],[T1]:[T7]])</f>
        <v>0</v>
      </c>
      <c r="P294" s="76">
        <f>TABELA23[[#This Row],[QTDE]]*TABELA23[[#This Row],[PREÇO]]</f>
        <v>0</v>
      </c>
    </row>
    <row r="295" spans="1:16" x14ac:dyDescent="0.2">
      <c r="A295" s="70" t="s">
        <v>1730</v>
      </c>
      <c r="B295" s="71" t="s">
        <v>1728</v>
      </c>
      <c r="C295" s="72" t="s">
        <v>1729</v>
      </c>
      <c r="D295" s="73" t="s">
        <v>830</v>
      </c>
      <c r="E295" s="73" t="s">
        <v>43</v>
      </c>
      <c r="F295" s="84">
        <v>212.61</v>
      </c>
      <c r="G295" s="73" t="s">
        <v>826</v>
      </c>
      <c r="H295" s="73"/>
      <c r="I295" s="73"/>
      <c r="J295" s="73"/>
      <c r="K295" s="73"/>
      <c r="L295" s="73"/>
      <c r="M295" s="73"/>
      <c r="N295" s="73"/>
      <c r="O295" s="75">
        <f>SUM(TABELA23[[#This Row],[T1]:[T7]])</f>
        <v>0</v>
      </c>
      <c r="P295" s="76">
        <f>TABELA23[[#This Row],[QTDE]]*TABELA23[[#This Row],[PREÇO]]</f>
        <v>0</v>
      </c>
    </row>
    <row r="296" spans="1:16" x14ac:dyDescent="0.2">
      <c r="A296" s="70" t="s">
        <v>1727</v>
      </c>
      <c r="B296" s="71" t="s">
        <v>1728</v>
      </c>
      <c r="C296" s="72" t="s">
        <v>1729</v>
      </c>
      <c r="D296" s="73" t="s">
        <v>32</v>
      </c>
      <c r="E296" s="73" t="s">
        <v>33</v>
      </c>
      <c r="F296" s="84">
        <v>212.61</v>
      </c>
      <c r="G296" s="73" t="s">
        <v>826</v>
      </c>
      <c r="H296" s="73"/>
      <c r="I296" s="73"/>
      <c r="J296" s="73"/>
      <c r="K296" s="73"/>
      <c r="L296" s="73"/>
      <c r="M296" s="73"/>
      <c r="N296" s="73"/>
      <c r="O296" s="75">
        <f>SUM(TABELA23[[#This Row],[T1]:[T7]])</f>
        <v>0</v>
      </c>
      <c r="P296" s="76">
        <f>TABELA23[[#This Row],[QTDE]]*TABELA23[[#This Row],[PREÇO]]</f>
        <v>0</v>
      </c>
    </row>
    <row r="297" spans="1:16" x14ac:dyDescent="0.2">
      <c r="A297" s="70" t="s">
        <v>1731</v>
      </c>
      <c r="B297" s="71" t="s">
        <v>1732</v>
      </c>
      <c r="C297" s="72" t="s">
        <v>1733</v>
      </c>
      <c r="D297" s="73" t="s">
        <v>830</v>
      </c>
      <c r="E297" s="73" t="s">
        <v>43</v>
      </c>
      <c r="F297" s="84">
        <v>256.08999999999997</v>
      </c>
      <c r="G297" s="73" t="s">
        <v>826</v>
      </c>
      <c r="H297" s="73"/>
      <c r="I297" s="73"/>
      <c r="J297" s="73"/>
      <c r="K297" s="73"/>
      <c r="L297" s="73"/>
      <c r="M297" s="73"/>
      <c r="N297" s="73"/>
      <c r="O297" s="75">
        <f>SUM(TABELA23[[#This Row],[T1]:[T7]])</f>
        <v>0</v>
      </c>
      <c r="P297" s="76">
        <f>TABELA23[[#This Row],[QTDE]]*TABELA23[[#This Row],[PREÇO]]</f>
        <v>0</v>
      </c>
    </row>
    <row r="298" spans="1:16" x14ac:dyDescent="0.2">
      <c r="A298" s="70" t="s">
        <v>1734</v>
      </c>
      <c r="B298" s="71" t="s">
        <v>1732</v>
      </c>
      <c r="C298" s="72" t="s">
        <v>1733</v>
      </c>
      <c r="D298" s="73" t="s">
        <v>1635</v>
      </c>
      <c r="E298" s="73" t="s">
        <v>1636</v>
      </c>
      <c r="F298" s="84">
        <v>256.08999999999997</v>
      </c>
      <c r="G298" s="73" t="s">
        <v>826</v>
      </c>
      <c r="H298" s="73"/>
      <c r="I298" s="73"/>
      <c r="J298" s="73"/>
      <c r="K298" s="73"/>
      <c r="L298" s="73"/>
      <c r="M298" s="73"/>
      <c r="N298" s="73"/>
      <c r="O298" s="75">
        <f>SUM(TABELA23[[#This Row],[T1]:[T7]])</f>
        <v>0</v>
      </c>
      <c r="P298" s="76">
        <f>TABELA23[[#This Row],[QTDE]]*TABELA23[[#This Row],[PREÇO]]</f>
        <v>0</v>
      </c>
    </row>
    <row r="299" spans="1:16" x14ac:dyDescent="0.2">
      <c r="A299" s="70" t="s">
        <v>1737</v>
      </c>
      <c r="B299" s="71" t="s">
        <v>1735</v>
      </c>
      <c r="C299" s="72" t="s">
        <v>1736</v>
      </c>
      <c r="D299" s="73" t="s">
        <v>823</v>
      </c>
      <c r="E299" s="73" t="s">
        <v>820</v>
      </c>
      <c r="F299" s="84">
        <v>303.91000000000003</v>
      </c>
      <c r="G299" s="73" t="s">
        <v>828</v>
      </c>
      <c r="H299" s="73"/>
      <c r="I299" s="73"/>
      <c r="J299" s="73"/>
      <c r="K299" s="73"/>
      <c r="L299" s="73"/>
      <c r="M299" s="73"/>
      <c r="N299" s="73"/>
      <c r="O299" s="75">
        <f>SUM(TABELA23[[#This Row],[T1]:[T7]])</f>
        <v>0</v>
      </c>
      <c r="P299" s="76">
        <f>TABELA23[[#This Row],[QTDE]]*TABELA23[[#This Row],[PREÇO]]</f>
        <v>0</v>
      </c>
    </row>
    <row r="300" spans="1:16" x14ac:dyDescent="0.2">
      <c r="A300" s="70" t="s">
        <v>1740</v>
      </c>
      <c r="B300" s="71" t="s">
        <v>1738</v>
      </c>
      <c r="C300" s="72" t="s">
        <v>1739</v>
      </c>
      <c r="D300" s="73" t="s">
        <v>823</v>
      </c>
      <c r="E300" s="73" t="s">
        <v>820</v>
      </c>
      <c r="F300" s="84">
        <v>199.57</v>
      </c>
      <c r="G300" s="73" t="s">
        <v>828</v>
      </c>
      <c r="H300" s="73"/>
      <c r="I300" s="73"/>
      <c r="J300" s="73"/>
      <c r="K300" s="73"/>
      <c r="L300" s="73"/>
      <c r="M300" s="73"/>
      <c r="N300" s="73"/>
      <c r="O300" s="75">
        <f>SUM(TABELA23[[#This Row],[T1]:[T7]])</f>
        <v>0</v>
      </c>
      <c r="P300" s="76">
        <f>TABELA23[[#This Row],[QTDE]]*TABELA23[[#This Row],[PREÇO]]</f>
        <v>0</v>
      </c>
    </row>
    <row r="301" spans="1:16" x14ac:dyDescent="0.2">
      <c r="A301" s="70" t="s">
        <v>1743</v>
      </c>
      <c r="B301" s="71" t="s">
        <v>1741</v>
      </c>
      <c r="C301" s="72" t="s">
        <v>1742</v>
      </c>
      <c r="D301" s="73" t="s">
        <v>32</v>
      </c>
      <c r="E301" s="73" t="s">
        <v>33</v>
      </c>
      <c r="F301" s="84">
        <v>186.52</v>
      </c>
      <c r="G301" s="73" t="s">
        <v>828</v>
      </c>
      <c r="H301" s="73"/>
      <c r="I301" s="73"/>
      <c r="J301" s="73"/>
      <c r="K301" s="73"/>
      <c r="L301" s="73"/>
      <c r="M301" s="73"/>
      <c r="N301" s="73"/>
      <c r="O301" s="75">
        <f>SUM(TABELA23[[#This Row],[T1]:[T7]])</f>
        <v>0</v>
      </c>
      <c r="P301" s="76">
        <f>TABELA23[[#This Row],[QTDE]]*TABELA23[[#This Row],[PREÇO]]</f>
        <v>0</v>
      </c>
    </row>
    <row r="302" spans="1:16" x14ac:dyDescent="0.2">
      <c r="A302" s="70" t="s">
        <v>1744</v>
      </c>
      <c r="B302" s="71" t="s">
        <v>1745</v>
      </c>
      <c r="C302" s="72" t="s">
        <v>1746</v>
      </c>
      <c r="D302" s="73" t="s">
        <v>823</v>
      </c>
      <c r="E302" s="73" t="s">
        <v>820</v>
      </c>
      <c r="F302" s="84">
        <v>295.22000000000003</v>
      </c>
      <c r="G302" s="73" t="s">
        <v>826</v>
      </c>
      <c r="H302" s="73"/>
      <c r="I302" s="73"/>
      <c r="J302" s="73"/>
      <c r="K302" s="73"/>
      <c r="L302" s="73"/>
      <c r="M302" s="73"/>
      <c r="N302" s="73"/>
      <c r="O302" s="75">
        <f>SUM(TABELA23[[#This Row],[T1]:[T7]])</f>
        <v>0</v>
      </c>
      <c r="P302" s="76">
        <f>TABELA23[[#This Row],[QTDE]]*TABELA23[[#This Row],[PREÇO]]</f>
        <v>0</v>
      </c>
    </row>
    <row r="303" spans="1:16" x14ac:dyDescent="0.2">
      <c r="A303" s="70" t="s">
        <v>1747</v>
      </c>
      <c r="B303" s="71" t="s">
        <v>1748</v>
      </c>
      <c r="C303" s="72" t="s">
        <v>2314</v>
      </c>
      <c r="D303" s="73" t="s">
        <v>32</v>
      </c>
      <c r="E303" s="73" t="s">
        <v>33</v>
      </c>
      <c r="F303" s="84">
        <v>295.22000000000003</v>
      </c>
      <c r="G303" s="73" t="s">
        <v>826</v>
      </c>
      <c r="H303" s="73"/>
      <c r="I303" s="73"/>
      <c r="J303" s="73"/>
      <c r="K303" s="73"/>
      <c r="L303" s="73"/>
      <c r="M303" s="73"/>
      <c r="N303" s="73"/>
      <c r="O303" s="75">
        <f>SUM(TABELA23[[#This Row],[T1]:[T7]])</f>
        <v>0</v>
      </c>
      <c r="P303" s="76">
        <f>TABELA23[[#This Row],[QTDE]]*TABELA23[[#This Row],[PREÇO]]</f>
        <v>0</v>
      </c>
    </row>
    <row r="304" spans="1:16" x14ac:dyDescent="0.2">
      <c r="A304" s="70" t="s">
        <v>1751</v>
      </c>
      <c r="B304" s="71" t="s">
        <v>1749</v>
      </c>
      <c r="C304" s="72" t="s">
        <v>1750</v>
      </c>
      <c r="D304" s="73" t="s">
        <v>1371</v>
      </c>
      <c r="E304" s="73" t="s">
        <v>1373</v>
      </c>
      <c r="F304" s="84">
        <v>477.83</v>
      </c>
      <c r="G304" s="73" t="s">
        <v>826</v>
      </c>
      <c r="H304" s="73"/>
      <c r="I304" s="73"/>
      <c r="J304" s="73"/>
      <c r="K304" s="73"/>
      <c r="L304" s="73"/>
      <c r="M304" s="73"/>
      <c r="N304" s="73"/>
      <c r="O304" s="75">
        <f>SUM(TABELA23[[#This Row],[T1]:[T7]])</f>
        <v>0</v>
      </c>
      <c r="P304" s="76">
        <f>TABELA23[[#This Row],[QTDE]]*TABELA23[[#This Row],[PREÇO]]</f>
        <v>0</v>
      </c>
    </row>
    <row r="305" spans="1:16" x14ac:dyDescent="0.2">
      <c r="A305" s="70" t="s">
        <v>1754</v>
      </c>
      <c r="B305" s="71" t="s">
        <v>1752</v>
      </c>
      <c r="C305" s="72" t="s">
        <v>1753</v>
      </c>
      <c r="D305" s="73" t="s">
        <v>1184</v>
      </c>
      <c r="E305" s="73" t="s">
        <v>1469</v>
      </c>
      <c r="F305" s="84">
        <v>521.29999999999995</v>
      </c>
      <c r="G305" s="73" t="s">
        <v>826</v>
      </c>
      <c r="H305" s="73"/>
      <c r="I305" s="73"/>
      <c r="J305" s="73"/>
      <c r="K305" s="73"/>
      <c r="L305" s="73"/>
      <c r="M305" s="73"/>
      <c r="N305" s="73"/>
      <c r="O305" s="75">
        <f>SUM(TABELA23[[#This Row],[T1]:[T7]])</f>
        <v>0</v>
      </c>
      <c r="P305" s="76">
        <f>TABELA23[[#This Row],[QTDE]]*TABELA23[[#This Row],[PREÇO]]</f>
        <v>0</v>
      </c>
    </row>
    <row r="306" spans="1:16" x14ac:dyDescent="0.2">
      <c r="A306" s="70" t="s">
        <v>1755</v>
      </c>
      <c r="B306" s="71" t="s">
        <v>1756</v>
      </c>
      <c r="C306" s="72" t="s">
        <v>1757</v>
      </c>
      <c r="D306" s="73" t="s">
        <v>32</v>
      </c>
      <c r="E306" s="73" t="s">
        <v>33</v>
      </c>
      <c r="F306" s="84">
        <v>99.57</v>
      </c>
      <c r="G306" s="73" t="s">
        <v>826</v>
      </c>
      <c r="H306" s="73"/>
      <c r="I306" s="73"/>
      <c r="J306" s="73"/>
      <c r="K306" s="73"/>
      <c r="L306" s="73"/>
      <c r="M306" s="73"/>
      <c r="N306" s="73"/>
      <c r="O306" s="75">
        <f>SUM(TABELA23[[#This Row],[T1]:[T7]])</f>
        <v>0</v>
      </c>
      <c r="P306" s="76">
        <f>TABELA23[[#This Row],[QTDE]]*TABELA23[[#This Row],[PREÇO]]</f>
        <v>0</v>
      </c>
    </row>
    <row r="307" spans="1:16" x14ac:dyDescent="0.2">
      <c r="A307" s="70" t="s">
        <v>1758</v>
      </c>
      <c r="B307" s="71" t="s">
        <v>1759</v>
      </c>
      <c r="C307" s="72" t="s">
        <v>1760</v>
      </c>
      <c r="D307" s="73" t="s">
        <v>32</v>
      </c>
      <c r="E307" s="73" t="s">
        <v>33</v>
      </c>
      <c r="F307" s="84">
        <v>82.17</v>
      </c>
      <c r="G307" s="73" t="s">
        <v>826</v>
      </c>
      <c r="H307" s="73"/>
      <c r="I307" s="73"/>
      <c r="J307" s="73"/>
      <c r="K307" s="73"/>
      <c r="L307" s="73"/>
      <c r="M307" s="73"/>
      <c r="N307" s="73"/>
      <c r="O307" s="75">
        <f>SUM(TABELA23[[#This Row],[T1]:[T7]])</f>
        <v>0</v>
      </c>
      <c r="P307" s="76">
        <f>TABELA23[[#This Row],[QTDE]]*TABELA23[[#This Row],[PREÇO]]</f>
        <v>0</v>
      </c>
    </row>
    <row r="308" spans="1:16" x14ac:dyDescent="0.2">
      <c r="A308" s="70" t="s">
        <v>1761</v>
      </c>
      <c r="B308" s="71" t="s">
        <v>1762</v>
      </c>
      <c r="C308" s="72" t="s">
        <v>1763</v>
      </c>
      <c r="D308" s="73" t="s">
        <v>561</v>
      </c>
      <c r="E308" s="73" t="s">
        <v>45</v>
      </c>
      <c r="F308" s="84">
        <v>108.26</v>
      </c>
      <c r="G308" s="73" t="s">
        <v>826</v>
      </c>
      <c r="H308" s="73"/>
      <c r="I308" s="73"/>
      <c r="J308" s="73"/>
      <c r="K308" s="73"/>
      <c r="L308" s="73"/>
      <c r="M308" s="73"/>
      <c r="N308" s="73"/>
      <c r="O308" s="75">
        <f>SUM(TABELA23[[#This Row],[T1]:[T7]])</f>
        <v>0</v>
      </c>
      <c r="P308" s="76">
        <f>TABELA23[[#This Row],[QTDE]]*TABELA23[[#This Row],[PREÇO]]</f>
        <v>0</v>
      </c>
    </row>
    <row r="309" spans="1:16" x14ac:dyDescent="0.2">
      <c r="A309" s="70" t="s">
        <v>1764</v>
      </c>
      <c r="B309" s="71" t="s">
        <v>1762</v>
      </c>
      <c r="C309" s="72" t="s">
        <v>1763</v>
      </c>
      <c r="D309" s="73" t="s">
        <v>32</v>
      </c>
      <c r="E309" s="73" t="s">
        <v>33</v>
      </c>
      <c r="F309" s="84">
        <v>108.26</v>
      </c>
      <c r="G309" s="73" t="s">
        <v>826</v>
      </c>
      <c r="H309" s="73"/>
      <c r="I309" s="73"/>
      <c r="J309" s="73"/>
      <c r="K309" s="73"/>
      <c r="L309" s="73"/>
      <c r="M309" s="73"/>
      <c r="N309" s="73"/>
      <c r="O309" s="75">
        <f>SUM(TABELA23[[#This Row],[T1]:[T7]])</f>
        <v>0</v>
      </c>
      <c r="P309" s="76">
        <f>TABELA23[[#This Row],[QTDE]]*TABELA23[[#This Row],[PREÇO]]</f>
        <v>0</v>
      </c>
    </row>
    <row r="310" spans="1:16" x14ac:dyDescent="0.2">
      <c r="A310" s="70" t="s">
        <v>1767</v>
      </c>
      <c r="B310" s="71" t="s">
        <v>1765</v>
      </c>
      <c r="C310" s="72" t="s">
        <v>1766</v>
      </c>
      <c r="D310" s="73" t="s">
        <v>1384</v>
      </c>
      <c r="E310" s="73" t="s">
        <v>1386</v>
      </c>
      <c r="F310" s="84">
        <v>99.57</v>
      </c>
      <c r="G310" s="73" t="s">
        <v>829</v>
      </c>
      <c r="H310" s="73"/>
      <c r="I310" s="73"/>
      <c r="J310" s="73"/>
      <c r="K310" s="73"/>
      <c r="L310" s="73"/>
      <c r="M310" s="73"/>
      <c r="N310" s="73"/>
      <c r="O310" s="75">
        <f>SUM(TABELA23[[#This Row],[T1]:[T7]])</f>
        <v>0</v>
      </c>
      <c r="P310" s="76">
        <f>TABELA23[[#This Row],[QTDE]]*TABELA23[[#This Row],[PREÇO]]</f>
        <v>0</v>
      </c>
    </row>
    <row r="311" spans="1:16" x14ac:dyDescent="0.2">
      <c r="A311" s="70" t="s">
        <v>1770</v>
      </c>
      <c r="B311" s="71" t="s">
        <v>1768</v>
      </c>
      <c r="C311" s="72" t="s">
        <v>1769</v>
      </c>
      <c r="D311" s="73" t="s">
        <v>929</v>
      </c>
      <c r="E311" s="73" t="s">
        <v>931</v>
      </c>
      <c r="F311" s="84">
        <v>82.17</v>
      </c>
      <c r="G311" s="73" t="s">
        <v>829</v>
      </c>
      <c r="H311" s="73"/>
      <c r="I311" s="73"/>
      <c r="J311" s="73"/>
      <c r="K311" s="73"/>
      <c r="L311" s="73"/>
      <c r="M311" s="73"/>
      <c r="N311" s="73"/>
      <c r="O311" s="75">
        <f>SUM(TABELA23[[#This Row],[T1]:[T7]])</f>
        <v>0</v>
      </c>
      <c r="P311" s="76">
        <f>TABELA23[[#This Row],[QTDE]]*TABELA23[[#This Row],[PREÇO]]</f>
        <v>0</v>
      </c>
    </row>
    <row r="312" spans="1:16" x14ac:dyDescent="0.2">
      <c r="A312" s="70" t="s">
        <v>1771</v>
      </c>
      <c r="B312" s="71" t="s">
        <v>1768</v>
      </c>
      <c r="C312" s="72" t="s">
        <v>1769</v>
      </c>
      <c r="D312" s="73" t="s">
        <v>1164</v>
      </c>
      <c r="E312" s="73" t="s">
        <v>1166</v>
      </c>
      <c r="F312" s="84">
        <v>82.17</v>
      </c>
      <c r="G312" s="73" t="s">
        <v>829</v>
      </c>
      <c r="H312" s="73"/>
      <c r="I312" s="73"/>
      <c r="J312" s="73"/>
      <c r="K312" s="73"/>
      <c r="L312" s="73"/>
      <c r="M312" s="73"/>
      <c r="N312" s="73"/>
      <c r="O312" s="75">
        <f>SUM(TABELA23[[#This Row],[T1]:[T7]])</f>
        <v>0</v>
      </c>
      <c r="P312" s="76">
        <f>TABELA23[[#This Row],[QTDE]]*TABELA23[[#This Row],[PREÇO]]</f>
        <v>0</v>
      </c>
    </row>
    <row r="313" spans="1:16" x14ac:dyDescent="0.2">
      <c r="A313" s="70" t="s">
        <v>1774</v>
      </c>
      <c r="B313" s="71" t="s">
        <v>1772</v>
      </c>
      <c r="C313" s="72" t="s">
        <v>1773</v>
      </c>
      <c r="D313" s="73" t="s">
        <v>32</v>
      </c>
      <c r="E313" s="73" t="s">
        <v>33</v>
      </c>
      <c r="F313" s="84">
        <v>103.91</v>
      </c>
      <c r="G313" s="73" t="s">
        <v>829</v>
      </c>
      <c r="H313" s="73"/>
      <c r="I313" s="73"/>
      <c r="J313" s="73"/>
      <c r="K313" s="73"/>
      <c r="L313" s="73"/>
      <c r="M313" s="73"/>
      <c r="N313" s="73"/>
      <c r="O313" s="75">
        <f>SUM(TABELA23[[#This Row],[T1]:[T7]])</f>
        <v>0</v>
      </c>
      <c r="P313" s="76">
        <f>TABELA23[[#This Row],[QTDE]]*TABELA23[[#This Row],[PREÇO]]</f>
        <v>0</v>
      </c>
    </row>
    <row r="314" spans="1:16" x14ac:dyDescent="0.2">
      <c r="A314" s="70" t="s">
        <v>1777</v>
      </c>
      <c r="B314" s="71" t="s">
        <v>1775</v>
      </c>
      <c r="C314" s="72" t="s">
        <v>1776</v>
      </c>
      <c r="D314" s="73" t="s">
        <v>1474</v>
      </c>
      <c r="E314" s="73" t="s">
        <v>1475</v>
      </c>
      <c r="F314" s="84">
        <v>99.57</v>
      </c>
      <c r="G314" s="73" t="s">
        <v>829</v>
      </c>
      <c r="H314" s="73"/>
      <c r="I314" s="73"/>
      <c r="J314" s="73"/>
      <c r="K314" s="73"/>
      <c r="L314" s="73"/>
      <c r="M314" s="73"/>
      <c r="N314" s="73"/>
      <c r="O314" s="75">
        <f>SUM(TABELA23[[#This Row],[T1]:[T7]])</f>
        <v>0</v>
      </c>
      <c r="P314" s="76">
        <f>TABELA23[[#This Row],[QTDE]]*TABELA23[[#This Row],[PREÇO]]</f>
        <v>0</v>
      </c>
    </row>
    <row r="315" spans="1:16" x14ac:dyDescent="0.2">
      <c r="A315" s="70" t="s">
        <v>1780</v>
      </c>
      <c r="B315" s="71" t="s">
        <v>1778</v>
      </c>
      <c r="C315" s="72" t="s">
        <v>1779</v>
      </c>
      <c r="D315" s="73" t="s">
        <v>1133</v>
      </c>
      <c r="E315" s="73" t="s">
        <v>1134</v>
      </c>
      <c r="F315" s="84">
        <v>103.91</v>
      </c>
      <c r="G315" s="73" t="s">
        <v>829</v>
      </c>
      <c r="H315" s="73"/>
      <c r="I315" s="73"/>
      <c r="J315" s="73"/>
      <c r="K315" s="73"/>
      <c r="L315" s="73"/>
      <c r="M315" s="73"/>
      <c r="N315" s="73"/>
      <c r="O315" s="75">
        <f>SUM(TABELA23[[#This Row],[T1]:[T7]])</f>
        <v>0</v>
      </c>
      <c r="P315" s="76">
        <f>TABELA23[[#This Row],[QTDE]]*TABELA23[[#This Row],[PREÇO]]</f>
        <v>0</v>
      </c>
    </row>
    <row r="316" spans="1:16" x14ac:dyDescent="0.2">
      <c r="A316" s="70" t="s">
        <v>1781</v>
      </c>
      <c r="B316" s="71" t="s">
        <v>1778</v>
      </c>
      <c r="C316" s="72" t="s">
        <v>1779</v>
      </c>
      <c r="D316" s="73" t="s">
        <v>914</v>
      </c>
      <c r="E316" s="73" t="s">
        <v>915</v>
      </c>
      <c r="F316" s="84">
        <v>103.91</v>
      </c>
      <c r="G316" s="73" t="s">
        <v>826</v>
      </c>
      <c r="H316" s="73"/>
      <c r="I316" s="73"/>
      <c r="J316" s="73"/>
      <c r="K316" s="73"/>
      <c r="L316" s="73"/>
      <c r="M316" s="73"/>
      <c r="N316" s="73"/>
      <c r="O316" s="75">
        <f>SUM(TABELA23[[#This Row],[T1]:[T7]])</f>
        <v>0</v>
      </c>
      <c r="P316" s="76">
        <f>TABELA23[[#This Row],[QTDE]]*TABELA23[[#This Row],[PREÇO]]</f>
        <v>0</v>
      </c>
    </row>
    <row r="317" spans="1:16" x14ac:dyDescent="0.2">
      <c r="A317" s="70" t="s">
        <v>1786</v>
      </c>
      <c r="B317" s="71" t="s">
        <v>1782</v>
      </c>
      <c r="C317" s="72" t="s">
        <v>1784</v>
      </c>
      <c r="D317" s="73" t="s">
        <v>1783</v>
      </c>
      <c r="E317" s="73" t="s">
        <v>1785</v>
      </c>
      <c r="F317" s="84">
        <v>130</v>
      </c>
      <c r="G317" s="73" t="s">
        <v>829</v>
      </c>
      <c r="H317" s="73"/>
      <c r="I317" s="73"/>
      <c r="J317" s="73"/>
      <c r="K317" s="73"/>
      <c r="L317" s="73"/>
      <c r="M317" s="73"/>
      <c r="N317" s="73"/>
      <c r="O317" s="75">
        <f>SUM(TABELA23[[#This Row],[T1]:[T7]])</f>
        <v>0</v>
      </c>
      <c r="P317" s="76">
        <f>TABELA23[[#This Row],[QTDE]]*TABELA23[[#This Row],[PREÇO]]</f>
        <v>0</v>
      </c>
    </row>
    <row r="318" spans="1:16" x14ac:dyDescent="0.2">
      <c r="A318" s="70" t="s">
        <v>1789</v>
      </c>
      <c r="B318" s="71" t="s">
        <v>1787</v>
      </c>
      <c r="C318" s="72" t="s">
        <v>1788</v>
      </c>
      <c r="D318" s="73" t="s">
        <v>1384</v>
      </c>
      <c r="E318" s="73" t="s">
        <v>1386</v>
      </c>
      <c r="F318" s="84">
        <v>99.57</v>
      </c>
      <c r="G318" s="73" t="s">
        <v>829</v>
      </c>
      <c r="H318" s="73"/>
      <c r="I318" s="73"/>
      <c r="J318" s="73"/>
      <c r="K318" s="73"/>
      <c r="L318" s="73"/>
      <c r="M318" s="73"/>
      <c r="N318" s="73"/>
      <c r="O318" s="75">
        <f>SUM(TABELA23[[#This Row],[T1]:[T7]])</f>
        <v>0</v>
      </c>
      <c r="P318" s="76">
        <f>TABELA23[[#This Row],[QTDE]]*TABELA23[[#This Row],[PREÇO]]</f>
        <v>0</v>
      </c>
    </row>
    <row r="319" spans="1:16" x14ac:dyDescent="0.2">
      <c r="A319" s="70" t="s">
        <v>1792</v>
      </c>
      <c r="B319" s="71" t="s">
        <v>1790</v>
      </c>
      <c r="C319" s="72" t="s">
        <v>1791</v>
      </c>
      <c r="D319" s="73" t="s">
        <v>32</v>
      </c>
      <c r="E319" s="73" t="s">
        <v>33</v>
      </c>
      <c r="F319" s="84">
        <v>186.52</v>
      </c>
      <c r="G319" s="73" t="s">
        <v>829</v>
      </c>
      <c r="H319" s="73"/>
      <c r="I319" s="73"/>
      <c r="J319" s="73"/>
      <c r="K319" s="73"/>
      <c r="L319" s="73"/>
      <c r="M319" s="73"/>
      <c r="N319" s="73"/>
      <c r="O319" s="75">
        <f>SUM(TABELA23[[#This Row],[T1]:[T7]])</f>
        <v>0</v>
      </c>
      <c r="P319" s="76">
        <f>TABELA23[[#This Row],[QTDE]]*TABELA23[[#This Row],[PREÇO]]</f>
        <v>0</v>
      </c>
    </row>
    <row r="320" spans="1:16" x14ac:dyDescent="0.2">
      <c r="A320" s="70" t="s">
        <v>1794</v>
      </c>
      <c r="B320" s="71" t="s">
        <v>1793</v>
      </c>
      <c r="C320" s="72" t="s">
        <v>1769</v>
      </c>
      <c r="D320" s="73" t="s">
        <v>32</v>
      </c>
      <c r="E320" s="73" t="s">
        <v>33</v>
      </c>
      <c r="F320" s="84">
        <v>86.52</v>
      </c>
      <c r="G320" s="73" t="s">
        <v>829</v>
      </c>
      <c r="H320" s="73"/>
      <c r="I320" s="73"/>
      <c r="J320" s="73"/>
      <c r="K320" s="73"/>
      <c r="L320" s="73"/>
      <c r="M320" s="73"/>
      <c r="N320" s="73"/>
      <c r="O320" s="75">
        <f>SUM(TABELA23[[#This Row],[T1]:[T7]])</f>
        <v>0</v>
      </c>
      <c r="P320" s="76">
        <f>TABELA23[[#This Row],[QTDE]]*TABELA23[[#This Row],[PREÇO]]</f>
        <v>0</v>
      </c>
    </row>
    <row r="321" spans="1:16" x14ac:dyDescent="0.2">
      <c r="A321" s="70" t="s">
        <v>1797</v>
      </c>
      <c r="B321" s="71" t="s">
        <v>1795</v>
      </c>
      <c r="C321" s="72" t="s">
        <v>1796</v>
      </c>
      <c r="D321" s="73" t="s">
        <v>32</v>
      </c>
      <c r="E321" s="73" t="s">
        <v>33</v>
      </c>
      <c r="F321" s="84">
        <v>103.91</v>
      </c>
      <c r="G321" s="73" t="s">
        <v>829</v>
      </c>
      <c r="H321" s="73"/>
      <c r="I321" s="73"/>
      <c r="J321" s="73"/>
      <c r="K321" s="73"/>
      <c r="L321" s="73"/>
      <c r="M321" s="73"/>
      <c r="N321" s="73"/>
      <c r="O321" s="75">
        <f>SUM(TABELA23[[#This Row],[T1]:[T7]])</f>
        <v>0</v>
      </c>
      <c r="P321" s="76">
        <f>TABELA23[[#This Row],[QTDE]]*TABELA23[[#This Row],[PREÇO]]</f>
        <v>0</v>
      </c>
    </row>
    <row r="322" spans="1:16" x14ac:dyDescent="0.2">
      <c r="A322" s="70" t="s">
        <v>1798</v>
      </c>
      <c r="B322" s="71" t="s">
        <v>1795</v>
      </c>
      <c r="C322" s="72" t="s">
        <v>1796</v>
      </c>
      <c r="D322" s="73" t="s">
        <v>924</v>
      </c>
      <c r="E322" s="73" t="s">
        <v>926</v>
      </c>
      <c r="F322" s="84">
        <v>103.91</v>
      </c>
      <c r="G322" s="73" t="s">
        <v>829</v>
      </c>
      <c r="H322" s="73"/>
      <c r="I322" s="73"/>
      <c r="J322" s="73"/>
      <c r="K322" s="73"/>
      <c r="L322" s="73"/>
      <c r="M322" s="73"/>
      <c r="N322" s="73"/>
      <c r="O322" s="75">
        <f>SUM(TABELA23[[#This Row],[T1]:[T7]])</f>
        <v>0</v>
      </c>
      <c r="P322" s="76">
        <f>TABELA23[[#This Row],[QTDE]]*TABELA23[[#This Row],[PREÇO]]</f>
        <v>0</v>
      </c>
    </row>
    <row r="323" spans="1:16" x14ac:dyDescent="0.2">
      <c r="A323" s="70" t="s">
        <v>1803</v>
      </c>
      <c r="B323" s="71" t="s">
        <v>1799</v>
      </c>
      <c r="C323" s="72" t="s">
        <v>1801</v>
      </c>
      <c r="D323" s="73" t="s">
        <v>1800</v>
      </c>
      <c r="E323" s="73" t="s">
        <v>1802</v>
      </c>
      <c r="F323" s="84">
        <v>116.96</v>
      </c>
      <c r="G323" s="73" t="s">
        <v>829</v>
      </c>
      <c r="H323" s="73"/>
      <c r="I323" s="73"/>
      <c r="J323" s="73"/>
      <c r="K323" s="73"/>
      <c r="L323" s="73"/>
      <c r="M323" s="73"/>
      <c r="N323" s="73"/>
      <c r="O323" s="75">
        <f>SUM(TABELA23[[#This Row],[T1]:[T7]])</f>
        <v>0</v>
      </c>
      <c r="P323" s="76">
        <f>TABELA23[[#This Row],[QTDE]]*TABELA23[[#This Row],[PREÇO]]</f>
        <v>0</v>
      </c>
    </row>
    <row r="324" spans="1:16" x14ac:dyDescent="0.2">
      <c r="A324" s="70" t="s">
        <v>1808</v>
      </c>
      <c r="B324" s="71" t="s">
        <v>1804</v>
      </c>
      <c r="C324" s="72" t="s">
        <v>1806</v>
      </c>
      <c r="D324" s="73" t="s">
        <v>1805</v>
      </c>
      <c r="E324" s="73" t="s">
        <v>1807</v>
      </c>
      <c r="F324" s="84">
        <v>86.52</v>
      </c>
      <c r="G324" s="73" t="s">
        <v>2319</v>
      </c>
      <c r="H324" s="73"/>
      <c r="I324" s="73"/>
      <c r="J324" s="73"/>
      <c r="K324" s="73"/>
      <c r="L324" s="73"/>
      <c r="M324" s="73"/>
      <c r="N324" s="73"/>
      <c r="O324" s="75">
        <f>SUM(TABELA23[[#This Row],[T1]:[T7]])</f>
        <v>0</v>
      </c>
      <c r="P324" s="76">
        <f>TABELA23[[#This Row],[QTDE]]*TABELA23[[#This Row],[PREÇO]]</f>
        <v>0</v>
      </c>
    </row>
    <row r="325" spans="1:16" x14ac:dyDescent="0.2">
      <c r="A325" s="70" t="s">
        <v>1811</v>
      </c>
      <c r="B325" s="71" t="s">
        <v>1809</v>
      </c>
      <c r="C325" s="72" t="s">
        <v>1810</v>
      </c>
      <c r="D325" s="73" t="s">
        <v>1783</v>
      </c>
      <c r="E325" s="73" t="s">
        <v>1785</v>
      </c>
      <c r="F325" s="84">
        <v>99.57</v>
      </c>
      <c r="G325" s="73" t="s">
        <v>2319</v>
      </c>
      <c r="H325" s="73"/>
      <c r="I325" s="73"/>
      <c r="J325" s="73"/>
      <c r="K325" s="73"/>
      <c r="L325" s="73"/>
      <c r="M325" s="73"/>
      <c r="N325" s="73"/>
      <c r="O325" s="75">
        <f>SUM(TABELA23[[#This Row],[T1]:[T7]])</f>
        <v>0</v>
      </c>
      <c r="P325" s="76">
        <f>TABELA23[[#This Row],[QTDE]]*TABELA23[[#This Row],[PREÇO]]</f>
        <v>0</v>
      </c>
    </row>
    <row r="326" spans="1:16" x14ac:dyDescent="0.2">
      <c r="A326" s="70" t="s">
        <v>1814</v>
      </c>
      <c r="B326" s="71" t="s">
        <v>1812</v>
      </c>
      <c r="C326" s="72" t="s">
        <v>1813</v>
      </c>
      <c r="D326" s="73" t="s">
        <v>1384</v>
      </c>
      <c r="E326" s="73" t="s">
        <v>1386</v>
      </c>
      <c r="F326" s="84">
        <v>156.09</v>
      </c>
      <c r="G326" s="73" t="s">
        <v>829</v>
      </c>
      <c r="H326" s="73"/>
      <c r="I326" s="73"/>
      <c r="J326" s="73"/>
      <c r="K326" s="73"/>
      <c r="L326" s="73"/>
      <c r="M326" s="73"/>
      <c r="N326" s="73"/>
      <c r="O326" s="75">
        <f>SUM(TABELA23[[#This Row],[T1]:[T7]])</f>
        <v>0</v>
      </c>
      <c r="P326" s="76">
        <f>TABELA23[[#This Row],[QTDE]]*TABELA23[[#This Row],[PREÇO]]</f>
        <v>0</v>
      </c>
    </row>
    <row r="327" spans="1:16" x14ac:dyDescent="0.2">
      <c r="A327" s="70" t="s">
        <v>1817</v>
      </c>
      <c r="B327" s="71" t="s">
        <v>1815</v>
      </c>
      <c r="C327" s="72" t="s">
        <v>1816</v>
      </c>
      <c r="D327" s="73" t="s">
        <v>32</v>
      </c>
      <c r="E327" s="73" t="s">
        <v>33</v>
      </c>
      <c r="F327" s="84">
        <v>130</v>
      </c>
      <c r="G327" s="73" t="s">
        <v>826</v>
      </c>
      <c r="H327" s="73"/>
      <c r="I327" s="73"/>
      <c r="J327" s="73"/>
      <c r="K327" s="73"/>
      <c r="L327" s="73"/>
      <c r="M327" s="73"/>
      <c r="N327" s="73"/>
      <c r="O327" s="75">
        <f>SUM(TABELA23[[#This Row],[T1]:[T7]])</f>
        <v>0</v>
      </c>
      <c r="P327" s="76">
        <f>TABELA23[[#This Row],[QTDE]]*TABELA23[[#This Row],[PREÇO]]</f>
        <v>0</v>
      </c>
    </row>
    <row r="328" spans="1:16" x14ac:dyDescent="0.2">
      <c r="A328" s="70" t="s">
        <v>1822</v>
      </c>
      <c r="B328" s="71" t="s">
        <v>1818</v>
      </c>
      <c r="C328" s="72" t="s">
        <v>1819</v>
      </c>
      <c r="D328" s="73" t="s">
        <v>914</v>
      </c>
      <c r="E328" s="73" t="s">
        <v>915</v>
      </c>
      <c r="F328" s="84">
        <v>138.69999999999999</v>
      </c>
      <c r="G328" s="73" t="s">
        <v>829</v>
      </c>
      <c r="H328" s="73"/>
      <c r="I328" s="73"/>
      <c r="J328" s="73"/>
      <c r="K328" s="73"/>
      <c r="L328" s="73"/>
      <c r="M328" s="73"/>
      <c r="N328" s="73"/>
      <c r="O328" s="75">
        <f>SUM(TABELA23[[#This Row],[T1]:[T7]])</f>
        <v>0</v>
      </c>
      <c r="P328" s="76">
        <f>TABELA23[[#This Row],[QTDE]]*TABELA23[[#This Row],[PREÇO]]</f>
        <v>0</v>
      </c>
    </row>
    <row r="329" spans="1:16" x14ac:dyDescent="0.2">
      <c r="A329" s="70" t="s">
        <v>1820</v>
      </c>
      <c r="B329" s="71" t="s">
        <v>1818</v>
      </c>
      <c r="C329" s="72" t="s">
        <v>1819</v>
      </c>
      <c r="D329" s="73" t="s">
        <v>830</v>
      </c>
      <c r="E329" s="73" t="s">
        <v>43</v>
      </c>
      <c r="F329" s="84">
        <v>138.69999999999999</v>
      </c>
      <c r="G329" s="73" t="s">
        <v>829</v>
      </c>
      <c r="H329" s="73"/>
      <c r="I329" s="73"/>
      <c r="J329" s="73"/>
      <c r="K329" s="73"/>
      <c r="L329" s="73"/>
      <c r="M329" s="73"/>
      <c r="N329" s="73"/>
      <c r="O329" s="75">
        <f>SUM(TABELA23[[#This Row],[T1]:[T7]])</f>
        <v>0</v>
      </c>
      <c r="P329" s="76">
        <f>TABELA23[[#This Row],[QTDE]]*TABELA23[[#This Row],[PREÇO]]</f>
        <v>0</v>
      </c>
    </row>
    <row r="330" spans="1:16" x14ac:dyDescent="0.2">
      <c r="A330" s="70" t="s">
        <v>1821</v>
      </c>
      <c r="B330" s="71" t="s">
        <v>1818</v>
      </c>
      <c r="C330" s="72" t="s">
        <v>1819</v>
      </c>
      <c r="D330" s="73" t="s">
        <v>1474</v>
      </c>
      <c r="E330" s="73" t="s">
        <v>1475</v>
      </c>
      <c r="F330" s="84">
        <v>138.69999999999999</v>
      </c>
      <c r="G330" s="73" t="s">
        <v>829</v>
      </c>
      <c r="H330" s="73"/>
      <c r="I330" s="73"/>
      <c r="J330" s="73"/>
      <c r="K330" s="73"/>
      <c r="L330" s="73"/>
      <c r="M330" s="73"/>
      <c r="N330" s="73"/>
      <c r="O330" s="75">
        <f>SUM(TABELA23[[#This Row],[T1]:[T7]])</f>
        <v>0</v>
      </c>
      <c r="P330" s="76">
        <f>TABELA23[[#This Row],[QTDE]]*TABELA23[[#This Row],[PREÇO]]</f>
        <v>0</v>
      </c>
    </row>
    <row r="331" spans="1:16" x14ac:dyDescent="0.2">
      <c r="A331" s="70" t="s">
        <v>1823</v>
      </c>
      <c r="B331" s="71" t="s">
        <v>1824</v>
      </c>
      <c r="C331" s="72" t="s">
        <v>1825</v>
      </c>
      <c r="D331" s="73" t="s">
        <v>882</v>
      </c>
      <c r="E331" s="73" t="s">
        <v>817</v>
      </c>
      <c r="F331" s="84">
        <v>125.65</v>
      </c>
      <c r="G331" s="73" t="s">
        <v>826</v>
      </c>
      <c r="H331" s="73"/>
      <c r="I331" s="73"/>
      <c r="J331" s="73"/>
      <c r="K331" s="73"/>
      <c r="L331" s="73"/>
      <c r="M331" s="73"/>
      <c r="N331" s="73"/>
      <c r="O331" s="75">
        <f>SUM(TABELA23[[#This Row],[T1]:[T7]])</f>
        <v>0</v>
      </c>
      <c r="P331" s="76">
        <f>TABELA23[[#This Row],[QTDE]]*TABELA23[[#This Row],[PREÇO]]</f>
        <v>0</v>
      </c>
    </row>
    <row r="332" spans="1:16" x14ac:dyDescent="0.2">
      <c r="A332" s="70" t="s">
        <v>1828</v>
      </c>
      <c r="B332" s="71" t="s">
        <v>1826</v>
      </c>
      <c r="C332" s="72" t="s">
        <v>1827</v>
      </c>
      <c r="D332" s="73" t="s">
        <v>1474</v>
      </c>
      <c r="E332" s="73" t="s">
        <v>1475</v>
      </c>
      <c r="F332" s="84">
        <v>82.17</v>
      </c>
      <c r="G332" s="73" t="s">
        <v>2319</v>
      </c>
      <c r="H332" s="73"/>
      <c r="I332" s="73"/>
      <c r="J332" s="73"/>
      <c r="K332" s="73"/>
      <c r="L332" s="73"/>
      <c r="M332" s="73"/>
      <c r="N332" s="73"/>
      <c r="O332" s="75">
        <f>SUM(TABELA23[[#This Row],[T1]:[T7]])</f>
        <v>0</v>
      </c>
      <c r="P332" s="76">
        <f>TABELA23[[#This Row],[QTDE]]*TABELA23[[#This Row],[PREÇO]]</f>
        <v>0</v>
      </c>
    </row>
    <row r="333" spans="1:16" x14ac:dyDescent="0.2">
      <c r="A333" s="70" t="s">
        <v>1829</v>
      </c>
      <c r="B333" s="71" t="s">
        <v>1830</v>
      </c>
      <c r="C333" s="72" t="s">
        <v>1831</v>
      </c>
      <c r="D333" s="73" t="s">
        <v>32</v>
      </c>
      <c r="E333" s="73" t="s">
        <v>33</v>
      </c>
      <c r="F333" s="84">
        <v>156.09</v>
      </c>
      <c r="G333" s="73" t="s">
        <v>826</v>
      </c>
      <c r="H333" s="73"/>
      <c r="I333" s="73"/>
      <c r="J333" s="73"/>
      <c r="K333" s="73"/>
      <c r="L333" s="73"/>
      <c r="M333" s="73"/>
      <c r="N333" s="73"/>
      <c r="O333" s="75">
        <f>SUM(TABELA23[[#This Row],[T1]:[T7]])</f>
        <v>0</v>
      </c>
      <c r="P333" s="76">
        <f>TABELA23[[#This Row],[QTDE]]*TABELA23[[#This Row],[PREÇO]]</f>
        <v>0</v>
      </c>
    </row>
    <row r="334" spans="1:16" x14ac:dyDescent="0.2">
      <c r="A334" s="70" t="s">
        <v>1832</v>
      </c>
      <c r="B334" s="71" t="s">
        <v>1833</v>
      </c>
      <c r="C334" s="72" t="s">
        <v>1834</v>
      </c>
      <c r="D334" s="73" t="s">
        <v>882</v>
      </c>
      <c r="E334" s="73" t="s">
        <v>817</v>
      </c>
      <c r="F334" s="84">
        <v>164.78</v>
      </c>
      <c r="G334" s="73" t="s">
        <v>826</v>
      </c>
      <c r="H334" s="73"/>
      <c r="I334" s="73"/>
      <c r="J334" s="73"/>
      <c r="K334" s="73"/>
      <c r="L334" s="73"/>
      <c r="M334" s="73"/>
      <c r="N334" s="73"/>
      <c r="O334" s="75">
        <f>SUM(TABELA23[[#This Row],[T1]:[T7]])</f>
        <v>0</v>
      </c>
      <c r="P334" s="76">
        <f>TABELA23[[#This Row],[QTDE]]*TABELA23[[#This Row],[PREÇO]]</f>
        <v>0</v>
      </c>
    </row>
    <row r="335" spans="1:16" x14ac:dyDescent="0.2">
      <c r="A335" s="70" t="s">
        <v>1839</v>
      </c>
      <c r="B335" s="71" t="s">
        <v>1835</v>
      </c>
      <c r="C335" s="72" t="s">
        <v>1837</v>
      </c>
      <c r="D335" s="73" t="s">
        <v>1836</v>
      </c>
      <c r="E335" s="73" t="s">
        <v>1838</v>
      </c>
      <c r="F335" s="84">
        <v>99.57</v>
      </c>
      <c r="G335" s="73" t="s">
        <v>2319</v>
      </c>
      <c r="H335" s="73"/>
      <c r="I335" s="73"/>
      <c r="J335" s="73"/>
      <c r="K335" s="73"/>
      <c r="L335" s="73"/>
      <c r="M335" s="73"/>
      <c r="N335" s="73"/>
      <c r="O335" s="75">
        <f>SUM(TABELA23[[#This Row],[T1]:[T7]])</f>
        <v>0</v>
      </c>
      <c r="P335" s="76">
        <f>TABELA23[[#This Row],[QTDE]]*TABELA23[[#This Row],[PREÇO]]</f>
        <v>0</v>
      </c>
    </row>
    <row r="336" spans="1:16" x14ac:dyDescent="0.2">
      <c r="A336" s="70" t="s">
        <v>1842</v>
      </c>
      <c r="B336" s="71" t="s">
        <v>1840</v>
      </c>
      <c r="C336" s="72" t="s">
        <v>1841</v>
      </c>
      <c r="D336" s="73" t="s">
        <v>1384</v>
      </c>
      <c r="E336" s="73" t="s">
        <v>1386</v>
      </c>
      <c r="F336" s="84">
        <v>151.74</v>
      </c>
      <c r="G336" s="73" t="s">
        <v>826</v>
      </c>
      <c r="H336" s="73"/>
      <c r="I336" s="73"/>
      <c r="J336" s="73"/>
      <c r="K336" s="73"/>
      <c r="L336" s="73"/>
      <c r="M336" s="73"/>
      <c r="N336" s="73"/>
      <c r="O336" s="75">
        <f>SUM(TABELA23[[#This Row],[T1]:[T7]])</f>
        <v>0</v>
      </c>
      <c r="P336" s="76">
        <f>TABELA23[[#This Row],[QTDE]]*TABELA23[[#This Row],[PREÇO]]</f>
        <v>0</v>
      </c>
    </row>
    <row r="337" spans="1:16" x14ac:dyDescent="0.2">
      <c r="A337" s="70" t="s">
        <v>1845</v>
      </c>
      <c r="B337" s="71" t="s">
        <v>1843</v>
      </c>
      <c r="C337" s="72" t="s">
        <v>1844</v>
      </c>
      <c r="D337" s="73" t="s">
        <v>914</v>
      </c>
      <c r="E337" s="73" t="s">
        <v>915</v>
      </c>
      <c r="F337" s="84">
        <v>147.38999999999999</v>
      </c>
      <c r="G337" s="73" t="s">
        <v>829</v>
      </c>
      <c r="H337" s="73"/>
      <c r="I337" s="73"/>
      <c r="J337" s="73"/>
      <c r="K337" s="73"/>
      <c r="L337" s="73"/>
      <c r="M337" s="73"/>
      <c r="N337" s="73"/>
      <c r="O337" s="75">
        <f>SUM(TABELA23[[#This Row],[T1]:[T7]])</f>
        <v>0</v>
      </c>
      <c r="P337" s="76">
        <f>TABELA23[[#This Row],[QTDE]]*TABELA23[[#This Row],[PREÇO]]</f>
        <v>0</v>
      </c>
    </row>
    <row r="338" spans="1:16" x14ac:dyDescent="0.2">
      <c r="A338" s="70" t="s">
        <v>1847</v>
      </c>
      <c r="B338" s="71" t="s">
        <v>1846</v>
      </c>
      <c r="C338" s="72" t="s">
        <v>1827</v>
      </c>
      <c r="D338" s="73" t="s">
        <v>898</v>
      </c>
      <c r="E338" s="73" t="s">
        <v>900</v>
      </c>
      <c r="F338" s="84">
        <v>82.17</v>
      </c>
      <c r="G338" s="73" t="s">
        <v>2319</v>
      </c>
      <c r="H338" s="73"/>
      <c r="I338" s="73"/>
      <c r="J338" s="73"/>
      <c r="K338" s="73"/>
      <c r="L338" s="73"/>
      <c r="M338" s="73"/>
      <c r="N338" s="73"/>
      <c r="O338" s="75">
        <f>SUM(TABELA23[[#This Row],[T1]:[T7]])</f>
        <v>0</v>
      </c>
      <c r="P338" s="76">
        <f>TABELA23[[#This Row],[QTDE]]*TABELA23[[#This Row],[PREÇO]]</f>
        <v>0</v>
      </c>
    </row>
    <row r="339" spans="1:16" x14ac:dyDescent="0.2">
      <c r="A339" s="70" t="s">
        <v>1850</v>
      </c>
      <c r="B339" s="71" t="s">
        <v>1848</v>
      </c>
      <c r="C339" s="72" t="s">
        <v>1849</v>
      </c>
      <c r="D339" s="73" t="s">
        <v>1836</v>
      </c>
      <c r="E339" s="73" t="s">
        <v>1838</v>
      </c>
      <c r="F339" s="84">
        <v>95.22</v>
      </c>
      <c r="G339" s="73" t="s">
        <v>2319</v>
      </c>
      <c r="H339" s="73"/>
      <c r="I339" s="73"/>
      <c r="J339" s="73"/>
      <c r="K339" s="73"/>
      <c r="L339" s="73"/>
      <c r="M339" s="73"/>
      <c r="N339" s="73"/>
      <c r="O339" s="75">
        <f>SUM(TABELA23[[#This Row],[T1]:[T7]])</f>
        <v>0</v>
      </c>
      <c r="P339" s="76">
        <f>TABELA23[[#This Row],[QTDE]]*TABELA23[[#This Row],[PREÇO]]</f>
        <v>0</v>
      </c>
    </row>
    <row r="340" spans="1:16" x14ac:dyDescent="0.2">
      <c r="A340" s="70" t="s">
        <v>1851</v>
      </c>
      <c r="B340" s="71" t="s">
        <v>1852</v>
      </c>
      <c r="C340" s="72" t="s">
        <v>1853</v>
      </c>
      <c r="D340" s="73" t="s">
        <v>32</v>
      </c>
      <c r="E340" s="73" t="s">
        <v>33</v>
      </c>
      <c r="F340" s="84">
        <v>56.09</v>
      </c>
      <c r="G340" s="73" t="s">
        <v>826</v>
      </c>
      <c r="H340" s="73"/>
      <c r="I340" s="73"/>
      <c r="J340" s="73"/>
      <c r="K340" s="73"/>
      <c r="L340" s="73"/>
      <c r="M340" s="73"/>
      <c r="N340" s="73"/>
      <c r="O340" s="75">
        <f>SUM(TABELA23[[#This Row],[T1]:[T7]])</f>
        <v>0</v>
      </c>
      <c r="P340" s="76">
        <f>TABELA23[[#This Row],[QTDE]]*TABELA23[[#This Row],[PREÇO]]</f>
        <v>0</v>
      </c>
    </row>
    <row r="341" spans="1:16" x14ac:dyDescent="0.2">
      <c r="A341" s="70" t="s">
        <v>1856</v>
      </c>
      <c r="B341" s="71" t="s">
        <v>1854</v>
      </c>
      <c r="C341" s="72" t="s">
        <v>1855</v>
      </c>
      <c r="D341" s="73" t="s">
        <v>1800</v>
      </c>
      <c r="E341" s="73" t="s">
        <v>1802</v>
      </c>
      <c r="F341" s="84">
        <v>173.48</v>
      </c>
      <c r="G341" s="73" t="s">
        <v>826</v>
      </c>
      <c r="H341" s="73"/>
      <c r="I341" s="73"/>
      <c r="J341" s="73"/>
      <c r="K341" s="73"/>
      <c r="L341" s="73"/>
      <c r="M341" s="73"/>
      <c r="N341" s="73"/>
      <c r="O341" s="75">
        <f>SUM(TABELA23[[#This Row],[T1]:[T7]])</f>
        <v>0</v>
      </c>
      <c r="P341" s="76">
        <f>TABELA23[[#This Row],[QTDE]]*TABELA23[[#This Row],[PREÇO]]</f>
        <v>0</v>
      </c>
    </row>
    <row r="342" spans="1:16" x14ac:dyDescent="0.2">
      <c r="A342" s="70" t="s">
        <v>1859</v>
      </c>
      <c r="B342" s="71" t="s">
        <v>1857</v>
      </c>
      <c r="C342" s="72" t="s">
        <v>1858</v>
      </c>
      <c r="D342" s="73" t="s">
        <v>32</v>
      </c>
      <c r="E342" s="73" t="s">
        <v>33</v>
      </c>
      <c r="F342" s="84">
        <v>151.74</v>
      </c>
      <c r="G342" s="73" t="s">
        <v>829</v>
      </c>
      <c r="H342" s="73"/>
      <c r="I342" s="73"/>
      <c r="J342" s="73"/>
      <c r="K342" s="73"/>
      <c r="L342" s="73"/>
      <c r="M342" s="73"/>
      <c r="N342" s="73"/>
      <c r="O342" s="75">
        <f>SUM(TABELA23[[#This Row],[T1]:[T7]])</f>
        <v>0</v>
      </c>
      <c r="P342" s="76">
        <f>TABELA23[[#This Row],[QTDE]]*TABELA23[[#This Row],[PREÇO]]</f>
        <v>0</v>
      </c>
    </row>
    <row r="343" spans="1:16" x14ac:dyDescent="0.2">
      <c r="A343" s="70" t="s">
        <v>1862</v>
      </c>
      <c r="B343" s="71" t="s">
        <v>1860</v>
      </c>
      <c r="C343" s="72" t="s">
        <v>1861</v>
      </c>
      <c r="D343" s="73" t="s">
        <v>1474</v>
      </c>
      <c r="E343" s="73" t="s">
        <v>1475</v>
      </c>
      <c r="F343" s="84">
        <v>186.52</v>
      </c>
      <c r="G343" s="73" t="s">
        <v>829</v>
      </c>
      <c r="H343" s="73"/>
      <c r="I343" s="73"/>
      <c r="J343" s="73"/>
      <c r="K343" s="73"/>
      <c r="L343" s="73"/>
      <c r="M343" s="73"/>
      <c r="N343" s="73"/>
      <c r="O343" s="75">
        <f>SUM(TABELA23[[#This Row],[T1]:[T7]])</f>
        <v>0</v>
      </c>
      <c r="P343" s="76">
        <f>TABELA23[[#This Row],[QTDE]]*TABELA23[[#This Row],[PREÇO]]</f>
        <v>0</v>
      </c>
    </row>
    <row r="344" spans="1:16" x14ac:dyDescent="0.2">
      <c r="A344" s="70" t="s">
        <v>1865</v>
      </c>
      <c r="B344" s="71" t="s">
        <v>1863</v>
      </c>
      <c r="C344" s="72" t="s">
        <v>1864</v>
      </c>
      <c r="D344" s="73" t="s">
        <v>898</v>
      </c>
      <c r="E344" s="73" t="s">
        <v>900</v>
      </c>
      <c r="F344" s="84">
        <v>208.26</v>
      </c>
      <c r="G344" s="73" t="s">
        <v>829</v>
      </c>
      <c r="H344" s="73"/>
      <c r="I344" s="73"/>
      <c r="J344" s="73"/>
      <c r="K344" s="73"/>
      <c r="L344" s="73"/>
      <c r="M344" s="73"/>
      <c r="N344" s="73"/>
      <c r="O344" s="75">
        <f>SUM(TABELA23[[#This Row],[T1]:[T7]])</f>
        <v>0</v>
      </c>
      <c r="P344" s="76">
        <f>TABELA23[[#This Row],[QTDE]]*TABELA23[[#This Row],[PREÇO]]</f>
        <v>0</v>
      </c>
    </row>
    <row r="345" spans="1:16" x14ac:dyDescent="0.2">
      <c r="A345" s="70" t="s">
        <v>1868</v>
      </c>
      <c r="B345" s="71" t="s">
        <v>1866</v>
      </c>
      <c r="C345" s="72" t="s">
        <v>1867</v>
      </c>
      <c r="D345" s="73" t="s">
        <v>914</v>
      </c>
      <c r="E345" s="73" t="s">
        <v>915</v>
      </c>
      <c r="F345" s="84">
        <v>130</v>
      </c>
      <c r="G345" s="73" t="s">
        <v>829</v>
      </c>
      <c r="H345" s="73"/>
      <c r="I345" s="73"/>
      <c r="J345" s="73"/>
      <c r="K345" s="73"/>
      <c r="L345" s="73"/>
      <c r="M345" s="73"/>
      <c r="N345" s="73"/>
      <c r="O345" s="75">
        <f>SUM(TABELA23[[#This Row],[T1]:[T7]])</f>
        <v>0</v>
      </c>
      <c r="P345" s="76">
        <f>TABELA23[[#This Row],[QTDE]]*TABELA23[[#This Row],[PREÇO]]</f>
        <v>0</v>
      </c>
    </row>
    <row r="346" spans="1:16" x14ac:dyDescent="0.2">
      <c r="A346" s="70" t="s">
        <v>1871</v>
      </c>
      <c r="B346" s="71" t="s">
        <v>1869</v>
      </c>
      <c r="C346" s="72" t="s">
        <v>1870</v>
      </c>
      <c r="D346" s="73" t="s">
        <v>1384</v>
      </c>
      <c r="E346" s="73" t="s">
        <v>1386</v>
      </c>
      <c r="F346" s="84">
        <v>173.48</v>
      </c>
      <c r="G346" s="73" t="s">
        <v>829</v>
      </c>
      <c r="H346" s="73"/>
      <c r="I346" s="73"/>
      <c r="J346" s="73"/>
      <c r="K346" s="73"/>
      <c r="L346" s="73"/>
      <c r="M346" s="73"/>
      <c r="N346" s="73"/>
      <c r="O346" s="75">
        <f>SUM(TABELA23[[#This Row],[T1]:[T7]])</f>
        <v>0</v>
      </c>
      <c r="P346" s="76">
        <f>TABELA23[[#This Row],[QTDE]]*TABELA23[[#This Row],[PREÇO]]</f>
        <v>0</v>
      </c>
    </row>
    <row r="347" spans="1:16" x14ac:dyDescent="0.2">
      <c r="A347" s="70" t="s">
        <v>1874</v>
      </c>
      <c r="B347" s="71" t="s">
        <v>1872</v>
      </c>
      <c r="C347" s="72" t="s">
        <v>1873</v>
      </c>
      <c r="D347" s="73" t="s">
        <v>1133</v>
      </c>
      <c r="E347" s="73" t="s">
        <v>1134</v>
      </c>
      <c r="F347" s="84">
        <v>199.57</v>
      </c>
      <c r="G347" s="73" t="s">
        <v>829</v>
      </c>
      <c r="H347" s="73"/>
      <c r="I347" s="73"/>
      <c r="J347" s="73"/>
      <c r="K347" s="73"/>
      <c r="L347" s="73"/>
      <c r="M347" s="73"/>
      <c r="N347" s="73"/>
      <c r="O347" s="75">
        <f>SUM(TABELA23[[#This Row],[T1]:[T7]])</f>
        <v>0</v>
      </c>
      <c r="P347" s="76">
        <f>TABELA23[[#This Row],[QTDE]]*TABELA23[[#This Row],[PREÇO]]</f>
        <v>0</v>
      </c>
    </row>
    <row r="348" spans="1:16" x14ac:dyDescent="0.2">
      <c r="A348" s="70" t="s">
        <v>1877</v>
      </c>
      <c r="B348" s="71" t="s">
        <v>1875</v>
      </c>
      <c r="C348" s="72" t="s">
        <v>1876</v>
      </c>
      <c r="D348" s="73" t="s">
        <v>32</v>
      </c>
      <c r="E348" s="73" t="s">
        <v>33</v>
      </c>
      <c r="F348" s="84">
        <v>190.87</v>
      </c>
      <c r="G348" s="73" t="s">
        <v>829</v>
      </c>
      <c r="H348" s="73"/>
      <c r="I348" s="73"/>
      <c r="J348" s="73"/>
      <c r="K348" s="73"/>
      <c r="L348" s="73"/>
      <c r="M348" s="73"/>
      <c r="N348" s="73"/>
      <c r="O348" s="75">
        <f>SUM(TABELA23[[#This Row],[T1]:[T7]])</f>
        <v>0</v>
      </c>
      <c r="P348" s="76">
        <f>TABELA23[[#This Row],[QTDE]]*TABELA23[[#This Row],[PREÇO]]</f>
        <v>0</v>
      </c>
    </row>
    <row r="349" spans="1:16" x14ac:dyDescent="0.2">
      <c r="A349" s="70" t="s">
        <v>1880</v>
      </c>
      <c r="B349" s="71" t="s">
        <v>1878</v>
      </c>
      <c r="C349" s="72" t="s">
        <v>1879</v>
      </c>
      <c r="D349" s="73" t="s">
        <v>929</v>
      </c>
      <c r="E349" s="73" t="s">
        <v>931</v>
      </c>
      <c r="F349" s="84">
        <v>173.48</v>
      </c>
      <c r="G349" s="73" t="s">
        <v>829</v>
      </c>
      <c r="H349" s="73"/>
      <c r="I349" s="73"/>
      <c r="J349" s="73"/>
      <c r="K349" s="73"/>
      <c r="L349" s="73"/>
      <c r="M349" s="73"/>
      <c r="N349" s="73"/>
      <c r="O349" s="75">
        <f>SUM(TABELA23[[#This Row],[T1]:[T7]])</f>
        <v>0</v>
      </c>
      <c r="P349" s="76">
        <f>TABELA23[[#This Row],[QTDE]]*TABELA23[[#This Row],[PREÇO]]</f>
        <v>0</v>
      </c>
    </row>
    <row r="350" spans="1:16" x14ac:dyDescent="0.2">
      <c r="A350" s="70" t="s">
        <v>1883</v>
      </c>
      <c r="B350" s="71" t="s">
        <v>1881</v>
      </c>
      <c r="C350" s="72" t="s">
        <v>1882</v>
      </c>
      <c r="D350" s="73" t="s">
        <v>1133</v>
      </c>
      <c r="E350" s="73" t="s">
        <v>1134</v>
      </c>
      <c r="F350" s="84">
        <v>173.48</v>
      </c>
      <c r="G350" s="73" t="s">
        <v>829</v>
      </c>
      <c r="H350" s="73"/>
      <c r="I350" s="73"/>
      <c r="J350" s="73"/>
      <c r="K350" s="73"/>
      <c r="L350" s="73"/>
      <c r="M350" s="73"/>
      <c r="N350" s="73"/>
      <c r="O350" s="75">
        <f>SUM(TABELA23[[#This Row],[T1]:[T7]])</f>
        <v>0</v>
      </c>
      <c r="P350" s="76">
        <f>TABELA23[[#This Row],[QTDE]]*TABELA23[[#This Row],[PREÇO]]</f>
        <v>0</v>
      </c>
    </row>
    <row r="351" spans="1:16" x14ac:dyDescent="0.2">
      <c r="A351" s="70" t="s">
        <v>1886</v>
      </c>
      <c r="B351" s="71" t="s">
        <v>1884</v>
      </c>
      <c r="C351" s="72" t="s">
        <v>1885</v>
      </c>
      <c r="D351" s="73" t="s">
        <v>1805</v>
      </c>
      <c r="E351" s="73" t="s">
        <v>1807</v>
      </c>
      <c r="F351" s="84">
        <v>195.22</v>
      </c>
      <c r="G351" s="73" t="s">
        <v>829</v>
      </c>
      <c r="H351" s="73"/>
      <c r="I351" s="73"/>
      <c r="J351" s="73"/>
      <c r="K351" s="73"/>
      <c r="L351" s="73"/>
      <c r="M351" s="73"/>
      <c r="N351" s="73"/>
      <c r="O351" s="75">
        <f>SUM(TABELA23[[#This Row],[T1]:[T7]])</f>
        <v>0</v>
      </c>
      <c r="P351" s="76">
        <f>TABELA23[[#This Row],[QTDE]]*TABELA23[[#This Row],[PREÇO]]</f>
        <v>0</v>
      </c>
    </row>
    <row r="352" spans="1:16" x14ac:dyDescent="0.2">
      <c r="A352" s="70" t="s">
        <v>1889</v>
      </c>
      <c r="B352" s="71" t="s">
        <v>1887</v>
      </c>
      <c r="C352" s="72" t="s">
        <v>1888</v>
      </c>
      <c r="D352" s="73" t="s">
        <v>1836</v>
      </c>
      <c r="E352" s="73" t="s">
        <v>1838</v>
      </c>
      <c r="F352" s="84">
        <v>112.61</v>
      </c>
      <c r="G352" s="73" t="s">
        <v>829</v>
      </c>
      <c r="H352" s="73"/>
      <c r="I352" s="73"/>
      <c r="J352" s="73"/>
      <c r="K352" s="73"/>
      <c r="L352" s="73"/>
      <c r="M352" s="73"/>
      <c r="N352" s="73"/>
      <c r="O352" s="75">
        <f>SUM(TABELA23[[#This Row],[T1]:[T7]])</f>
        <v>0</v>
      </c>
      <c r="P352" s="76">
        <f>TABELA23[[#This Row],[QTDE]]*TABELA23[[#This Row],[PREÇO]]</f>
        <v>0</v>
      </c>
    </row>
    <row r="353" spans="1:16" x14ac:dyDescent="0.2">
      <c r="A353" s="70" t="s">
        <v>1892</v>
      </c>
      <c r="B353" s="71" t="s">
        <v>1890</v>
      </c>
      <c r="C353" s="72" t="s">
        <v>1891</v>
      </c>
      <c r="D353" s="73" t="s">
        <v>1783</v>
      </c>
      <c r="E353" s="73" t="s">
        <v>1785</v>
      </c>
      <c r="F353" s="84">
        <v>173.48</v>
      </c>
      <c r="G353" s="73" t="s">
        <v>829</v>
      </c>
      <c r="H353" s="73"/>
      <c r="I353" s="73"/>
      <c r="J353" s="73"/>
      <c r="K353" s="73"/>
      <c r="L353" s="73"/>
      <c r="M353" s="73"/>
      <c r="N353" s="73"/>
      <c r="O353" s="75">
        <f>SUM(TABELA23[[#This Row],[T1]:[T7]])</f>
        <v>0</v>
      </c>
      <c r="P353" s="76">
        <f>TABELA23[[#This Row],[QTDE]]*TABELA23[[#This Row],[PREÇO]]</f>
        <v>0</v>
      </c>
    </row>
    <row r="354" spans="1:16" x14ac:dyDescent="0.2">
      <c r="A354" s="70" t="s">
        <v>1895</v>
      </c>
      <c r="B354" s="71" t="s">
        <v>1893</v>
      </c>
      <c r="C354" s="72" t="s">
        <v>1894</v>
      </c>
      <c r="D354" s="73" t="s">
        <v>1783</v>
      </c>
      <c r="E354" s="73" t="s">
        <v>1785</v>
      </c>
      <c r="F354" s="84">
        <v>216.96</v>
      </c>
      <c r="G354" s="73" t="s">
        <v>829</v>
      </c>
      <c r="H354" s="73"/>
      <c r="I354" s="73"/>
      <c r="J354" s="73"/>
      <c r="K354" s="73"/>
      <c r="L354" s="73"/>
      <c r="M354" s="73"/>
      <c r="N354" s="73"/>
      <c r="O354" s="75">
        <f>SUM(TABELA23[[#This Row],[T1]:[T7]])</f>
        <v>0</v>
      </c>
      <c r="P354" s="76">
        <f>TABELA23[[#This Row],[QTDE]]*TABELA23[[#This Row],[PREÇO]]</f>
        <v>0</v>
      </c>
    </row>
    <row r="355" spans="1:16" x14ac:dyDescent="0.2">
      <c r="A355" s="70" t="s">
        <v>1898</v>
      </c>
      <c r="B355" s="71" t="s">
        <v>1896</v>
      </c>
      <c r="C355" s="72" t="s">
        <v>1897</v>
      </c>
      <c r="D355" s="73" t="s">
        <v>32</v>
      </c>
      <c r="E355" s="73" t="s">
        <v>33</v>
      </c>
      <c r="F355" s="84">
        <v>199.57</v>
      </c>
      <c r="G355" s="73" t="s">
        <v>829</v>
      </c>
      <c r="H355" s="73"/>
      <c r="I355" s="73"/>
      <c r="J355" s="73"/>
      <c r="K355" s="73"/>
      <c r="L355" s="73"/>
      <c r="M355" s="73"/>
      <c r="N355" s="73"/>
      <c r="O355" s="75">
        <f>SUM(TABELA23[[#This Row],[T1]:[T7]])</f>
        <v>0</v>
      </c>
      <c r="P355" s="76">
        <f>TABELA23[[#This Row],[QTDE]]*TABELA23[[#This Row],[PREÇO]]</f>
        <v>0</v>
      </c>
    </row>
    <row r="356" spans="1:16" x14ac:dyDescent="0.2">
      <c r="A356" s="70" t="s">
        <v>1901</v>
      </c>
      <c r="B356" s="71" t="s">
        <v>1899</v>
      </c>
      <c r="C356" s="72" t="s">
        <v>1900</v>
      </c>
      <c r="D356" s="73" t="s">
        <v>914</v>
      </c>
      <c r="E356" s="73" t="s">
        <v>915</v>
      </c>
      <c r="F356" s="84">
        <v>143.04</v>
      </c>
      <c r="G356" s="73" t="s">
        <v>829</v>
      </c>
      <c r="H356" s="73"/>
      <c r="I356" s="73"/>
      <c r="J356" s="73"/>
      <c r="K356" s="73"/>
      <c r="L356" s="73"/>
      <c r="M356" s="73"/>
      <c r="N356" s="73"/>
      <c r="O356" s="75">
        <f>SUM(TABELA23[[#This Row],[T1]:[T7]])</f>
        <v>0</v>
      </c>
      <c r="P356" s="76">
        <f>TABELA23[[#This Row],[QTDE]]*TABELA23[[#This Row],[PREÇO]]</f>
        <v>0</v>
      </c>
    </row>
    <row r="357" spans="1:16" x14ac:dyDescent="0.2">
      <c r="A357" s="70" t="s">
        <v>1904</v>
      </c>
      <c r="B357" s="71" t="s">
        <v>1902</v>
      </c>
      <c r="C357" s="72" t="s">
        <v>1903</v>
      </c>
      <c r="D357" s="73" t="s">
        <v>1474</v>
      </c>
      <c r="E357" s="73" t="s">
        <v>1475</v>
      </c>
      <c r="F357" s="84">
        <v>190.87</v>
      </c>
      <c r="G357" s="73" t="s">
        <v>829</v>
      </c>
      <c r="H357" s="73"/>
      <c r="I357" s="73"/>
      <c r="J357" s="73"/>
      <c r="K357" s="73"/>
      <c r="L357" s="73"/>
      <c r="M357" s="73"/>
      <c r="N357" s="73"/>
      <c r="O357" s="75">
        <f>SUM(TABELA23[[#This Row],[T1]:[T7]])</f>
        <v>0</v>
      </c>
      <c r="P357" s="76">
        <f>TABELA23[[#This Row],[QTDE]]*TABELA23[[#This Row],[PREÇO]]</f>
        <v>0</v>
      </c>
    </row>
    <row r="358" spans="1:16" x14ac:dyDescent="0.2">
      <c r="A358" s="70" t="s">
        <v>1907</v>
      </c>
      <c r="B358" s="71" t="s">
        <v>1905</v>
      </c>
      <c r="C358" s="72" t="s">
        <v>1906</v>
      </c>
      <c r="D358" s="73" t="s">
        <v>1384</v>
      </c>
      <c r="E358" s="73" t="s">
        <v>1386</v>
      </c>
      <c r="F358" s="84">
        <v>203.91</v>
      </c>
      <c r="G358" s="73" t="s">
        <v>829</v>
      </c>
      <c r="H358" s="73"/>
      <c r="I358" s="73"/>
      <c r="J358" s="73"/>
      <c r="K358" s="73"/>
      <c r="L358" s="73"/>
      <c r="M358" s="73"/>
      <c r="N358" s="73"/>
      <c r="O358" s="75">
        <f>SUM(TABELA23[[#This Row],[T1]:[T7]])</f>
        <v>0</v>
      </c>
      <c r="P358" s="76">
        <f>TABELA23[[#This Row],[QTDE]]*TABELA23[[#This Row],[PREÇO]]</f>
        <v>0</v>
      </c>
    </row>
    <row r="359" spans="1:16" x14ac:dyDescent="0.2">
      <c r="A359" s="70" t="s">
        <v>1910</v>
      </c>
      <c r="B359" s="71" t="s">
        <v>1908</v>
      </c>
      <c r="C359" s="72" t="s">
        <v>1909</v>
      </c>
      <c r="D359" s="73" t="s">
        <v>1384</v>
      </c>
      <c r="E359" s="73" t="s">
        <v>1386</v>
      </c>
      <c r="F359" s="84">
        <v>130</v>
      </c>
      <c r="G359" s="73" t="s">
        <v>829</v>
      </c>
      <c r="H359" s="73"/>
      <c r="I359" s="73"/>
      <c r="J359" s="73"/>
      <c r="K359" s="73"/>
      <c r="L359" s="73"/>
      <c r="M359" s="73"/>
      <c r="N359" s="73"/>
      <c r="O359" s="75">
        <f>SUM(TABELA23[[#This Row],[T1]:[T7]])</f>
        <v>0</v>
      </c>
      <c r="P359" s="76">
        <f>TABELA23[[#This Row],[QTDE]]*TABELA23[[#This Row],[PREÇO]]</f>
        <v>0</v>
      </c>
    </row>
    <row r="360" spans="1:16" x14ac:dyDescent="0.2">
      <c r="A360" s="70" t="s">
        <v>1913</v>
      </c>
      <c r="B360" s="71" t="s">
        <v>1911</v>
      </c>
      <c r="C360" s="72" t="s">
        <v>1912</v>
      </c>
      <c r="D360" s="73" t="s">
        <v>1384</v>
      </c>
      <c r="E360" s="73" t="s">
        <v>1386</v>
      </c>
      <c r="F360" s="84">
        <v>190.87</v>
      </c>
      <c r="G360" s="73" t="s">
        <v>829</v>
      </c>
      <c r="H360" s="73"/>
      <c r="I360" s="73"/>
      <c r="J360" s="73"/>
      <c r="K360" s="73"/>
      <c r="L360" s="73"/>
      <c r="M360" s="73"/>
      <c r="N360" s="73"/>
      <c r="O360" s="75">
        <f>SUM(TABELA23[[#This Row],[T1]:[T7]])</f>
        <v>0</v>
      </c>
      <c r="P360" s="76">
        <f>TABELA23[[#This Row],[QTDE]]*TABELA23[[#This Row],[PREÇO]]</f>
        <v>0</v>
      </c>
    </row>
    <row r="361" spans="1:16" x14ac:dyDescent="0.2">
      <c r="A361" s="70" t="s">
        <v>1916</v>
      </c>
      <c r="B361" s="71" t="s">
        <v>1914</v>
      </c>
      <c r="C361" s="72" t="s">
        <v>1915</v>
      </c>
      <c r="D361" s="73" t="s">
        <v>32</v>
      </c>
      <c r="E361" s="73" t="s">
        <v>33</v>
      </c>
      <c r="F361" s="84">
        <v>151.74</v>
      </c>
      <c r="G361" s="73" t="s">
        <v>829</v>
      </c>
      <c r="H361" s="73"/>
      <c r="I361" s="73"/>
      <c r="J361" s="73"/>
      <c r="K361" s="73"/>
      <c r="L361" s="73"/>
      <c r="M361" s="73"/>
      <c r="N361" s="73"/>
      <c r="O361" s="75">
        <f>SUM(TABELA23[[#This Row],[T1]:[T7]])</f>
        <v>0</v>
      </c>
      <c r="P361" s="76">
        <f>TABELA23[[#This Row],[QTDE]]*TABELA23[[#This Row],[PREÇO]]</f>
        <v>0</v>
      </c>
    </row>
    <row r="362" spans="1:16" x14ac:dyDescent="0.2">
      <c r="A362" s="70" t="s">
        <v>1919</v>
      </c>
      <c r="B362" s="71" t="s">
        <v>1917</v>
      </c>
      <c r="C362" s="72" t="s">
        <v>1918</v>
      </c>
      <c r="D362" s="73" t="s">
        <v>1133</v>
      </c>
      <c r="E362" s="73" t="s">
        <v>1134</v>
      </c>
      <c r="F362" s="84">
        <v>130</v>
      </c>
      <c r="G362" s="73" t="s">
        <v>829</v>
      </c>
      <c r="H362" s="73"/>
      <c r="I362" s="73"/>
      <c r="J362" s="73"/>
      <c r="K362" s="73"/>
      <c r="L362" s="73"/>
      <c r="M362" s="73"/>
      <c r="N362" s="73"/>
      <c r="O362" s="75">
        <f>SUM(TABELA23[[#This Row],[T1]:[T7]])</f>
        <v>0</v>
      </c>
      <c r="P362" s="76">
        <f>TABELA23[[#This Row],[QTDE]]*TABELA23[[#This Row],[PREÇO]]</f>
        <v>0</v>
      </c>
    </row>
    <row r="363" spans="1:16" x14ac:dyDescent="0.2">
      <c r="A363" s="70" t="s">
        <v>1920</v>
      </c>
      <c r="B363" s="71" t="s">
        <v>1917</v>
      </c>
      <c r="C363" s="72" t="s">
        <v>1918</v>
      </c>
      <c r="D363" s="73" t="s">
        <v>914</v>
      </c>
      <c r="E363" s="73" t="s">
        <v>915</v>
      </c>
      <c r="F363" s="84">
        <v>130</v>
      </c>
      <c r="G363" s="73" t="s">
        <v>826</v>
      </c>
      <c r="H363" s="73"/>
      <c r="I363" s="73"/>
      <c r="J363" s="73"/>
      <c r="K363" s="73"/>
      <c r="L363" s="73"/>
      <c r="M363" s="73"/>
      <c r="N363" s="73"/>
      <c r="O363" s="75">
        <f>SUM(TABELA23[[#This Row],[T1]:[T7]])</f>
        <v>0</v>
      </c>
      <c r="P363" s="76">
        <f>TABELA23[[#This Row],[QTDE]]*TABELA23[[#This Row],[PREÇO]]</f>
        <v>0</v>
      </c>
    </row>
    <row r="364" spans="1:16" x14ac:dyDescent="0.2">
      <c r="A364" s="70" t="s">
        <v>1923</v>
      </c>
      <c r="B364" s="71" t="s">
        <v>1921</v>
      </c>
      <c r="C364" s="72" t="s">
        <v>1922</v>
      </c>
      <c r="D364" s="73" t="s">
        <v>1836</v>
      </c>
      <c r="E364" s="73" t="s">
        <v>1838</v>
      </c>
      <c r="F364" s="84">
        <v>216.96</v>
      </c>
      <c r="G364" s="73" t="s">
        <v>829</v>
      </c>
      <c r="H364" s="73"/>
      <c r="I364" s="73"/>
      <c r="J364" s="73"/>
      <c r="K364" s="73"/>
      <c r="L364" s="73"/>
      <c r="M364" s="73"/>
      <c r="N364" s="73"/>
      <c r="O364" s="75">
        <f>SUM(TABELA23[[#This Row],[T1]:[T7]])</f>
        <v>0</v>
      </c>
      <c r="P364" s="76">
        <f>TABELA23[[#This Row],[QTDE]]*TABELA23[[#This Row],[PREÇO]]</f>
        <v>0</v>
      </c>
    </row>
    <row r="365" spans="1:16" x14ac:dyDescent="0.2">
      <c r="A365" s="70" t="s">
        <v>1926</v>
      </c>
      <c r="B365" s="71" t="s">
        <v>1924</v>
      </c>
      <c r="C365" s="72" t="s">
        <v>1925</v>
      </c>
      <c r="D365" s="73" t="s">
        <v>32</v>
      </c>
      <c r="E365" s="73" t="s">
        <v>33</v>
      </c>
      <c r="F365" s="84">
        <v>130</v>
      </c>
      <c r="G365" s="73" t="s">
        <v>829</v>
      </c>
      <c r="H365" s="73"/>
      <c r="I365" s="73"/>
      <c r="J365" s="73"/>
      <c r="K365" s="73"/>
      <c r="L365" s="73"/>
      <c r="M365" s="73"/>
      <c r="N365" s="73"/>
      <c r="O365" s="75">
        <f>SUM(TABELA23[[#This Row],[T1]:[T7]])</f>
        <v>0</v>
      </c>
      <c r="P365" s="76">
        <f>TABELA23[[#This Row],[QTDE]]*TABELA23[[#This Row],[PREÇO]]</f>
        <v>0</v>
      </c>
    </row>
    <row r="366" spans="1:16" x14ac:dyDescent="0.2">
      <c r="A366" s="70" t="s">
        <v>1929</v>
      </c>
      <c r="B366" s="71" t="s">
        <v>1927</v>
      </c>
      <c r="C366" s="72" t="s">
        <v>1928</v>
      </c>
      <c r="D366" s="73" t="s">
        <v>1474</v>
      </c>
      <c r="E366" s="73" t="s">
        <v>1475</v>
      </c>
      <c r="F366" s="84">
        <v>173.48</v>
      </c>
      <c r="G366" s="73" t="s">
        <v>829</v>
      </c>
      <c r="H366" s="73"/>
      <c r="I366" s="73"/>
      <c r="J366" s="73"/>
      <c r="K366" s="73"/>
      <c r="L366" s="73"/>
      <c r="M366" s="73"/>
      <c r="N366" s="73"/>
      <c r="O366" s="75">
        <f>SUM(TABELA23[[#This Row],[T1]:[T7]])</f>
        <v>0</v>
      </c>
      <c r="P366" s="76">
        <f>TABELA23[[#This Row],[QTDE]]*TABELA23[[#This Row],[PREÇO]]</f>
        <v>0</v>
      </c>
    </row>
    <row r="367" spans="1:16" x14ac:dyDescent="0.2">
      <c r="A367" s="70" t="s">
        <v>1932</v>
      </c>
      <c r="B367" s="71" t="s">
        <v>1930</v>
      </c>
      <c r="C367" s="72" t="s">
        <v>1931</v>
      </c>
      <c r="D367" s="73" t="s">
        <v>830</v>
      </c>
      <c r="E367" s="73" t="s">
        <v>43</v>
      </c>
      <c r="F367" s="84">
        <v>151.74</v>
      </c>
      <c r="G367" s="73" t="s">
        <v>829</v>
      </c>
      <c r="H367" s="73"/>
      <c r="I367" s="73"/>
      <c r="J367" s="73"/>
      <c r="K367" s="73"/>
      <c r="L367" s="73"/>
      <c r="M367" s="73"/>
      <c r="N367" s="73"/>
      <c r="O367" s="75">
        <f>SUM(TABELA23[[#This Row],[T1]:[T7]])</f>
        <v>0</v>
      </c>
      <c r="P367" s="76">
        <f>TABELA23[[#This Row],[QTDE]]*TABELA23[[#This Row],[PREÇO]]</f>
        <v>0</v>
      </c>
    </row>
    <row r="368" spans="1:16" x14ac:dyDescent="0.2">
      <c r="A368" s="70" t="s">
        <v>1935</v>
      </c>
      <c r="B368" s="71" t="s">
        <v>1933</v>
      </c>
      <c r="C368" s="72" t="s">
        <v>1934</v>
      </c>
      <c r="D368" s="73" t="s">
        <v>1474</v>
      </c>
      <c r="E368" s="73" t="s">
        <v>1475</v>
      </c>
      <c r="F368" s="84">
        <v>173.48</v>
      </c>
      <c r="G368" s="73" t="s">
        <v>829</v>
      </c>
      <c r="H368" s="73"/>
      <c r="I368" s="73"/>
      <c r="J368" s="73"/>
      <c r="K368" s="73"/>
      <c r="L368" s="73"/>
      <c r="M368" s="73"/>
      <c r="N368" s="73"/>
      <c r="O368" s="75">
        <f>SUM(TABELA23[[#This Row],[T1]:[T7]])</f>
        <v>0</v>
      </c>
      <c r="P368" s="76">
        <f>TABELA23[[#This Row],[QTDE]]*TABELA23[[#This Row],[PREÇO]]</f>
        <v>0</v>
      </c>
    </row>
    <row r="369" spans="1:16" x14ac:dyDescent="0.2">
      <c r="A369" s="70" t="s">
        <v>1938</v>
      </c>
      <c r="B369" s="71" t="s">
        <v>1936</v>
      </c>
      <c r="C369" s="72" t="s">
        <v>1937</v>
      </c>
      <c r="D369" s="73" t="s">
        <v>821</v>
      </c>
      <c r="E369" s="73" t="s">
        <v>822</v>
      </c>
      <c r="F369" s="84">
        <v>173.48</v>
      </c>
      <c r="G369" s="73" t="s">
        <v>829</v>
      </c>
      <c r="H369" s="73"/>
      <c r="I369" s="73"/>
      <c r="J369" s="73"/>
      <c r="K369" s="73"/>
      <c r="L369" s="73"/>
      <c r="M369" s="73"/>
      <c r="N369" s="73"/>
      <c r="O369" s="75">
        <f>SUM(TABELA23[[#This Row],[T1]:[T7]])</f>
        <v>0</v>
      </c>
      <c r="P369" s="76">
        <f>TABELA23[[#This Row],[QTDE]]*TABELA23[[#This Row],[PREÇO]]</f>
        <v>0</v>
      </c>
    </row>
    <row r="370" spans="1:16" x14ac:dyDescent="0.2">
      <c r="A370" s="70" t="s">
        <v>1941</v>
      </c>
      <c r="B370" s="71" t="s">
        <v>1939</v>
      </c>
      <c r="C370" s="72" t="s">
        <v>1940</v>
      </c>
      <c r="D370" s="73" t="s">
        <v>1783</v>
      </c>
      <c r="E370" s="73" t="s">
        <v>1785</v>
      </c>
      <c r="F370" s="84">
        <v>143.04</v>
      </c>
      <c r="G370" s="73" t="s">
        <v>829</v>
      </c>
      <c r="H370" s="73"/>
      <c r="I370" s="73"/>
      <c r="J370" s="73"/>
      <c r="K370" s="73"/>
      <c r="L370" s="73"/>
      <c r="M370" s="73"/>
      <c r="N370" s="73"/>
      <c r="O370" s="75">
        <f>SUM(TABELA23[[#This Row],[T1]:[T7]])</f>
        <v>0</v>
      </c>
      <c r="P370" s="76">
        <f>TABELA23[[#This Row],[QTDE]]*TABELA23[[#This Row],[PREÇO]]</f>
        <v>0</v>
      </c>
    </row>
    <row r="371" spans="1:16" x14ac:dyDescent="0.2">
      <c r="A371" s="70" t="s">
        <v>1944</v>
      </c>
      <c r="B371" s="71" t="s">
        <v>1942</v>
      </c>
      <c r="C371" s="72" t="s">
        <v>1943</v>
      </c>
      <c r="D371" s="73" t="s">
        <v>1805</v>
      </c>
      <c r="E371" s="73" t="s">
        <v>1807</v>
      </c>
      <c r="F371" s="84">
        <v>190.87</v>
      </c>
      <c r="G371" s="73" t="s">
        <v>829</v>
      </c>
      <c r="H371" s="73"/>
      <c r="I371" s="73"/>
      <c r="J371" s="73"/>
      <c r="K371" s="73"/>
      <c r="L371" s="73"/>
      <c r="M371" s="73"/>
      <c r="N371" s="73"/>
      <c r="O371" s="75">
        <f>SUM(TABELA23[[#This Row],[T1]:[T7]])</f>
        <v>0</v>
      </c>
      <c r="P371" s="76">
        <f>TABELA23[[#This Row],[QTDE]]*TABELA23[[#This Row],[PREÇO]]</f>
        <v>0</v>
      </c>
    </row>
    <row r="372" spans="1:16" x14ac:dyDescent="0.2">
      <c r="A372" s="70" t="s">
        <v>1948</v>
      </c>
      <c r="B372" s="71" t="s">
        <v>1945</v>
      </c>
      <c r="C372" s="72" t="s">
        <v>1946</v>
      </c>
      <c r="D372" s="73" t="s">
        <v>914</v>
      </c>
      <c r="E372" s="73" t="s">
        <v>915</v>
      </c>
      <c r="F372" s="84">
        <v>164.78</v>
      </c>
      <c r="G372" s="73" t="s">
        <v>829</v>
      </c>
      <c r="H372" s="73"/>
      <c r="I372" s="73"/>
      <c r="J372" s="73"/>
      <c r="K372" s="73"/>
      <c r="L372" s="73"/>
      <c r="M372" s="73"/>
      <c r="N372" s="73"/>
      <c r="O372" s="75">
        <f>SUM(TABELA23[[#This Row],[T1]:[T7]])</f>
        <v>0</v>
      </c>
      <c r="P372" s="76">
        <f>TABELA23[[#This Row],[QTDE]]*TABELA23[[#This Row],[PREÇO]]</f>
        <v>0</v>
      </c>
    </row>
    <row r="373" spans="1:16" x14ac:dyDescent="0.2">
      <c r="A373" s="70" t="s">
        <v>1947</v>
      </c>
      <c r="B373" s="71" t="s">
        <v>1945</v>
      </c>
      <c r="C373" s="72" t="s">
        <v>1946</v>
      </c>
      <c r="D373" s="73" t="s">
        <v>1133</v>
      </c>
      <c r="E373" s="73" t="s">
        <v>1134</v>
      </c>
      <c r="F373" s="84">
        <v>164.78</v>
      </c>
      <c r="G373" s="73" t="s">
        <v>829</v>
      </c>
      <c r="H373" s="73"/>
      <c r="I373" s="73"/>
      <c r="J373" s="73"/>
      <c r="K373" s="73"/>
      <c r="L373" s="73"/>
      <c r="M373" s="73"/>
      <c r="N373" s="73"/>
      <c r="O373" s="75">
        <f>SUM(TABELA23[[#This Row],[T1]:[T7]])</f>
        <v>0</v>
      </c>
      <c r="P373" s="76">
        <f>TABELA23[[#This Row],[QTDE]]*TABELA23[[#This Row],[PREÇO]]</f>
        <v>0</v>
      </c>
    </row>
    <row r="374" spans="1:16" x14ac:dyDescent="0.2">
      <c r="A374" s="70" t="s">
        <v>1951</v>
      </c>
      <c r="B374" s="71" t="s">
        <v>1949</v>
      </c>
      <c r="C374" s="72" t="s">
        <v>1950</v>
      </c>
      <c r="D374" s="73" t="s">
        <v>821</v>
      </c>
      <c r="E374" s="73" t="s">
        <v>822</v>
      </c>
      <c r="F374" s="84">
        <v>112.61</v>
      </c>
      <c r="G374" s="73" t="s">
        <v>829</v>
      </c>
      <c r="H374" s="73"/>
      <c r="I374" s="73"/>
      <c r="J374" s="73"/>
      <c r="K374" s="73"/>
      <c r="L374" s="73"/>
      <c r="M374" s="73"/>
      <c r="N374" s="73"/>
      <c r="O374" s="75">
        <f>SUM(TABELA23[[#This Row],[T1]:[T7]])</f>
        <v>0</v>
      </c>
      <c r="P374" s="76">
        <f>TABELA23[[#This Row],[QTDE]]*TABELA23[[#This Row],[PREÇO]]</f>
        <v>0</v>
      </c>
    </row>
    <row r="375" spans="1:16" x14ac:dyDescent="0.2">
      <c r="A375" s="70" t="s">
        <v>1954</v>
      </c>
      <c r="B375" s="71" t="s">
        <v>1952</v>
      </c>
      <c r="C375" s="72" t="s">
        <v>1953</v>
      </c>
      <c r="D375" s="73" t="s">
        <v>1384</v>
      </c>
      <c r="E375" s="73" t="s">
        <v>1386</v>
      </c>
      <c r="F375" s="84">
        <v>64.78</v>
      </c>
      <c r="G375" s="73" t="s">
        <v>829</v>
      </c>
      <c r="H375" s="73"/>
      <c r="I375" s="73"/>
      <c r="J375" s="73"/>
      <c r="K375" s="73"/>
      <c r="L375" s="73"/>
      <c r="M375" s="73"/>
      <c r="N375" s="73"/>
      <c r="O375" s="75">
        <f>SUM(TABELA23[[#This Row],[T1]:[T7]])</f>
        <v>0</v>
      </c>
      <c r="P375" s="76">
        <f>TABELA23[[#This Row],[QTDE]]*TABELA23[[#This Row],[PREÇO]]</f>
        <v>0</v>
      </c>
    </row>
    <row r="376" spans="1:16" x14ac:dyDescent="0.2">
      <c r="A376" s="70" t="s">
        <v>1957</v>
      </c>
      <c r="B376" s="71" t="s">
        <v>1955</v>
      </c>
      <c r="C376" s="72" t="s">
        <v>1956</v>
      </c>
      <c r="D376" s="73" t="s">
        <v>1384</v>
      </c>
      <c r="E376" s="73" t="s">
        <v>1386</v>
      </c>
      <c r="F376" s="84">
        <v>125.65</v>
      </c>
      <c r="G376" s="73" t="s">
        <v>829</v>
      </c>
      <c r="H376" s="73"/>
      <c r="I376" s="73"/>
      <c r="J376" s="73"/>
      <c r="K376" s="73"/>
      <c r="L376" s="73"/>
      <c r="M376" s="73"/>
      <c r="N376" s="73"/>
      <c r="O376" s="75">
        <f>SUM(TABELA23[[#This Row],[T1]:[T7]])</f>
        <v>0</v>
      </c>
      <c r="P376" s="76">
        <f>TABELA23[[#This Row],[QTDE]]*TABELA23[[#This Row],[PREÇO]]</f>
        <v>0</v>
      </c>
    </row>
    <row r="377" spans="1:16" x14ac:dyDescent="0.2">
      <c r="A377" s="70" t="s">
        <v>1960</v>
      </c>
      <c r="B377" s="71" t="s">
        <v>1958</v>
      </c>
      <c r="C377" s="72" t="s">
        <v>1959</v>
      </c>
      <c r="D377" s="73" t="s">
        <v>838</v>
      </c>
      <c r="E377" s="73" t="s">
        <v>765</v>
      </c>
      <c r="F377" s="84">
        <v>95.22</v>
      </c>
      <c r="G377" s="73" t="s">
        <v>826</v>
      </c>
      <c r="H377" s="73"/>
      <c r="I377" s="73"/>
      <c r="J377" s="73"/>
      <c r="K377" s="73"/>
      <c r="L377" s="73"/>
      <c r="M377" s="73"/>
      <c r="N377" s="73"/>
      <c r="O377" s="75">
        <f>SUM(TABELA23[[#This Row],[T1]:[T7]])</f>
        <v>0</v>
      </c>
      <c r="P377" s="76">
        <f>TABELA23[[#This Row],[QTDE]]*TABELA23[[#This Row],[PREÇO]]</f>
        <v>0</v>
      </c>
    </row>
    <row r="378" spans="1:16" x14ac:dyDescent="0.2">
      <c r="A378" s="70" t="s">
        <v>1961</v>
      </c>
      <c r="B378" s="71" t="s">
        <v>1958</v>
      </c>
      <c r="C378" s="72" t="s">
        <v>1959</v>
      </c>
      <c r="D378" s="73" t="s">
        <v>1800</v>
      </c>
      <c r="E378" s="73" t="s">
        <v>1802</v>
      </c>
      <c r="F378" s="84">
        <v>95.22</v>
      </c>
      <c r="G378" s="73" t="s">
        <v>826</v>
      </c>
      <c r="H378" s="73"/>
      <c r="I378" s="73"/>
      <c r="J378" s="73"/>
      <c r="K378" s="73"/>
      <c r="L378" s="73"/>
      <c r="M378" s="73"/>
      <c r="N378" s="73"/>
      <c r="O378" s="75">
        <f>SUM(TABELA23[[#This Row],[T1]:[T7]])</f>
        <v>0</v>
      </c>
      <c r="P378" s="76">
        <f>TABELA23[[#This Row],[QTDE]]*TABELA23[[#This Row],[PREÇO]]</f>
        <v>0</v>
      </c>
    </row>
    <row r="379" spans="1:16" x14ac:dyDescent="0.2">
      <c r="A379" s="70" t="s">
        <v>1962</v>
      </c>
      <c r="B379" s="71" t="s">
        <v>1963</v>
      </c>
      <c r="C379" s="72" t="s">
        <v>1964</v>
      </c>
      <c r="D379" s="73" t="s">
        <v>1800</v>
      </c>
      <c r="E379" s="73" t="s">
        <v>1802</v>
      </c>
      <c r="F379" s="84">
        <v>143.04</v>
      </c>
      <c r="G379" s="73" t="s">
        <v>826</v>
      </c>
      <c r="H379" s="73"/>
      <c r="I379" s="73"/>
      <c r="J379" s="73"/>
      <c r="K379" s="73"/>
      <c r="L379" s="73"/>
      <c r="M379" s="73"/>
      <c r="N379" s="73"/>
      <c r="O379" s="75">
        <f>SUM(TABELA23[[#This Row],[T1]:[T7]])</f>
        <v>0</v>
      </c>
      <c r="P379" s="76">
        <f>TABELA23[[#This Row],[QTDE]]*TABELA23[[#This Row],[PREÇO]]</f>
        <v>0</v>
      </c>
    </row>
    <row r="380" spans="1:16" x14ac:dyDescent="0.2">
      <c r="A380" s="70" t="s">
        <v>1965</v>
      </c>
      <c r="B380" s="71" t="s">
        <v>1966</v>
      </c>
      <c r="C380" s="72" t="s">
        <v>1967</v>
      </c>
      <c r="D380" s="73" t="s">
        <v>561</v>
      </c>
      <c r="E380" s="73" t="s">
        <v>45</v>
      </c>
      <c r="F380" s="84">
        <v>108.26</v>
      </c>
      <c r="G380" s="73" t="s">
        <v>826</v>
      </c>
      <c r="H380" s="73"/>
      <c r="I380" s="73"/>
      <c r="J380" s="73"/>
      <c r="K380" s="73"/>
      <c r="L380" s="73"/>
      <c r="M380" s="73"/>
      <c r="N380" s="73"/>
      <c r="O380" s="75">
        <f>SUM(TABELA23[[#This Row],[T1]:[T7]])</f>
        <v>0</v>
      </c>
      <c r="P380" s="76">
        <f>TABELA23[[#This Row],[QTDE]]*TABELA23[[#This Row],[PREÇO]]</f>
        <v>0</v>
      </c>
    </row>
    <row r="381" spans="1:16" x14ac:dyDescent="0.2">
      <c r="A381" s="70" t="s">
        <v>1968</v>
      </c>
      <c r="B381" s="71" t="s">
        <v>1966</v>
      </c>
      <c r="C381" s="72" t="s">
        <v>1967</v>
      </c>
      <c r="D381" s="73" t="s">
        <v>32</v>
      </c>
      <c r="E381" s="73" t="s">
        <v>33</v>
      </c>
      <c r="F381" s="84">
        <v>108.26</v>
      </c>
      <c r="G381" s="73" t="s">
        <v>826</v>
      </c>
      <c r="H381" s="73"/>
      <c r="I381" s="73"/>
      <c r="J381" s="73"/>
      <c r="K381" s="73"/>
      <c r="L381" s="73"/>
      <c r="M381" s="73"/>
      <c r="N381" s="73"/>
      <c r="O381" s="75">
        <f>SUM(TABELA23[[#This Row],[T1]:[T7]])</f>
        <v>0</v>
      </c>
      <c r="P381" s="76">
        <f>TABELA23[[#This Row],[QTDE]]*TABELA23[[#This Row],[PREÇO]]</f>
        <v>0</v>
      </c>
    </row>
    <row r="382" spans="1:16" x14ac:dyDescent="0.2">
      <c r="A382" s="70" t="s">
        <v>1971</v>
      </c>
      <c r="B382" s="71" t="s">
        <v>1969</v>
      </c>
      <c r="C382" s="72" t="s">
        <v>1970</v>
      </c>
      <c r="D382" s="73" t="s">
        <v>992</v>
      </c>
      <c r="E382" s="73" t="s">
        <v>994</v>
      </c>
      <c r="F382" s="84">
        <v>99.57</v>
      </c>
      <c r="G382" s="73" t="s">
        <v>826</v>
      </c>
      <c r="H382" s="73"/>
      <c r="I382" s="73"/>
      <c r="J382" s="73"/>
      <c r="K382" s="73"/>
      <c r="L382" s="73"/>
      <c r="M382" s="73"/>
      <c r="N382" s="73"/>
      <c r="O382" s="75">
        <f>SUM(TABELA23[[#This Row],[T1]:[T7]])</f>
        <v>0</v>
      </c>
      <c r="P382" s="76">
        <f>TABELA23[[#This Row],[QTDE]]*TABELA23[[#This Row],[PREÇO]]</f>
        <v>0</v>
      </c>
    </row>
    <row r="383" spans="1:16" x14ac:dyDescent="0.2">
      <c r="A383" s="70" t="s">
        <v>1974</v>
      </c>
      <c r="B383" s="71" t="s">
        <v>1972</v>
      </c>
      <c r="C383" s="72" t="s">
        <v>1973</v>
      </c>
      <c r="D383" s="73" t="s">
        <v>992</v>
      </c>
      <c r="E383" s="73" t="s">
        <v>994</v>
      </c>
      <c r="F383" s="84">
        <v>186.52</v>
      </c>
      <c r="G383" s="73" t="s">
        <v>829</v>
      </c>
      <c r="H383" s="73"/>
      <c r="I383" s="73"/>
      <c r="J383" s="73"/>
      <c r="K383" s="73"/>
      <c r="L383" s="73"/>
      <c r="M383" s="73"/>
      <c r="N383" s="73"/>
      <c r="O383" s="75">
        <f>SUM(TABELA23[[#This Row],[T1]:[T7]])</f>
        <v>0</v>
      </c>
      <c r="P383" s="76">
        <f>TABELA23[[#This Row],[QTDE]]*TABELA23[[#This Row],[PREÇO]]</f>
        <v>0</v>
      </c>
    </row>
    <row r="384" spans="1:16" x14ac:dyDescent="0.2">
      <c r="A384" s="70" t="s">
        <v>1977</v>
      </c>
      <c r="B384" s="71" t="s">
        <v>1975</v>
      </c>
      <c r="C384" s="72" t="s">
        <v>1976</v>
      </c>
      <c r="D384" s="73" t="s">
        <v>561</v>
      </c>
      <c r="E384" s="73" t="s">
        <v>45</v>
      </c>
      <c r="F384" s="84">
        <v>69.13</v>
      </c>
      <c r="G384" s="73" t="s">
        <v>829</v>
      </c>
      <c r="H384" s="73"/>
      <c r="I384" s="73"/>
      <c r="J384" s="73"/>
      <c r="K384" s="73"/>
      <c r="L384" s="73"/>
      <c r="M384" s="73"/>
      <c r="N384" s="73"/>
      <c r="O384" s="75">
        <f>SUM(TABELA23[[#This Row],[T1]:[T7]])</f>
        <v>0</v>
      </c>
      <c r="P384" s="76">
        <f>TABELA23[[#This Row],[QTDE]]*TABELA23[[#This Row],[PREÇO]]</f>
        <v>0</v>
      </c>
    </row>
    <row r="385" spans="1:16" x14ac:dyDescent="0.2">
      <c r="A385" s="70" t="s">
        <v>1978</v>
      </c>
      <c r="B385" s="71" t="s">
        <v>1975</v>
      </c>
      <c r="C385" s="72" t="s">
        <v>1976</v>
      </c>
      <c r="D385" s="73" t="s">
        <v>32</v>
      </c>
      <c r="E385" s="73" t="s">
        <v>33</v>
      </c>
      <c r="F385" s="84">
        <v>69.13</v>
      </c>
      <c r="G385" s="73" t="s">
        <v>829</v>
      </c>
      <c r="H385" s="73"/>
      <c r="I385" s="73"/>
      <c r="J385" s="73"/>
      <c r="K385" s="73"/>
      <c r="L385" s="73"/>
      <c r="M385" s="73"/>
      <c r="N385" s="73"/>
      <c r="O385" s="75">
        <f>SUM(TABELA23[[#This Row],[T1]:[T7]])</f>
        <v>0</v>
      </c>
      <c r="P385" s="76">
        <f>TABELA23[[#This Row],[QTDE]]*TABELA23[[#This Row],[PREÇO]]</f>
        <v>0</v>
      </c>
    </row>
    <row r="386" spans="1:16" x14ac:dyDescent="0.2">
      <c r="A386" s="70" t="s">
        <v>1979</v>
      </c>
      <c r="B386" s="71" t="s">
        <v>1980</v>
      </c>
      <c r="C386" s="72" t="s">
        <v>1981</v>
      </c>
      <c r="D386" s="73" t="s">
        <v>1474</v>
      </c>
      <c r="E386" s="73" t="s">
        <v>1475</v>
      </c>
      <c r="F386" s="84">
        <v>51.74</v>
      </c>
      <c r="G386" s="73" t="s">
        <v>826</v>
      </c>
      <c r="H386" s="73"/>
      <c r="I386" s="73"/>
      <c r="J386" s="73"/>
      <c r="K386" s="73"/>
      <c r="L386" s="73"/>
      <c r="M386" s="73"/>
      <c r="N386" s="73"/>
      <c r="O386" s="75">
        <f>SUM(TABELA23[[#This Row],[T1]:[T7]])</f>
        <v>0</v>
      </c>
      <c r="P386" s="76">
        <f>TABELA23[[#This Row],[QTDE]]*TABELA23[[#This Row],[PREÇO]]</f>
        <v>0</v>
      </c>
    </row>
    <row r="387" spans="1:16" x14ac:dyDescent="0.2">
      <c r="A387" s="70" t="s">
        <v>1982</v>
      </c>
      <c r="B387" s="71" t="s">
        <v>1980</v>
      </c>
      <c r="C387" s="72" t="s">
        <v>1981</v>
      </c>
      <c r="D387" s="73" t="s">
        <v>1514</v>
      </c>
      <c r="E387" s="73" t="s">
        <v>1516</v>
      </c>
      <c r="F387" s="84">
        <v>51.74</v>
      </c>
      <c r="G387" s="73" t="s">
        <v>826</v>
      </c>
      <c r="H387" s="73"/>
      <c r="I387" s="73"/>
      <c r="J387" s="73"/>
      <c r="K387" s="73"/>
      <c r="L387" s="73"/>
      <c r="M387" s="73"/>
      <c r="N387" s="73"/>
      <c r="O387" s="75">
        <f>SUM(TABELA23[[#This Row],[T1]:[T7]])</f>
        <v>0</v>
      </c>
      <c r="P387" s="76">
        <f>TABELA23[[#This Row],[QTDE]]*TABELA23[[#This Row],[PREÇO]]</f>
        <v>0</v>
      </c>
    </row>
    <row r="388" spans="1:16" x14ac:dyDescent="0.2">
      <c r="A388" s="70" t="s">
        <v>1986</v>
      </c>
      <c r="B388" s="71" t="s">
        <v>1984</v>
      </c>
      <c r="C388" s="72" t="s">
        <v>1985</v>
      </c>
      <c r="D388" s="73" t="s">
        <v>1164</v>
      </c>
      <c r="E388" s="73" t="s">
        <v>1166</v>
      </c>
      <c r="F388" s="84">
        <v>60.43</v>
      </c>
      <c r="G388" s="73" t="s">
        <v>826</v>
      </c>
      <c r="H388" s="73"/>
      <c r="I388" s="73"/>
      <c r="J388" s="73"/>
      <c r="K388" s="73"/>
      <c r="L388" s="73"/>
      <c r="M388" s="73"/>
      <c r="N388" s="73"/>
      <c r="O388" s="75">
        <f>SUM(TABELA23[[#This Row],[T1]:[T7]])</f>
        <v>0</v>
      </c>
      <c r="P388" s="76">
        <f>TABELA23[[#This Row],[QTDE]]*TABELA23[[#This Row],[PREÇO]]</f>
        <v>0</v>
      </c>
    </row>
    <row r="389" spans="1:16" x14ac:dyDescent="0.2">
      <c r="A389" s="70" t="s">
        <v>1987</v>
      </c>
      <c r="B389" s="71" t="s">
        <v>1984</v>
      </c>
      <c r="C389" s="72" t="s">
        <v>1985</v>
      </c>
      <c r="D389" s="73" t="s">
        <v>1559</v>
      </c>
      <c r="E389" s="73" t="s">
        <v>1688</v>
      </c>
      <c r="F389" s="84">
        <v>60.43</v>
      </c>
      <c r="G389" s="73" t="s">
        <v>826</v>
      </c>
      <c r="H389" s="73"/>
      <c r="I389" s="73"/>
      <c r="J389" s="73"/>
      <c r="K389" s="73"/>
      <c r="L389" s="73"/>
      <c r="M389" s="73"/>
      <c r="N389" s="73"/>
      <c r="O389" s="75">
        <f>SUM(TABELA23[[#This Row],[T1]:[T7]])</f>
        <v>0</v>
      </c>
      <c r="P389" s="76">
        <f>TABELA23[[#This Row],[QTDE]]*TABELA23[[#This Row],[PREÇO]]</f>
        <v>0</v>
      </c>
    </row>
    <row r="390" spans="1:16" x14ac:dyDescent="0.2">
      <c r="A390" s="70" t="s">
        <v>1983</v>
      </c>
      <c r="B390" s="71" t="s">
        <v>1984</v>
      </c>
      <c r="C390" s="72" t="s">
        <v>1985</v>
      </c>
      <c r="D390" s="73" t="s">
        <v>1133</v>
      </c>
      <c r="E390" s="73" t="s">
        <v>1134</v>
      </c>
      <c r="F390" s="84">
        <v>60.43</v>
      </c>
      <c r="G390" s="73" t="s">
        <v>826</v>
      </c>
      <c r="H390" s="73"/>
      <c r="I390" s="73"/>
      <c r="J390" s="73"/>
      <c r="K390" s="73"/>
      <c r="L390" s="73"/>
      <c r="M390" s="73"/>
      <c r="N390" s="73"/>
      <c r="O390" s="75">
        <f>SUM(TABELA23[[#This Row],[T1]:[T7]])</f>
        <v>0</v>
      </c>
      <c r="P390" s="76">
        <f>TABELA23[[#This Row],[QTDE]]*TABELA23[[#This Row],[PREÇO]]</f>
        <v>0</v>
      </c>
    </row>
    <row r="391" spans="1:16" x14ac:dyDescent="0.2">
      <c r="A391" s="70" t="s">
        <v>1988</v>
      </c>
      <c r="B391" s="71" t="s">
        <v>1989</v>
      </c>
      <c r="C391" s="72" t="s">
        <v>1990</v>
      </c>
      <c r="D391" s="73" t="s">
        <v>32</v>
      </c>
      <c r="E391" s="73" t="s">
        <v>33</v>
      </c>
      <c r="F391" s="84">
        <v>77.83</v>
      </c>
      <c r="G391" s="73" t="s">
        <v>826</v>
      </c>
      <c r="H391" s="73"/>
      <c r="I391" s="73"/>
      <c r="J391" s="73"/>
      <c r="K391" s="73"/>
      <c r="L391" s="73"/>
      <c r="M391" s="73"/>
      <c r="N391" s="73"/>
      <c r="O391" s="75">
        <f>SUM(TABELA23[[#This Row],[T1]:[T7]])</f>
        <v>0</v>
      </c>
      <c r="P391" s="76">
        <f>TABELA23[[#This Row],[QTDE]]*TABELA23[[#This Row],[PREÇO]]</f>
        <v>0</v>
      </c>
    </row>
    <row r="392" spans="1:16" x14ac:dyDescent="0.2">
      <c r="A392" s="70" t="s">
        <v>1991</v>
      </c>
      <c r="B392" s="71" t="s">
        <v>1989</v>
      </c>
      <c r="C392" s="72" t="s">
        <v>1990</v>
      </c>
      <c r="D392" s="73" t="s">
        <v>1133</v>
      </c>
      <c r="E392" s="73" t="s">
        <v>1134</v>
      </c>
      <c r="F392" s="84">
        <v>77.83</v>
      </c>
      <c r="G392" s="73" t="s">
        <v>826</v>
      </c>
      <c r="H392" s="73"/>
      <c r="I392" s="73"/>
      <c r="J392" s="73"/>
      <c r="K392" s="73"/>
      <c r="L392" s="73"/>
      <c r="M392" s="73"/>
      <c r="N392" s="73"/>
      <c r="O392" s="75">
        <f>SUM(TABELA23[[#This Row],[T1]:[T7]])</f>
        <v>0</v>
      </c>
      <c r="P392" s="76">
        <f>TABELA23[[#This Row],[QTDE]]*TABELA23[[#This Row],[PREÇO]]</f>
        <v>0</v>
      </c>
    </row>
    <row r="393" spans="1:16" x14ac:dyDescent="0.2">
      <c r="A393" s="70" t="s">
        <v>1992</v>
      </c>
      <c r="B393" s="71" t="s">
        <v>1993</v>
      </c>
      <c r="C393" s="72" t="s">
        <v>1994</v>
      </c>
      <c r="D393" s="73" t="s">
        <v>1317</v>
      </c>
      <c r="E393" s="73" t="s">
        <v>1319</v>
      </c>
      <c r="F393" s="84">
        <v>77.83</v>
      </c>
      <c r="G393" s="73" t="s">
        <v>826</v>
      </c>
      <c r="H393" s="73"/>
      <c r="I393" s="73"/>
      <c r="J393" s="73"/>
      <c r="K393" s="73"/>
      <c r="L393" s="73"/>
      <c r="M393" s="73"/>
      <c r="N393" s="73"/>
      <c r="O393" s="75">
        <f>SUM(TABELA23[[#This Row],[T1]:[T7]])</f>
        <v>0</v>
      </c>
      <c r="P393" s="76">
        <f>TABELA23[[#This Row],[QTDE]]*TABELA23[[#This Row],[PREÇO]]</f>
        <v>0</v>
      </c>
    </row>
    <row r="394" spans="1:16" x14ac:dyDescent="0.2">
      <c r="A394" s="70" t="s">
        <v>1997</v>
      </c>
      <c r="B394" s="71" t="s">
        <v>1995</v>
      </c>
      <c r="C394" s="72" t="s">
        <v>1996</v>
      </c>
      <c r="D394" s="73" t="s">
        <v>32</v>
      </c>
      <c r="E394" s="73" t="s">
        <v>33</v>
      </c>
      <c r="F394" s="84">
        <v>112.61</v>
      </c>
      <c r="G394" s="73" t="s">
        <v>829</v>
      </c>
      <c r="H394" s="73"/>
      <c r="I394" s="73"/>
      <c r="J394" s="73"/>
      <c r="K394" s="73"/>
      <c r="L394" s="73"/>
      <c r="M394" s="73"/>
      <c r="N394" s="73"/>
      <c r="O394" s="75">
        <f>SUM(TABELA23[[#This Row],[T1]:[T7]])</f>
        <v>0</v>
      </c>
      <c r="P394" s="76">
        <f>TABELA23[[#This Row],[QTDE]]*TABELA23[[#This Row],[PREÇO]]</f>
        <v>0</v>
      </c>
    </row>
    <row r="395" spans="1:16" x14ac:dyDescent="0.2">
      <c r="A395" s="70" t="s">
        <v>1998</v>
      </c>
      <c r="B395" s="71" t="s">
        <v>1999</v>
      </c>
      <c r="C395" s="72" t="s">
        <v>2000</v>
      </c>
      <c r="D395" s="73" t="s">
        <v>895</v>
      </c>
      <c r="E395" s="73" t="s">
        <v>896</v>
      </c>
      <c r="F395" s="84">
        <v>73.48</v>
      </c>
      <c r="G395" s="73" t="s">
        <v>826</v>
      </c>
      <c r="H395" s="73"/>
      <c r="I395" s="73"/>
      <c r="J395" s="73"/>
      <c r="K395" s="73"/>
      <c r="L395" s="73"/>
      <c r="M395" s="73"/>
      <c r="N395" s="73"/>
      <c r="O395" s="75">
        <f>SUM(TABELA23[[#This Row],[T1]:[T7]])</f>
        <v>0</v>
      </c>
      <c r="P395" s="76">
        <f>TABELA23[[#This Row],[QTDE]]*TABELA23[[#This Row],[PREÇO]]</f>
        <v>0</v>
      </c>
    </row>
    <row r="396" spans="1:16" x14ac:dyDescent="0.2">
      <c r="A396" s="70" t="s">
        <v>2003</v>
      </c>
      <c r="B396" s="71" t="s">
        <v>2001</v>
      </c>
      <c r="C396" s="72" t="s">
        <v>2002</v>
      </c>
      <c r="D396" s="73" t="s">
        <v>32</v>
      </c>
      <c r="E396" s="73" t="s">
        <v>33</v>
      </c>
      <c r="F396" s="84">
        <v>130</v>
      </c>
      <c r="G396" s="73" t="s">
        <v>829</v>
      </c>
      <c r="H396" s="73"/>
      <c r="I396" s="73"/>
      <c r="J396" s="73"/>
      <c r="K396" s="73"/>
      <c r="L396" s="73"/>
      <c r="M396" s="73"/>
      <c r="N396" s="73"/>
      <c r="O396" s="75">
        <f>SUM(TABELA23[[#This Row],[T1]:[T7]])</f>
        <v>0</v>
      </c>
      <c r="P396" s="76">
        <f>TABELA23[[#This Row],[QTDE]]*TABELA23[[#This Row],[PREÇO]]</f>
        <v>0</v>
      </c>
    </row>
    <row r="397" spans="1:16" x14ac:dyDescent="0.2">
      <c r="A397" s="70" t="s">
        <v>2004</v>
      </c>
      <c r="B397" s="71" t="s">
        <v>2001</v>
      </c>
      <c r="C397" s="72" t="s">
        <v>2002</v>
      </c>
      <c r="D397" s="73" t="s">
        <v>895</v>
      </c>
      <c r="E397" s="73" t="s">
        <v>896</v>
      </c>
      <c r="F397" s="84">
        <v>130</v>
      </c>
      <c r="G397" s="73" t="s">
        <v>829</v>
      </c>
      <c r="H397" s="73"/>
      <c r="I397" s="73"/>
      <c r="J397" s="73"/>
      <c r="K397" s="73"/>
      <c r="L397" s="73"/>
      <c r="M397" s="73"/>
      <c r="N397" s="73"/>
      <c r="O397" s="75">
        <f>SUM(TABELA23[[#This Row],[T1]:[T7]])</f>
        <v>0</v>
      </c>
      <c r="P397" s="76">
        <f>TABELA23[[#This Row],[QTDE]]*TABELA23[[#This Row],[PREÇO]]</f>
        <v>0</v>
      </c>
    </row>
    <row r="398" spans="1:16" x14ac:dyDescent="0.2">
      <c r="A398" s="70" t="s">
        <v>2006</v>
      </c>
      <c r="B398" s="71" t="s">
        <v>2005</v>
      </c>
      <c r="C398" s="72" t="s">
        <v>1996</v>
      </c>
      <c r="D398" s="73" t="s">
        <v>1317</v>
      </c>
      <c r="E398" s="73" t="s">
        <v>1319</v>
      </c>
      <c r="F398" s="84">
        <v>121.3</v>
      </c>
      <c r="G398" s="73" t="s">
        <v>2319</v>
      </c>
      <c r="H398" s="73"/>
      <c r="I398" s="73"/>
      <c r="J398" s="73"/>
      <c r="K398" s="73"/>
      <c r="L398" s="73"/>
      <c r="M398" s="73"/>
      <c r="N398" s="73"/>
      <c r="O398" s="75">
        <f>SUM(TABELA23[[#This Row],[T1]:[T7]])</f>
        <v>0</v>
      </c>
      <c r="P398" s="76">
        <f>TABELA23[[#This Row],[QTDE]]*TABELA23[[#This Row],[PREÇO]]</f>
        <v>0</v>
      </c>
    </row>
    <row r="399" spans="1:16" x14ac:dyDescent="0.2">
      <c r="A399" s="70" t="s">
        <v>2007</v>
      </c>
      <c r="B399" s="71" t="s">
        <v>2008</v>
      </c>
      <c r="C399" s="72" t="s">
        <v>2009</v>
      </c>
      <c r="D399" s="73" t="s">
        <v>888</v>
      </c>
      <c r="E399" s="73" t="s">
        <v>890</v>
      </c>
      <c r="F399" s="84">
        <v>160.43</v>
      </c>
      <c r="G399" s="73" t="s">
        <v>826</v>
      </c>
      <c r="H399" s="73"/>
      <c r="I399" s="73"/>
      <c r="J399" s="73"/>
      <c r="K399" s="73"/>
      <c r="L399" s="73"/>
      <c r="M399" s="73"/>
      <c r="N399" s="73"/>
      <c r="O399" s="75">
        <f>SUM(TABELA23[[#This Row],[T1]:[T7]])</f>
        <v>0</v>
      </c>
      <c r="P399" s="76">
        <f>TABELA23[[#This Row],[QTDE]]*TABELA23[[#This Row],[PREÇO]]</f>
        <v>0</v>
      </c>
    </row>
    <row r="400" spans="1:16" x14ac:dyDescent="0.2">
      <c r="A400" s="70" t="s">
        <v>2012</v>
      </c>
      <c r="B400" s="71" t="s">
        <v>2010</v>
      </c>
      <c r="C400" s="72" t="s">
        <v>2011</v>
      </c>
      <c r="D400" s="73" t="s">
        <v>32</v>
      </c>
      <c r="E400" s="73" t="s">
        <v>33</v>
      </c>
      <c r="F400" s="84">
        <v>130</v>
      </c>
      <c r="G400" s="73" t="s">
        <v>829</v>
      </c>
      <c r="H400" s="73"/>
      <c r="I400" s="73"/>
      <c r="J400" s="73"/>
      <c r="K400" s="73"/>
      <c r="L400" s="73"/>
      <c r="M400" s="73"/>
      <c r="N400" s="73"/>
      <c r="O400" s="75">
        <f>SUM(TABELA23[[#This Row],[T1]:[T7]])</f>
        <v>0</v>
      </c>
      <c r="P400" s="76">
        <f>TABELA23[[#This Row],[QTDE]]*TABELA23[[#This Row],[PREÇO]]</f>
        <v>0</v>
      </c>
    </row>
    <row r="401" spans="1:16" x14ac:dyDescent="0.2">
      <c r="A401" s="70" t="s">
        <v>2015</v>
      </c>
      <c r="B401" s="71" t="s">
        <v>2013</v>
      </c>
      <c r="C401" s="72" t="s">
        <v>2014</v>
      </c>
      <c r="D401" s="73" t="s">
        <v>32</v>
      </c>
      <c r="E401" s="73" t="s">
        <v>33</v>
      </c>
      <c r="F401" s="84">
        <v>86.52</v>
      </c>
      <c r="G401" s="73" t="s">
        <v>829</v>
      </c>
      <c r="H401" s="73"/>
      <c r="I401" s="73"/>
      <c r="J401" s="73"/>
      <c r="K401" s="73"/>
      <c r="L401" s="73"/>
      <c r="M401" s="73"/>
      <c r="N401" s="73"/>
      <c r="O401" s="75">
        <f>SUM(TABELA23[[#This Row],[T1]:[T7]])</f>
        <v>0</v>
      </c>
      <c r="P401" s="76">
        <f>TABELA23[[#This Row],[QTDE]]*TABELA23[[#This Row],[PREÇO]]</f>
        <v>0</v>
      </c>
    </row>
    <row r="402" spans="1:16" x14ac:dyDescent="0.2">
      <c r="A402" s="70" t="s">
        <v>2016</v>
      </c>
      <c r="B402" s="71" t="s">
        <v>2013</v>
      </c>
      <c r="C402" s="72" t="s">
        <v>2014</v>
      </c>
      <c r="D402" s="73" t="s">
        <v>924</v>
      </c>
      <c r="E402" s="73" t="s">
        <v>926</v>
      </c>
      <c r="F402" s="84">
        <v>86.52</v>
      </c>
      <c r="G402" s="73" t="s">
        <v>829</v>
      </c>
      <c r="H402" s="73"/>
      <c r="I402" s="73"/>
      <c r="J402" s="73"/>
      <c r="K402" s="73"/>
      <c r="L402" s="73"/>
      <c r="M402" s="73"/>
      <c r="N402" s="73"/>
      <c r="O402" s="75">
        <f>SUM(TABELA23[[#This Row],[T1]:[T7]])</f>
        <v>0</v>
      </c>
      <c r="P402" s="76">
        <f>TABELA23[[#This Row],[QTDE]]*TABELA23[[#This Row],[PREÇO]]</f>
        <v>0</v>
      </c>
    </row>
    <row r="403" spans="1:16" x14ac:dyDescent="0.2">
      <c r="A403" s="70" t="s">
        <v>2017</v>
      </c>
      <c r="B403" s="71" t="s">
        <v>2013</v>
      </c>
      <c r="C403" s="72" t="s">
        <v>2014</v>
      </c>
      <c r="D403" s="73" t="s">
        <v>1133</v>
      </c>
      <c r="E403" s="73" t="s">
        <v>1134</v>
      </c>
      <c r="F403" s="84">
        <v>86.52</v>
      </c>
      <c r="G403" s="73" t="s">
        <v>829</v>
      </c>
      <c r="H403" s="73"/>
      <c r="I403" s="73"/>
      <c r="J403" s="73"/>
      <c r="K403" s="73"/>
      <c r="L403" s="73"/>
      <c r="M403" s="73"/>
      <c r="N403" s="73"/>
      <c r="O403" s="75">
        <f>SUM(TABELA23[[#This Row],[T1]:[T7]])</f>
        <v>0</v>
      </c>
      <c r="P403" s="76">
        <f>TABELA23[[#This Row],[QTDE]]*TABELA23[[#This Row],[PREÇO]]</f>
        <v>0</v>
      </c>
    </row>
    <row r="404" spans="1:16" x14ac:dyDescent="0.2">
      <c r="A404" s="70" t="s">
        <v>2019</v>
      </c>
      <c r="B404" s="71" t="s">
        <v>2018</v>
      </c>
      <c r="C404" s="72" t="s">
        <v>1791</v>
      </c>
      <c r="D404" s="73" t="s">
        <v>830</v>
      </c>
      <c r="E404" s="73" t="s">
        <v>43</v>
      </c>
      <c r="F404" s="84">
        <v>186.52</v>
      </c>
      <c r="G404" s="73" t="s">
        <v>829</v>
      </c>
      <c r="H404" s="73"/>
      <c r="I404" s="73"/>
      <c r="J404" s="73"/>
      <c r="K404" s="73"/>
      <c r="L404" s="73"/>
      <c r="M404" s="73"/>
      <c r="N404" s="73"/>
      <c r="O404" s="75">
        <f>SUM(TABELA23[[#This Row],[T1]:[T7]])</f>
        <v>0</v>
      </c>
      <c r="P404" s="76">
        <f>TABELA23[[#This Row],[QTDE]]*TABELA23[[#This Row],[PREÇO]]</f>
        <v>0</v>
      </c>
    </row>
    <row r="405" spans="1:16" x14ac:dyDescent="0.2">
      <c r="A405" s="70" t="s">
        <v>2022</v>
      </c>
      <c r="B405" s="71" t="s">
        <v>2020</v>
      </c>
      <c r="C405" s="72" t="s">
        <v>2021</v>
      </c>
      <c r="D405" s="73" t="s">
        <v>32</v>
      </c>
      <c r="E405" s="73" t="s">
        <v>33</v>
      </c>
      <c r="F405" s="84">
        <v>130</v>
      </c>
      <c r="G405" s="73" t="s">
        <v>829</v>
      </c>
      <c r="H405" s="73"/>
      <c r="I405" s="73"/>
      <c r="J405" s="73"/>
      <c r="K405" s="73"/>
      <c r="L405" s="73"/>
      <c r="M405" s="73"/>
      <c r="N405" s="73"/>
      <c r="O405" s="75">
        <f>SUM(TABELA23[[#This Row],[T1]:[T7]])</f>
        <v>0</v>
      </c>
      <c r="P405" s="76">
        <f>TABELA23[[#This Row],[QTDE]]*TABELA23[[#This Row],[PREÇO]]</f>
        <v>0</v>
      </c>
    </row>
    <row r="406" spans="1:16" x14ac:dyDescent="0.2">
      <c r="A406" s="70" t="s">
        <v>2023</v>
      </c>
      <c r="B406" s="71" t="s">
        <v>2020</v>
      </c>
      <c r="C406" s="72" t="s">
        <v>2021</v>
      </c>
      <c r="D406" s="73" t="s">
        <v>1133</v>
      </c>
      <c r="E406" s="73" t="s">
        <v>1134</v>
      </c>
      <c r="F406" s="84">
        <v>130</v>
      </c>
      <c r="G406" s="73" t="s">
        <v>829</v>
      </c>
      <c r="H406" s="73"/>
      <c r="I406" s="73"/>
      <c r="J406" s="73"/>
      <c r="K406" s="73"/>
      <c r="L406" s="73"/>
      <c r="M406" s="73"/>
      <c r="N406" s="73"/>
      <c r="O406" s="75">
        <f>SUM(TABELA23[[#This Row],[T1]:[T7]])</f>
        <v>0</v>
      </c>
      <c r="P406" s="76">
        <f>TABELA23[[#This Row],[QTDE]]*TABELA23[[#This Row],[PREÇO]]</f>
        <v>0</v>
      </c>
    </row>
    <row r="407" spans="1:16" x14ac:dyDescent="0.2">
      <c r="A407" s="70" t="s">
        <v>2026</v>
      </c>
      <c r="B407" s="71" t="s">
        <v>2024</v>
      </c>
      <c r="C407" s="72" t="s">
        <v>2025</v>
      </c>
      <c r="D407" s="73" t="s">
        <v>561</v>
      </c>
      <c r="E407" s="73" t="s">
        <v>45</v>
      </c>
      <c r="F407" s="84">
        <v>103.91</v>
      </c>
      <c r="G407" s="73" t="s">
        <v>829</v>
      </c>
      <c r="H407" s="73"/>
      <c r="I407" s="73"/>
      <c r="J407" s="73"/>
      <c r="K407" s="73"/>
      <c r="L407" s="73"/>
      <c r="M407" s="73"/>
      <c r="N407" s="73"/>
      <c r="O407" s="75">
        <f>SUM(TABELA23[[#This Row],[T1]:[T7]])</f>
        <v>0</v>
      </c>
      <c r="P407" s="76">
        <f>TABELA23[[#This Row],[QTDE]]*TABELA23[[#This Row],[PREÇO]]</f>
        <v>0</v>
      </c>
    </row>
    <row r="408" spans="1:16" x14ac:dyDescent="0.2">
      <c r="A408" s="70" t="s">
        <v>2029</v>
      </c>
      <c r="B408" s="71" t="s">
        <v>2027</v>
      </c>
      <c r="C408" s="72" t="s">
        <v>2028</v>
      </c>
      <c r="D408" s="73" t="s">
        <v>32</v>
      </c>
      <c r="E408" s="73" t="s">
        <v>33</v>
      </c>
      <c r="F408" s="84">
        <v>130</v>
      </c>
      <c r="G408" s="73" t="s">
        <v>829</v>
      </c>
      <c r="H408" s="73"/>
      <c r="I408" s="73"/>
      <c r="J408" s="73"/>
      <c r="K408" s="73"/>
      <c r="L408" s="73"/>
      <c r="M408" s="73"/>
      <c r="N408" s="73"/>
      <c r="O408" s="75">
        <f>SUM(TABELA23[[#This Row],[T1]:[T7]])</f>
        <v>0</v>
      </c>
      <c r="P408" s="76">
        <f>TABELA23[[#This Row],[QTDE]]*TABELA23[[#This Row],[PREÇO]]</f>
        <v>0</v>
      </c>
    </row>
    <row r="409" spans="1:16" x14ac:dyDescent="0.2">
      <c r="A409" s="70" t="s">
        <v>2030</v>
      </c>
      <c r="B409" s="71" t="s">
        <v>2027</v>
      </c>
      <c r="C409" s="72" t="s">
        <v>2028</v>
      </c>
      <c r="D409" s="73" t="s">
        <v>830</v>
      </c>
      <c r="E409" s="73" t="s">
        <v>43</v>
      </c>
      <c r="F409" s="84">
        <v>130</v>
      </c>
      <c r="G409" s="73" t="s">
        <v>829</v>
      </c>
      <c r="H409" s="73"/>
      <c r="I409" s="73"/>
      <c r="J409" s="73"/>
      <c r="K409" s="73"/>
      <c r="L409" s="73"/>
      <c r="M409" s="73"/>
      <c r="N409" s="73"/>
      <c r="O409" s="75">
        <f>SUM(TABELA23[[#This Row],[T1]:[T7]])</f>
        <v>0</v>
      </c>
      <c r="P409" s="76">
        <f>TABELA23[[#This Row],[QTDE]]*TABELA23[[#This Row],[PREÇO]]</f>
        <v>0</v>
      </c>
    </row>
    <row r="410" spans="1:16" x14ac:dyDescent="0.2">
      <c r="A410" s="70" t="s">
        <v>2032</v>
      </c>
      <c r="B410" s="71" t="s">
        <v>2027</v>
      </c>
      <c r="C410" s="72" t="s">
        <v>2028</v>
      </c>
      <c r="D410" s="73" t="s">
        <v>1164</v>
      </c>
      <c r="E410" s="73" t="s">
        <v>1166</v>
      </c>
      <c r="F410" s="84">
        <v>130</v>
      </c>
      <c r="G410" s="73" t="s">
        <v>829</v>
      </c>
      <c r="H410" s="73"/>
      <c r="I410" s="73"/>
      <c r="J410" s="73"/>
      <c r="K410" s="73"/>
      <c r="L410" s="73"/>
      <c r="M410" s="73"/>
      <c r="N410" s="73"/>
      <c r="O410" s="75">
        <f>SUM(TABELA23[[#This Row],[T1]:[T7]])</f>
        <v>0</v>
      </c>
      <c r="P410" s="76">
        <f>TABELA23[[#This Row],[QTDE]]*TABELA23[[#This Row],[PREÇO]]</f>
        <v>0</v>
      </c>
    </row>
    <row r="411" spans="1:16" x14ac:dyDescent="0.2">
      <c r="A411" s="70" t="s">
        <v>2031</v>
      </c>
      <c r="B411" s="71" t="s">
        <v>2027</v>
      </c>
      <c r="C411" s="72" t="s">
        <v>2028</v>
      </c>
      <c r="D411" s="73" t="s">
        <v>1133</v>
      </c>
      <c r="E411" s="73" t="s">
        <v>1134</v>
      </c>
      <c r="F411" s="84">
        <v>130</v>
      </c>
      <c r="G411" s="73" t="s">
        <v>829</v>
      </c>
      <c r="H411" s="73"/>
      <c r="I411" s="73"/>
      <c r="J411" s="73"/>
      <c r="K411" s="73"/>
      <c r="L411" s="73"/>
      <c r="M411" s="73"/>
      <c r="N411" s="73"/>
      <c r="O411" s="75">
        <f>SUM(TABELA23[[#This Row],[T1]:[T7]])</f>
        <v>0</v>
      </c>
      <c r="P411" s="76">
        <f>TABELA23[[#This Row],[QTDE]]*TABELA23[[#This Row],[PREÇO]]</f>
        <v>0</v>
      </c>
    </row>
    <row r="412" spans="1:16" x14ac:dyDescent="0.2">
      <c r="A412" s="70" t="s">
        <v>2035</v>
      </c>
      <c r="B412" s="71" t="s">
        <v>2033</v>
      </c>
      <c r="C412" s="72" t="s">
        <v>2034</v>
      </c>
      <c r="D412" s="73" t="s">
        <v>32</v>
      </c>
      <c r="E412" s="73" t="s">
        <v>33</v>
      </c>
      <c r="F412" s="84">
        <v>112.61</v>
      </c>
      <c r="G412" s="73" t="s">
        <v>829</v>
      </c>
      <c r="H412" s="73"/>
      <c r="I412" s="73"/>
      <c r="J412" s="73"/>
      <c r="K412" s="73"/>
      <c r="L412" s="73"/>
      <c r="M412" s="73"/>
      <c r="N412" s="73"/>
      <c r="O412" s="75">
        <f>SUM(TABELA23[[#This Row],[T1]:[T7]])</f>
        <v>0</v>
      </c>
      <c r="P412" s="76">
        <f>TABELA23[[#This Row],[QTDE]]*TABELA23[[#This Row],[PREÇO]]</f>
        <v>0</v>
      </c>
    </row>
    <row r="413" spans="1:16" x14ac:dyDescent="0.2">
      <c r="A413" s="70" t="s">
        <v>2036</v>
      </c>
      <c r="B413" s="71" t="s">
        <v>2033</v>
      </c>
      <c r="C413" s="72" t="s">
        <v>2034</v>
      </c>
      <c r="D413" s="73" t="s">
        <v>924</v>
      </c>
      <c r="E413" s="73" t="s">
        <v>926</v>
      </c>
      <c r="F413" s="84">
        <v>112.61</v>
      </c>
      <c r="G413" s="73" t="s">
        <v>829</v>
      </c>
      <c r="H413" s="73"/>
      <c r="I413" s="73"/>
      <c r="J413" s="73"/>
      <c r="K413" s="73"/>
      <c r="L413" s="73"/>
      <c r="M413" s="73"/>
      <c r="N413" s="73"/>
      <c r="O413" s="75">
        <f>SUM(TABELA23[[#This Row],[T1]:[T7]])</f>
        <v>0</v>
      </c>
      <c r="P413" s="76">
        <f>TABELA23[[#This Row],[QTDE]]*TABELA23[[#This Row],[PREÇO]]</f>
        <v>0</v>
      </c>
    </row>
    <row r="414" spans="1:16" x14ac:dyDescent="0.2">
      <c r="A414" s="70" t="s">
        <v>2039</v>
      </c>
      <c r="B414" s="71" t="s">
        <v>2037</v>
      </c>
      <c r="C414" s="72" t="s">
        <v>2038</v>
      </c>
      <c r="D414" s="73" t="s">
        <v>32</v>
      </c>
      <c r="E414" s="73" t="s">
        <v>33</v>
      </c>
      <c r="F414" s="84">
        <v>173.48</v>
      </c>
      <c r="G414" s="73" t="s">
        <v>829</v>
      </c>
      <c r="H414" s="73"/>
      <c r="I414" s="73"/>
      <c r="J414" s="73"/>
      <c r="K414" s="73"/>
      <c r="L414" s="73"/>
      <c r="M414" s="73"/>
      <c r="N414" s="73"/>
      <c r="O414" s="75">
        <f>SUM(TABELA23[[#This Row],[T1]:[T7]])</f>
        <v>0</v>
      </c>
      <c r="P414" s="76">
        <f>TABELA23[[#This Row],[QTDE]]*TABELA23[[#This Row],[PREÇO]]</f>
        <v>0</v>
      </c>
    </row>
    <row r="415" spans="1:16" x14ac:dyDescent="0.2">
      <c r="A415" s="70" t="s">
        <v>2042</v>
      </c>
      <c r="B415" s="71" t="s">
        <v>2040</v>
      </c>
      <c r="C415" s="72" t="s">
        <v>2041</v>
      </c>
      <c r="D415" s="73" t="s">
        <v>32</v>
      </c>
      <c r="E415" s="73" t="s">
        <v>33</v>
      </c>
      <c r="F415" s="84">
        <v>208.26</v>
      </c>
      <c r="G415" s="73" t="s">
        <v>829</v>
      </c>
      <c r="H415" s="73"/>
      <c r="I415" s="73"/>
      <c r="J415" s="73"/>
      <c r="K415" s="73"/>
      <c r="L415" s="73"/>
      <c r="M415" s="73"/>
      <c r="N415" s="73"/>
      <c r="O415" s="75">
        <f>SUM(TABELA23[[#This Row],[T1]:[T7]])</f>
        <v>0</v>
      </c>
      <c r="P415" s="76">
        <f>TABELA23[[#This Row],[QTDE]]*TABELA23[[#This Row],[PREÇO]]</f>
        <v>0</v>
      </c>
    </row>
    <row r="416" spans="1:16" x14ac:dyDescent="0.2">
      <c r="A416" s="70" t="s">
        <v>2044</v>
      </c>
      <c r="B416" s="71" t="s">
        <v>2043</v>
      </c>
      <c r="C416" s="72" t="s">
        <v>1867</v>
      </c>
      <c r="D416" s="73" t="s">
        <v>1474</v>
      </c>
      <c r="E416" s="73" t="s">
        <v>1475</v>
      </c>
      <c r="F416" s="84">
        <v>130</v>
      </c>
      <c r="G416" s="73" t="s">
        <v>829</v>
      </c>
      <c r="H416" s="73"/>
      <c r="I416" s="73"/>
      <c r="J416" s="73"/>
      <c r="K416" s="73"/>
      <c r="L416" s="73"/>
      <c r="M416" s="73"/>
      <c r="N416" s="73"/>
      <c r="O416" s="75">
        <f>SUM(TABELA23[[#This Row],[T1]:[T7]])</f>
        <v>0</v>
      </c>
      <c r="P416" s="76">
        <f>TABELA23[[#This Row],[QTDE]]*TABELA23[[#This Row],[PREÇO]]</f>
        <v>0</v>
      </c>
    </row>
    <row r="417" spans="1:16" x14ac:dyDescent="0.2">
      <c r="A417" s="70" t="s">
        <v>2047</v>
      </c>
      <c r="B417" s="71" t="s">
        <v>2045</v>
      </c>
      <c r="C417" s="72" t="s">
        <v>2046</v>
      </c>
      <c r="D417" s="73" t="s">
        <v>830</v>
      </c>
      <c r="E417" s="73" t="s">
        <v>43</v>
      </c>
      <c r="F417" s="84">
        <v>164.78</v>
      </c>
      <c r="G417" s="73" t="s">
        <v>829</v>
      </c>
      <c r="H417" s="73"/>
      <c r="I417" s="73"/>
      <c r="J417" s="73"/>
      <c r="K417" s="73"/>
      <c r="L417" s="73"/>
      <c r="M417" s="73"/>
      <c r="N417" s="73"/>
      <c r="O417" s="75">
        <f>SUM(TABELA23[[#This Row],[T1]:[T7]])</f>
        <v>0</v>
      </c>
      <c r="P417" s="76">
        <f>TABELA23[[#This Row],[QTDE]]*TABELA23[[#This Row],[PREÇO]]</f>
        <v>0</v>
      </c>
    </row>
    <row r="418" spans="1:16" x14ac:dyDescent="0.2">
      <c r="A418" s="70" t="s">
        <v>2050</v>
      </c>
      <c r="B418" s="71" t="s">
        <v>2048</v>
      </c>
      <c r="C418" s="72" t="s">
        <v>2049</v>
      </c>
      <c r="D418" s="73" t="s">
        <v>32</v>
      </c>
      <c r="E418" s="73" t="s">
        <v>33</v>
      </c>
      <c r="F418" s="84">
        <v>173.48</v>
      </c>
      <c r="G418" s="73" t="s">
        <v>829</v>
      </c>
      <c r="H418" s="73"/>
      <c r="I418" s="73"/>
      <c r="J418" s="73"/>
      <c r="K418" s="73"/>
      <c r="L418" s="73"/>
      <c r="M418" s="73"/>
      <c r="N418" s="73"/>
      <c r="O418" s="75">
        <f>SUM(TABELA23[[#This Row],[T1]:[T7]])</f>
        <v>0</v>
      </c>
      <c r="P418" s="76">
        <f>TABELA23[[#This Row],[QTDE]]*TABELA23[[#This Row],[PREÇO]]</f>
        <v>0</v>
      </c>
    </row>
    <row r="419" spans="1:16" x14ac:dyDescent="0.2">
      <c r="A419" s="70" t="s">
        <v>2051</v>
      </c>
      <c r="B419" s="71" t="s">
        <v>2048</v>
      </c>
      <c r="C419" s="72" t="s">
        <v>2049</v>
      </c>
      <c r="D419" s="73" t="s">
        <v>895</v>
      </c>
      <c r="E419" s="73" t="s">
        <v>896</v>
      </c>
      <c r="F419" s="84">
        <v>173.48</v>
      </c>
      <c r="G419" s="73" t="s">
        <v>829</v>
      </c>
      <c r="H419" s="73"/>
      <c r="I419" s="73"/>
      <c r="J419" s="73"/>
      <c r="K419" s="73"/>
      <c r="L419" s="73"/>
      <c r="M419" s="73"/>
      <c r="N419" s="73"/>
      <c r="O419" s="75">
        <f>SUM(TABELA23[[#This Row],[T1]:[T7]])</f>
        <v>0</v>
      </c>
      <c r="P419" s="76">
        <f>TABELA23[[#This Row],[QTDE]]*TABELA23[[#This Row],[PREÇO]]</f>
        <v>0</v>
      </c>
    </row>
    <row r="420" spans="1:16" x14ac:dyDescent="0.2">
      <c r="A420" s="70" t="s">
        <v>2054</v>
      </c>
      <c r="B420" s="71" t="s">
        <v>2052</v>
      </c>
      <c r="C420" s="72" t="s">
        <v>2053</v>
      </c>
      <c r="D420" s="73" t="s">
        <v>898</v>
      </c>
      <c r="E420" s="73" t="s">
        <v>900</v>
      </c>
      <c r="F420" s="84">
        <v>143.04</v>
      </c>
      <c r="G420" s="73" t="s">
        <v>829</v>
      </c>
      <c r="H420" s="73"/>
      <c r="I420" s="73"/>
      <c r="J420" s="73"/>
      <c r="K420" s="73"/>
      <c r="L420" s="73"/>
      <c r="M420" s="73"/>
      <c r="N420" s="73"/>
      <c r="O420" s="75">
        <f>SUM(TABELA23[[#This Row],[T1]:[T7]])</f>
        <v>0</v>
      </c>
      <c r="P420" s="76">
        <f>TABELA23[[#This Row],[QTDE]]*TABELA23[[#This Row],[PREÇO]]</f>
        <v>0</v>
      </c>
    </row>
    <row r="421" spans="1:16" x14ac:dyDescent="0.2">
      <c r="A421" s="70" t="s">
        <v>2057</v>
      </c>
      <c r="B421" s="71" t="s">
        <v>2055</v>
      </c>
      <c r="C421" s="72" t="s">
        <v>2056</v>
      </c>
      <c r="D421" s="73" t="s">
        <v>1317</v>
      </c>
      <c r="E421" s="73" t="s">
        <v>1319</v>
      </c>
      <c r="F421" s="84">
        <v>182.17</v>
      </c>
      <c r="G421" s="73" t="s">
        <v>829</v>
      </c>
      <c r="H421" s="73"/>
      <c r="I421" s="73"/>
      <c r="J421" s="73"/>
      <c r="K421" s="73"/>
      <c r="L421" s="73"/>
      <c r="M421" s="73"/>
      <c r="N421" s="73"/>
      <c r="O421" s="75">
        <f>SUM(TABELA23[[#This Row],[T1]:[T7]])</f>
        <v>0</v>
      </c>
      <c r="P421" s="76">
        <f>TABELA23[[#This Row],[QTDE]]*TABELA23[[#This Row],[PREÇO]]</f>
        <v>0</v>
      </c>
    </row>
    <row r="422" spans="1:16" x14ac:dyDescent="0.2">
      <c r="A422" s="70" t="s">
        <v>2060</v>
      </c>
      <c r="B422" s="71" t="s">
        <v>2058</v>
      </c>
      <c r="C422" s="72" t="s">
        <v>2059</v>
      </c>
      <c r="D422" s="73" t="s">
        <v>32</v>
      </c>
      <c r="E422" s="73" t="s">
        <v>33</v>
      </c>
      <c r="F422" s="84">
        <v>173.48</v>
      </c>
      <c r="G422" s="73" t="s">
        <v>829</v>
      </c>
      <c r="H422" s="73"/>
      <c r="I422" s="73"/>
      <c r="J422" s="73"/>
      <c r="K422" s="73"/>
      <c r="L422" s="73"/>
      <c r="M422" s="73"/>
      <c r="N422" s="73"/>
      <c r="O422" s="75">
        <f>SUM(TABELA23[[#This Row],[T1]:[T7]])</f>
        <v>0</v>
      </c>
      <c r="P422" s="76">
        <f>TABELA23[[#This Row],[QTDE]]*TABELA23[[#This Row],[PREÇO]]</f>
        <v>0</v>
      </c>
    </row>
    <row r="423" spans="1:16" x14ac:dyDescent="0.2">
      <c r="A423" s="70" t="s">
        <v>2061</v>
      </c>
      <c r="B423" s="71" t="s">
        <v>2058</v>
      </c>
      <c r="C423" s="72" t="s">
        <v>2059</v>
      </c>
      <c r="D423" s="73" t="s">
        <v>924</v>
      </c>
      <c r="E423" s="73" t="s">
        <v>926</v>
      </c>
      <c r="F423" s="84">
        <v>173.48</v>
      </c>
      <c r="G423" s="73" t="s">
        <v>829</v>
      </c>
      <c r="H423" s="73"/>
      <c r="I423" s="73"/>
      <c r="J423" s="73"/>
      <c r="K423" s="73"/>
      <c r="L423" s="73"/>
      <c r="M423" s="73"/>
      <c r="N423" s="73"/>
      <c r="O423" s="75">
        <f>SUM(TABELA23[[#This Row],[T1]:[T7]])</f>
        <v>0</v>
      </c>
      <c r="P423" s="76">
        <f>TABELA23[[#This Row],[QTDE]]*TABELA23[[#This Row],[PREÇO]]</f>
        <v>0</v>
      </c>
    </row>
    <row r="424" spans="1:16" x14ac:dyDescent="0.2">
      <c r="A424" s="70" t="s">
        <v>2064</v>
      </c>
      <c r="B424" s="71" t="s">
        <v>2062</v>
      </c>
      <c r="C424" s="72" t="s">
        <v>2063</v>
      </c>
      <c r="D424" s="73" t="s">
        <v>32</v>
      </c>
      <c r="E424" s="73" t="s">
        <v>33</v>
      </c>
      <c r="F424" s="84">
        <v>269.13</v>
      </c>
      <c r="G424" s="73" t="s">
        <v>829</v>
      </c>
      <c r="H424" s="73"/>
      <c r="I424" s="73"/>
      <c r="J424" s="73"/>
      <c r="K424" s="73"/>
      <c r="L424" s="73"/>
      <c r="M424" s="73"/>
      <c r="N424" s="73"/>
      <c r="O424" s="75">
        <f>SUM(TABELA23[[#This Row],[T1]:[T7]])</f>
        <v>0</v>
      </c>
      <c r="P424" s="76">
        <f>TABELA23[[#This Row],[QTDE]]*TABELA23[[#This Row],[PREÇO]]</f>
        <v>0</v>
      </c>
    </row>
    <row r="425" spans="1:16" x14ac:dyDescent="0.2">
      <c r="A425" s="70" t="s">
        <v>2067</v>
      </c>
      <c r="B425" s="71" t="s">
        <v>2065</v>
      </c>
      <c r="C425" s="72" t="s">
        <v>2066</v>
      </c>
      <c r="D425" s="73" t="s">
        <v>32</v>
      </c>
      <c r="E425" s="73" t="s">
        <v>33</v>
      </c>
      <c r="F425" s="84">
        <v>164.78</v>
      </c>
      <c r="G425" s="73" t="s">
        <v>829</v>
      </c>
      <c r="H425" s="73"/>
      <c r="I425" s="73"/>
      <c r="J425" s="73"/>
      <c r="K425" s="73"/>
      <c r="L425" s="73"/>
      <c r="M425" s="73"/>
      <c r="N425" s="73"/>
      <c r="O425" s="75">
        <f>SUM(TABELA23[[#This Row],[T1]:[T7]])</f>
        <v>0</v>
      </c>
      <c r="P425" s="76">
        <f>TABELA23[[#This Row],[QTDE]]*TABELA23[[#This Row],[PREÇO]]</f>
        <v>0</v>
      </c>
    </row>
    <row r="426" spans="1:16" x14ac:dyDescent="0.2">
      <c r="A426" s="70" t="s">
        <v>2068</v>
      </c>
      <c r="B426" s="71" t="s">
        <v>2065</v>
      </c>
      <c r="C426" s="72" t="s">
        <v>2066</v>
      </c>
      <c r="D426" s="73" t="s">
        <v>924</v>
      </c>
      <c r="E426" s="73" t="s">
        <v>926</v>
      </c>
      <c r="F426" s="84">
        <v>164.78</v>
      </c>
      <c r="G426" s="73" t="s">
        <v>829</v>
      </c>
      <c r="H426" s="73"/>
      <c r="I426" s="73"/>
      <c r="J426" s="73"/>
      <c r="K426" s="73"/>
      <c r="L426" s="73"/>
      <c r="M426" s="73"/>
      <c r="N426" s="73"/>
      <c r="O426" s="75">
        <f>SUM(TABELA23[[#This Row],[T1]:[T7]])</f>
        <v>0</v>
      </c>
      <c r="P426" s="76">
        <f>TABELA23[[#This Row],[QTDE]]*TABELA23[[#This Row],[PREÇO]]</f>
        <v>0</v>
      </c>
    </row>
    <row r="427" spans="1:16" x14ac:dyDescent="0.2">
      <c r="A427" s="70" t="s">
        <v>2069</v>
      </c>
      <c r="B427" s="71" t="s">
        <v>2065</v>
      </c>
      <c r="C427" s="72" t="s">
        <v>2066</v>
      </c>
      <c r="D427" s="73" t="s">
        <v>1133</v>
      </c>
      <c r="E427" s="73" t="s">
        <v>1134</v>
      </c>
      <c r="F427" s="84">
        <v>164.78</v>
      </c>
      <c r="G427" s="73" t="s">
        <v>829</v>
      </c>
      <c r="H427" s="73"/>
      <c r="I427" s="73"/>
      <c r="J427" s="73"/>
      <c r="K427" s="73"/>
      <c r="L427" s="73"/>
      <c r="M427" s="73"/>
      <c r="N427" s="73"/>
      <c r="O427" s="75">
        <f>SUM(TABELA23[[#This Row],[T1]:[T7]])</f>
        <v>0</v>
      </c>
      <c r="P427" s="76">
        <f>TABELA23[[#This Row],[QTDE]]*TABELA23[[#This Row],[PREÇO]]</f>
        <v>0</v>
      </c>
    </row>
    <row r="428" spans="1:16" x14ac:dyDescent="0.2">
      <c r="A428" s="70" t="s">
        <v>2072</v>
      </c>
      <c r="B428" s="71" t="s">
        <v>2070</v>
      </c>
      <c r="C428" s="72" t="s">
        <v>2071</v>
      </c>
      <c r="D428" s="73" t="s">
        <v>32</v>
      </c>
      <c r="E428" s="73" t="s">
        <v>33</v>
      </c>
      <c r="F428" s="84">
        <v>199.57</v>
      </c>
      <c r="G428" s="73" t="s">
        <v>829</v>
      </c>
      <c r="H428" s="73"/>
      <c r="I428" s="73"/>
      <c r="J428" s="73"/>
      <c r="K428" s="73"/>
      <c r="L428" s="73"/>
      <c r="M428" s="73"/>
      <c r="N428" s="73"/>
      <c r="O428" s="75">
        <f>SUM(TABELA23[[#This Row],[T1]:[T7]])</f>
        <v>0</v>
      </c>
      <c r="P428" s="76">
        <f>TABELA23[[#This Row],[QTDE]]*TABELA23[[#This Row],[PREÇO]]</f>
        <v>0</v>
      </c>
    </row>
    <row r="429" spans="1:16" x14ac:dyDescent="0.2">
      <c r="A429" s="70" t="s">
        <v>2076</v>
      </c>
      <c r="B429" s="71" t="s">
        <v>2073</v>
      </c>
      <c r="C429" s="72" t="s">
        <v>2074</v>
      </c>
      <c r="D429" s="73" t="s">
        <v>895</v>
      </c>
      <c r="E429" s="73" t="s">
        <v>896</v>
      </c>
      <c r="F429" s="84">
        <v>130</v>
      </c>
      <c r="G429" s="73" t="s">
        <v>829</v>
      </c>
      <c r="H429" s="73"/>
      <c r="I429" s="73"/>
      <c r="J429" s="73"/>
      <c r="K429" s="73"/>
      <c r="L429" s="73"/>
      <c r="M429" s="73"/>
      <c r="N429" s="73"/>
      <c r="O429" s="75">
        <f>SUM(TABELA23[[#This Row],[T1]:[T7]])</f>
        <v>0</v>
      </c>
      <c r="P429" s="76">
        <f>TABELA23[[#This Row],[QTDE]]*TABELA23[[#This Row],[PREÇO]]</f>
        <v>0</v>
      </c>
    </row>
    <row r="430" spans="1:16" x14ac:dyDescent="0.2">
      <c r="A430" s="70" t="s">
        <v>2075</v>
      </c>
      <c r="B430" s="71" t="s">
        <v>2073</v>
      </c>
      <c r="C430" s="72" t="s">
        <v>2074</v>
      </c>
      <c r="D430" s="73" t="s">
        <v>924</v>
      </c>
      <c r="E430" s="73" t="s">
        <v>926</v>
      </c>
      <c r="F430" s="84">
        <v>130</v>
      </c>
      <c r="G430" s="73" t="s">
        <v>829</v>
      </c>
      <c r="H430" s="73"/>
      <c r="I430" s="73"/>
      <c r="J430" s="73"/>
      <c r="K430" s="73"/>
      <c r="L430" s="73"/>
      <c r="M430" s="73"/>
      <c r="N430" s="73"/>
      <c r="O430" s="75">
        <f>SUM(TABELA23[[#This Row],[T1]:[T7]])</f>
        <v>0</v>
      </c>
      <c r="P430" s="76">
        <f>TABELA23[[#This Row],[QTDE]]*TABELA23[[#This Row],[PREÇO]]</f>
        <v>0</v>
      </c>
    </row>
    <row r="431" spans="1:16" x14ac:dyDescent="0.2">
      <c r="A431" s="70" t="s">
        <v>2079</v>
      </c>
      <c r="B431" s="71" t="s">
        <v>2077</v>
      </c>
      <c r="C431" s="72" t="s">
        <v>2078</v>
      </c>
      <c r="D431" s="73" t="s">
        <v>32</v>
      </c>
      <c r="E431" s="73" t="s">
        <v>33</v>
      </c>
      <c r="F431" s="84">
        <v>143.04</v>
      </c>
      <c r="G431" s="73" t="s">
        <v>829</v>
      </c>
      <c r="H431" s="73"/>
      <c r="I431" s="73"/>
      <c r="J431" s="73"/>
      <c r="K431" s="73"/>
      <c r="L431" s="73"/>
      <c r="M431" s="73"/>
      <c r="N431" s="73"/>
      <c r="O431" s="75">
        <f>SUM(TABELA23[[#This Row],[T1]:[T7]])</f>
        <v>0</v>
      </c>
      <c r="P431" s="76">
        <f>TABELA23[[#This Row],[QTDE]]*TABELA23[[#This Row],[PREÇO]]</f>
        <v>0</v>
      </c>
    </row>
    <row r="432" spans="1:16" x14ac:dyDescent="0.2">
      <c r="A432" s="70" t="s">
        <v>2080</v>
      </c>
      <c r="B432" s="71" t="s">
        <v>2077</v>
      </c>
      <c r="C432" s="72" t="s">
        <v>2078</v>
      </c>
      <c r="D432" s="73" t="s">
        <v>895</v>
      </c>
      <c r="E432" s="73" t="s">
        <v>896</v>
      </c>
      <c r="F432" s="84">
        <v>143.04</v>
      </c>
      <c r="G432" s="73" t="s">
        <v>829</v>
      </c>
      <c r="H432" s="73"/>
      <c r="I432" s="73"/>
      <c r="J432" s="73"/>
      <c r="K432" s="73"/>
      <c r="L432" s="73"/>
      <c r="M432" s="73"/>
      <c r="N432" s="73"/>
      <c r="O432" s="75">
        <f>SUM(TABELA23[[#This Row],[T1]:[T7]])</f>
        <v>0</v>
      </c>
      <c r="P432" s="76">
        <f>TABELA23[[#This Row],[QTDE]]*TABELA23[[#This Row],[PREÇO]]</f>
        <v>0</v>
      </c>
    </row>
    <row r="433" spans="1:16" x14ac:dyDescent="0.2">
      <c r="A433" s="70" t="s">
        <v>2082</v>
      </c>
      <c r="B433" s="71" t="s">
        <v>2081</v>
      </c>
      <c r="C433" s="72" t="s">
        <v>2053</v>
      </c>
      <c r="D433" s="73" t="s">
        <v>1474</v>
      </c>
      <c r="E433" s="73" t="s">
        <v>1475</v>
      </c>
      <c r="F433" s="84">
        <v>143.04</v>
      </c>
      <c r="G433" s="73" t="s">
        <v>829</v>
      </c>
      <c r="H433" s="73"/>
      <c r="I433" s="73"/>
      <c r="J433" s="73"/>
      <c r="K433" s="73"/>
      <c r="L433" s="73"/>
      <c r="M433" s="73"/>
      <c r="N433" s="73"/>
      <c r="O433" s="75">
        <f>SUM(TABELA23[[#This Row],[T1]:[T7]])</f>
        <v>0</v>
      </c>
      <c r="P433" s="76">
        <f>TABELA23[[#This Row],[QTDE]]*TABELA23[[#This Row],[PREÇO]]</f>
        <v>0</v>
      </c>
    </row>
    <row r="434" spans="1:16" x14ac:dyDescent="0.2">
      <c r="A434" s="70" t="s">
        <v>2086</v>
      </c>
      <c r="B434" s="71" t="s">
        <v>2084</v>
      </c>
      <c r="C434" s="72" t="s">
        <v>2085</v>
      </c>
      <c r="D434" s="73" t="s">
        <v>830</v>
      </c>
      <c r="E434" s="73" t="s">
        <v>43</v>
      </c>
      <c r="F434" s="84">
        <v>99.57</v>
      </c>
      <c r="G434" s="73" t="s">
        <v>826</v>
      </c>
      <c r="H434" s="73"/>
      <c r="I434" s="73"/>
      <c r="J434" s="73"/>
      <c r="K434" s="73"/>
      <c r="L434" s="73"/>
      <c r="M434" s="73"/>
      <c r="N434" s="73"/>
      <c r="O434" s="75">
        <f>SUM(TABELA23[[#This Row],[T1]:[T7]])</f>
        <v>0</v>
      </c>
      <c r="P434" s="76">
        <f>TABELA23[[#This Row],[QTDE]]*TABELA23[[#This Row],[PREÇO]]</f>
        <v>0</v>
      </c>
    </row>
    <row r="435" spans="1:16" x14ac:dyDescent="0.2">
      <c r="A435" s="70" t="s">
        <v>2083</v>
      </c>
      <c r="B435" s="71" t="s">
        <v>2084</v>
      </c>
      <c r="C435" s="72" t="s">
        <v>2085</v>
      </c>
      <c r="D435" s="73" t="s">
        <v>32</v>
      </c>
      <c r="E435" s="73" t="s">
        <v>33</v>
      </c>
      <c r="F435" s="84">
        <v>99.57</v>
      </c>
      <c r="G435" s="73" t="s">
        <v>826</v>
      </c>
      <c r="H435" s="73"/>
      <c r="I435" s="73"/>
      <c r="J435" s="73"/>
      <c r="K435" s="73"/>
      <c r="L435" s="73"/>
      <c r="M435" s="73"/>
      <c r="N435" s="73"/>
      <c r="O435" s="75">
        <f>SUM(TABELA23[[#This Row],[T1]:[T7]])</f>
        <v>0</v>
      </c>
      <c r="P435" s="76">
        <f>TABELA23[[#This Row],[QTDE]]*TABELA23[[#This Row],[PREÇO]]</f>
        <v>0</v>
      </c>
    </row>
    <row r="436" spans="1:16" x14ac:dyDescent="0.2">
      <c r="A436" s="70" t="s">
        <v>2087</v>
      </c>
      <c r="B436" s="71" t="s">
        <v>2088</v>
      </c>
      <c r="C436" s="72" t="s">
        <v>2089</v>
      </c>
      <c r="D436" s="73" t="s">
        <v>830</v>
      </c>
      <c r="E436" s="73" t="s">
        <v>43</v>
      </c>
      <c r="F436" s="84">
        <v>73.48</v>
      </c>
      <c r="G436" s="73" t="s">
        <v>826</v>
      </c>
      <c r="H436" s="73"/>
      <c r="I436" s="73"/>
      <c r="J436" s="73"/>
      <c r="K436" s="73"/>
      <c r="L436" s="73"/>
      <c r="M436" s="73"/>
      <c r="N436" s="73"/>
      <c r="O436" s="75">
        <f>SUM(TABELA23[[#This Row],[T1]:[T7]])</f>
        <v>0</v>
      </c>
      <c r="P436" s="76">
        <f>TABELA23[[#This Row],[QTDE]]*TABELA23[[#This Row],[PREÇO]]</f>
        <v>0</v>
      </c>
    </row>
    <row r="437" spans="1:16" x14ac:dyDescent="0.2">
      <c r="A437" s="70" t="s">
        <v>2090</v>
      </c>
      <c r="B437" s="71" t="s">
        <v>2091</v>
      </c>
      <c r="C437" s="72" t="s">
        <v>2092</v>
      </c>
      <c r="D437" s="73" t="s">
        <v>1474</v>
      </c>
      <c r="E437" s="73" t="s">
        <v>1475</v>
      </c>
      <c r="F437" s="84">
        <v>82.17</v>
      </c>
      <c r="G437" s="73" t="s">
        <v>826</v>
      </c>
      <c r="H437" s="73"/>
      <c r="I437" s="73"/>
      <c r="J437" s="73"/>
      <c r="K437" s="73"/>
      <c r="L437" s="73"/>
      <c r="M437" s="73"/>
      <c r="N437" s="73"/>
      <c r="O437" s="75">
        <f>SUM(TABELA23[[#This Row],[T1]:[T7]])</f>
        <v>0</v>
      </c>
      <c r="P437" s="76">
        <f>TABELA23[[#This Row],[QTDE]]*TABELA23[[#This Row],[PREÇO]]</f>
        <v>0</v>
      </c>
    </row>
    <row r="438" spans="1:16" x14ac:dyDescent="0.2">
      <c r="A438" s="70" t="s">
        <v>2093</v>
      </c>
      <c r="B438" s="71" t="s">
        <v>2094</v>
      </c>
      <c r="C438" s="72" t="s">
        <v>2095</v>
      </c>
      <c r="D438" s="73" t="s">
        <v>1317</v>
      </c>
      <c r="E438" s="73" t="s">
        <v>1319</v>
      </c>
      <c r="F438" s="84">
        <v>156.09</v>
      </c>
      <c r="G438" s="73" t="s">
        <v>826</v>
      </c>
      <c r="H438" s="73"/>
      <c r="I438" s="73"/>
      <c r="J438" s="73"/>
      <c r="K438" s="73"/>
      <c r="L438" s="73"/>
      <c r="M438" s="73"/>
      <c r="N438" s="73"/>
      <c r="O438" s="75">
        <f>SUM(TABELA23[[#This Row],[T1]:[T7]])</f>
        <v>0</v>
      </c>
      <c r="P438" s="76">
        <f>TABELA23[[#This Row],[QTDE]]*TABELA23[[#This Row],[PREÇO]]</f>
        <v>0</v>
      </c>
    </row>
    <row r="439" spans="1:16" x14ac:dyDescent="0.2">
      <c r="A439" s="70" t="s">
        <v>2096</v>
      </c>
      <c r="B439" s="71" t="s">
        <v>2097</v>
      </c>
      <c r="C439" s="72" t="s">
        <v>2098</v>
      </c>
      <c r="D439" s="73" t="s">
        <v>32</v>
      </c>
      <c r="E439" s="73" t="s">
        <v>33</v>
      </c>
      <c r="F439" s="84">
        <v>156.09</v>
      </c>
      <c r="G439" s="73" t="s">
        <v>826</v>
      </c>
      <c r="H439" s="73"/>
      <c r="I439" s="73"/>
      <c r="J439" s="73"/>
      <c r="K439" s="73"/>
      <c r="L439" s="73"/>
      <c r="M439" s="73"/>
      <c r="N439" s="73"/>
      <c r="O439" s="75">
        <f>SUM(TABELA23[[#This Row],[T1]:[T7]])</f>
        <v>0</v>
      </c>
      <c r="P439" s="76">
        <f>TABELA23[[#This Row],[QTDE]]*TABELA23[[#This Row],[PREÇO]]</f>
        <v>0</v>
      </c>
    </row>
    <row r="440" spans="1:16" x14ac:dyDescent="0.2">
      <c r="A440" s="70" t="s">
        <v>2099</v>
      </c>
      <c r="B440" s="71" t="s">
        <v>2100</v>
      </c>
      <c r="C440" s="72" t="s">
        <v>834</v>
      </c>
      <c r="D440" s="73" t="s">
        <v>1474</v>
      </c>
      <c r="E440" s="73" t="s">
        <v>1475</v>
      </c>
      <c r="F440" s="84">
        <v>95.22</v>
      </c>
      <c r="G440" s="73" t="s">
        <v>826</v>
      </c>
      <c r="H440" s="73"/>
      <c r="I440" s="73"/>
      <c r="J440" s="73"/>
      <c r="K440" s="73"/>
      <c r="L440" s="73"/>
      <c r="M440" s="73"/>
      <c r="N440" s="73"/>
      <c r="O440" s="75">
        <f>SUM(TABELA23[[#This Row],[T1]:[T7]])</f>
        <v>0</v>
      </c>
      <c r="P440" s="76">
        <f>TABELA23[[#This Row],[QTDE]]*TABELA23[[#This Row],[PREÇO]]</f>
        <v>0</v>
      </c>
    </row>
    <row r="441" spans="1:16" x14ac:dyDescent="0.2">
      <c r="A441" s="70" t="s">
        <v>2101</v>
      </c>
      <c r="B441" s="71" t="s">
        <v>2102</v>
      </c>
      <c r="C441" s="72" t="s">
        <v>2103</v>
      </c>
      <c r="D441" s="73" t="s">
        <v>32</v>
      </c>
      <c r="E441" s="73" t="s">
        <v>33</v>
      </c>
      <c r="F441" s="84">
        <v>77.83</v>
      </c>
      <c r="G441" s="73" t="s">
        <v>826</v>
      </c>
      <c r="H441" s="73"/>
      <c r="I441" s="73"/>
      <c r="J441" s="73"/>
      <c r="K441" s="73"/>
      <c r="L441" s="73"/>
      <c r="M441" s="73"/>
      <c r="N441" s="73"/>
      <c r="O441" s="75">
        <f>SUM(TABELA23[[#This Row],[T1]:[T7]])</f>
        <v>0</v>
      </c>
      <c r="P441" s="76">
        <f>TABELA23[[#This Row],[QTDE]]*TABELA23[[#This Row],[PREÇO]]</f>
        <v>0</v>
      </c>
    </row>
    <row r="442" spans="1:16" x14ac:dyDescent="0.2">
      <c r="A442" s="70" t="s">
        <v>2104</v>
      </c>
      <c r="B442" s="71" t="s">
        <v>2102</v>
      </c>
      <c r="C442" s="72" t="s">
        <v>2103</v>
      </c>
      <c r="D442" s="73" t="s">
        <v>819</v>
      </c>
      <c r="E442" s="73" t="s">
        <v>73</v>
      </c>
      <c r="F442" s="84">
        <v>77.83</v>
      </c>
      <c r="G442" s="73" t="s">
        <v>826</v>
      </c>
      <c r="H442" s="73"/>
      <c r="I442" s="73"/>
      <c r="J442" s="73"/>
      <c r="K442" s="73"/>
      <c r="L442" s="73"/>
      <c r="M442" s="73"/>
      <c r="N442" s="73"/>
      <c r="O442" s="75">
        <f>SUM(TABELA23[[#This Row],[T1]:[T7]])</f>
        <v>0</v>
      </c>
      <c r="P442" s="76">
        <f>TABELA23[[#This Row],[QTDE]]*TABELA23[[#This Row],[PREÇO]]</f>
        <v>0</v>
      </c>
    </row>
    <row r="443" spans="1:16" x14ac:dyDescent="0.2">
      <c r="A443" s="70" t="s">
        <v>2108</v>
      </c>
      <c r="B443" s="71" t="s">
        <v>2106</v>
      </c>
      <c r="C443" s="72" t="s">
        <v>2107</v>
      </c>
      <c r="D443" s="73" t="s">
        <v>830</v>
      </c>
      <c r="E443" s="73" t="s">
        <v>43</v>
      </c>
      <c r="F443" s="84">
        <v>112.61</v>
      </c>
      <c r="G443" s="73" t="s">
        <v>826</v>
      </c>
      <c r="H443" s="73"/>
      <c r="I443" s="73"/>
      <c r="J443" s="73"/>
      <c r="K443" s="73"/>
      <c r="L443" s="73"/>
      <c r="M443" s="73"/>
      <c r="N443" s="73"/>
      <c r="O443" s="75">
        <f>SUM(TABELA23[[#This Row],[T1]:[T7]])</f>
        <v>0</v>
      </c>
      <c r="P443" s="76">
        <f>TABELA23[[#This Row],[QTDE]]*TABELA23[[#This Row],[PREÇO]]</f>
        <v>0</v>
      </c>
    </row>
    <row r="444" spans="1:16" x14ac:dyDescent="0.2">
      <c r="A444" s="70" t="s">
        <v>2105</v>
      </c>
      <c r="B444" s="71" t="s">
        <v>2106</v>
      </c>
      <c r="C444" s="72" t="s">
        <v>2107</v>
      </c>
      <c r="D444" s="73" t="s">
        <v>32</v>
      </c>
      <c r="E444" s="73" t="s">
        <v>33</v>
      </c>
      <c r="F444" s="84">
        <v>112.61</v>
      </c>
      <c r="G444" s="73" t="s">
        <v>826</v>
      </c>
      <c r="H444" s="73"/>
      <c r="I444" s="73"/>
      <c r="J444" s="73"/>
      <c r="K444" s="73"/>
      <c r="L444" s="73"/>
      <c r="M444" s="73"/>
      <c r="N444" s="73"/>
      <c r="O444" s="75">
        <f>SUM(TABELA23[[#This Row],[T1]:[T7]])</f>
        <v>0</v>
      </c>
      <c r="P444" s="76">
        <f>TABELA23[[#This Row],[QTDE]]*TABELA23[[#This Row],[PREÇO]]</f>
        <v>0</v>
      </c>
    </row>
    <row r="445" spans="1:16" x14ac:dyDescent="0.2">
      <c r="A445" s="70" t="s">
        <v>2109</v>
      </c>
      <c r="B445" s="71" t="s">
        <v>2110</v>
      </c>
      <c r="C445" s="72" t="s">
        <v>2111</v>
      </c>
      <c r="D445" s="73" t="s">
        <v>1184</v>
      </c>
      <c r="E445" s="73" t="s">
        <v>2317</v>
      </c>
      <c r="F445" s="84">
        <v>73.48</v>
      </c>
      <c r="G445" s="73" t="s">
        <v>826</v>
      </c>
      <c r="H445" s="73"/>
      <c r="I445" s="73"/>
      <c r="J445" s="73"/>
      <c r="K445" s="73"/>
      <c r="L445" s="73"/>
      <c r="M445" s="73"/>
      <c r="N445" s="73"/>
      <c r="O445" s="75">
        <f>SUM(TABELA23[[#This Row],[T1]:[T7]])</f>
        <v>0</v>
      </c>
      <c r="P445" s="76">
        <f>TABELA23[[#This Row],[QTDE]]*TABELA23[[#This Row],[PREÇO]]</f>
        <v>0</v>
      </c>
    </row>
    <row r="446" spans="1:16" x14ac:dyDescent="0.2">
      <c r="A446" s="70" t="s">
        <v>2112</v>
      </c>
      <c r="B446" s="71" t="s">
        <v>2110</v>
      </c>
      <c r="C446" s="72" t="s">
        <v>2111</v>
      </c>
      <c r="D446" s="73" t="s">
        <v>882</v>
      </c>
      <c r="E446" s="73" t="s">
        <v>817</v>
      </c>
      <c r="F446" s="84">
        <v>73.48</v>
      </c>
      <c r="G446" s="73" t="s">
        <v>826</v>
      </c>
      <c r="H446" s="73"/>
      <c r="I446" s="73"/>
      <c r="J446" s="73"/>
      <c r="K446" s="73"/>
      <c r="L446" s="73"/>
      <c r="M446" s="73"/>
      <c r="N446" s="73"/>
      <c r="O446" s="75">
        <f>SUM(TABELA23[[#This Row],[T1]:[T7]])</f>
        <v>0</v>
      </c>
      <c r="P446" s="76">
        <f>TABELA23[[#This Row],[QTDE]]*TABELA23[[#This Row],[PREÇO]]</f>
        <v>0</v>
      </c>
    </row>
    <row r="447" spans="1:16" x14ac:dyDescent="0.2">
      <c r="A447" s="70" t="s">
        <v>2116</v>
      </c>
      <c r="B447" s="71" t="s">
        <v>2114</v>
      </c>
      <c r="C447" s="72" t="s">
        <v>2115</v>
      </c>
      <c r="D447" s="73" t="s">
        <v>1317</v>
      </c>
      <c r="E447" s="73" t="s">
        <v>1319</v>
      </c>
      <c r="F447" s="84">
        <v>121.3</v>
      </c>
      <c r="G447" s="73" t="s">
        <v>826</v>
      </c>
      <c r="H447" s="73"/>
      <c r="I447" s="73"/>
      <c r="J447" s="73"/>
      <c r="K447" s="73"/>
      <c r="L447" s="73"/>
      <c r="M447" s="73"/>
      <c r="N447" s="73"/>
      <c r="O447" s="75">
        <f>SUM(TABELA23[[#This Row],[T1]:[T7]])</f>
        <v>0</v>
      </c>
      <c r="P447" s="76">
        <f>TABELA23[[#This Row],[QTDE]]*TABELA23[[#This Row],[PREÇO]]</f>
        <v>0</v>
      </c>
    </row>
    <row r="448" spans="1:16" x14ac:dyDescent="0.2">
      <c r="A448" s="70" t="s">
        <v>2113</v>
      </c>
      <c r="B448" s="71" t="s">
        <v>2114</v>
      </c>
      <c r="C448" s="72" t="s">
        <v>2115</v>
      </c>
      <c r="D448" s="73" t="s">
        <v>32</v>
      </c>
      <c r="E448" s="73" t="s">
        <v>33</v>
      </c>
      <c r="F448" s="84">
        <v>121.3</v>
      </c>
      <c r="G448" s="73" t="s">
        <v>826</v>
      </c>
      <c r="H448" s="73"/>
      <c r="I448" s="73"/>
      <c r="J448" s="73"/>
      <c r="K448" s="73"/>
      <c r="L448" s="73"/>
      <c r="M448" s="73"/>
      <c r="N448" s="73"/>
      <c r="O448" s="75">
        <f>SUM(TABELA23[[#This Row],[T1]:[T7]])</f>
        <v>0</v>
      </c>
      <c r="P448" s="76">
        <f>TABELA23[[#This Row],[QTDE]]*TABELA23[[#This Row],[PREÇO]]</f>
        <v>0</v>
      </c>
    </row>
    <row r="449" spans="1:16" x14ac:dyDescent="0.2">
      <c r="A449" s="70" t="s">
        <v>2117</v>
      </c>
      <c r="B449" s="71" t="s">
        <v>2118</v>
      </c>
      <c r="C449" s="72" t="s">
        <v>2119</v>
      </c>
      <c r="D449" s="73" t="s">
        <v>1474</v>
      </c>
      <c r="E449" s="73" t="s">
        <v>1475</v>
      </c>
      <c r="F449" s="84">
        <v>86.52</v>
      </c>
      <c r="G449" s="73" t="s">
        <v>826</v>
      </c>
      <c r="H449" s="73"/>
      <c r="I449" s="73"/>
      <c r="J449" s="73"/>
      <c r="K449" s="73"/>
      <c r="L449" s="73"/>
      <c r="M449" s="73"/>
      <c r="N449" s="73"/>
      <c r="O449" s="75">
        <f>SUM(TABELA23[[#This Row],[T1]:[T7]])</f>
        <v>0</v>
      </c>
      <c r="P449" s="76">
        <f>TABELA23[[#This Row],[QTDE]]*TABELA23[[#This Row],[PREÇO]]</f>
        <v>0</v>
      </c>
    </row>
    <row r="450" spans="1:16" x14ac:dyDescent="0.2">
      <c r="A450" s="70" t="s">
        <v>2123</v>
      </c>
      <c r="B450" s="71" t="s">
        <v>2121</v>
      </c>
      <c r="C450" s="72" t="s">
        <v>2122</v>
      </c>
      <c r="D450" s="73" t="s">
        <v>1317</v>
      </c>
      <c r="E450" s="73" t="s">
        <v>1319</v>
      </c>
      <c r="F450" s="84">
        <v>95.22</v>
      </c>
      <c r="G450" s="73" t="s">
        <v>826</v>
      </c>
      <c r="H450" s="73"/>
      <c r="I450" s="73"/>
      <c r="J450" s="73"/>
      <c r="K450" s="73"/>
      <c r="L450" s="73"/>
      <c r="M450" s="73"/>
      <c r="N450" s="73"/>
      <c r="O450" s="75">
        <f>SUM(TABELA23[[#This Row],[T1]:[T7]])</f>
        <v>0</v>
      </c>
      <c r="P450" s="76">
        <f>TABELA23[[#This Row],[QTDE]]*TABELA23[[#This Row],[PREÇO]]</f>
        <v>0</v>
      </c>
    </row>
    <row r="451" spans="1:16" x14ac:dyDescent="0.2">
      <c r="A451" s="70" t="s">
        <v>2120</v>
      </c>
      <c r="B451" s="71" t="s">
        <v>2121</v>
      </c>
      <c r="C451" s="72" t="s">
        <v>2122</v>
      </c>
      <c r="D451" s="73" t="s">
        <v>32</v>
      </c>
      <c r="E451" s="73" t="s">
        <v>33</v>
      </c>
      <c r="F451" s="84">
        <v>95.22</v>
      </c>
      <c r="G451" s="73" t="s">
        <v>826</v>
      </c>
      <c r="H451" s="73"/>
      <c r="I451" s="73"/>
      <c r="J451" s="73"/>
      <c r="K451" s="73"/>
      <c r="L451" s="73"/>
      <c r="M451" s="73"/>
      <c r="N451" s="73"/>
      <c r="O451" s="75">
        <f>SUM(TABELA23[[#This Row],[T1]:[T7]])</f>
        <v>0</v>
      </c>
      <c r="P451" s="76">
        <f>TABELA23[[#This Row],[QTDE]]*TABELA23[[#This Row],[PREÇO]]</f>
        <v>0</v>
      </c>
    </row>
    <row r="452" spans="1:16" x14ac:dyDescent="0.2">
      <c r="A452" s="70" t="s">
        <v>2126</v>
      </c>
      <c r="B452" s="71" t="s">
        <v>2124</v>
      </c>
      <c r="C452" s="72" t="s">
        <v>2125</v>
      </c>
      <c r="D452" s="73" t="s">
        <v>821</v>
      </c>
      <c r="E452" s="73" t="s">
        <v>822</v>
      </c>
      <c r="F452" s="84">
        <v>203.91</v>
      </c>
      <c r="G452" s="73" t="s">
        <v>826</v>
      </c>
      <c r="H452" s="73"/>
      <c r="I452" s="73"/>
      <c r="J452" s="73"/>
      <c r="K452" s="73"/>
      <c r="L452" s="73"/>
      <c r="M452" s="73"/>
      <c r="N452" s="73"/>
      <c r="O452" s="75">
        <f>SUM(TABELA23[[#This Row],[T1]:[T7]])</f>
        <v>0</v>
      </c>
      <c r="P452" s="76">
        <f>TABELA23[[#This Row],[QTDE]]*TABELA23[[#This Row],[PREÇO]]</f>
        <v>0</v>
      </c>
    </row>
    <row r="453" spans="1:16" x14ac:dyDescent="0.2">
      <c r="A453" s="70" t="s">
        <v>2129</v>
      </c>
      <c r="B453" s="71" t="s">
        <v>2127</v>
      </c>
      <c r="C453" s="72" t="s">
        <v>2128</v>
      </c>
      <c r="D453" s="73" t="s">
        <v>830</v>
      </c>
      <c r="E453" s="73" t="s">
        <v>43</v>
      </c>
      <c r="F453" s="84">
        <v>86.52</v>
      </c>
      <c r="G453" s="73" t="s">
        <v>829</v>
      </c>
      <c r="H453" s="73"/>
      <c r="I453" s="73"/>
      <c r="J453" s="73"/>
      <c r="K453" s="73"/>
      <c r="L453" s="73"/>
      <c r="M453" s="73"/>
      <c r="N453" s="73"/>
      <c r="O453" s="75">
        <f>SUM(TABELA23[[#This Row],[T1]:[T7]])</f>
        <v>0</v>
      </c>
      <c r="P453" s="76">
        <f>TABELA23[[#This Row],[QTDE]]*TABELA23[[#This Row],[PREÇO]]</f>
        <v>0</v>
      </c>
    </row>
    <row r="454" spans="1:16" x14ac:dyDescent="0.2">
      <c r="A454" s="70" t="s">
        <v>2131</v>
      </c>
      <c r="B454" s="71" t="s">
        <v>2127</v>
      </c>
      <c r="C454" s="72" t="s">
        <v>2128</v>
      </c>
      <c r="D454" s="73" t="s">
        <v>895</v>
      </c>
      <c r="E454" s="73" t="s">
        <v>896</v>
      </c>
      <c r="F454" s="84">
        <v>86.52</v>
      </c>
      <c r="G454" s="73" t="s">
        <v>829</v>
      </c>
      <c r="H454" s="73"/>
      <c r="I454" s="73"/>
      <c r="J454" s="73"/>
      <c r="K454" s="73"/>
      <c r="L454" s="73"/>
      <c r="M454" s="73"/>
      <c r="N454" s="73"/>
      <c r="O454" s="75">
        <f>SUM(TABELA23[[#This Row],[T1]:[T7]])</f>
        <v>0</v>
      </c>
      <c r="P454" s="76">
        <f>TABELA23[[#This Row],[QTDE]]*TABELA23[[#This Row],[PREÇO]]</f>
        <v>0</v>
      </c>
    </row>
    <row r="455" spans="1:16" x14ac:dyDescent="0.2">
      <c r="A455" s="70" t="s">
        <v>2130</v>
      </c>
      <c r="B455" s="71" t="s">
        <v>2127</v>
      </c>
      <c r="C455" s="72" t="s">
        <v>2128</v>
      </c>
      <c r="D455" s="73" t="s">
        <v>924</v>
      </c>
      <c r="E455" s="73" t="s">
        <v>926</v>
      </c>
      <c r="F455" s="84">
        <v>86.52</v>
      </c>
      <c r="G455" s="73" t="s">
        <v>829</v>
      </c>
      <c r="H455" s="73"/>
      <c r="I455" s="73"/>
      <c r="J455" s="73"/>
      <c r="K455" s="73"/>
      <c r="L455" s="73"/>
      <c r="M455" s="73"/>
      <c r="N455" s="73"/>
      <c r="O455" s="75">
        <f>SUM(TABELA23[[#This Row],[T1]:[T7]])</f>
        <v>0</v>
      </c>
      <c r="P455" s="76">
        <f>TABELA23[[#This Row],[QTDE]]*TABELA23[[#This Row],[PREÇO]]</f>
        <v>0</v>
      </c>
    </row>
    <row r="456" spans="1:16" x14ac:dyDescent="0.2">
      <c r="A456" s="70" t="s">
        <v>2134</v>
      </c>
      <c r="B456" s="71" t="s">
        <v>2132</v>
      </c>
      <c r="C456" s="72" t="s">
        <v>2133</v>
      </c>
      <c r="D456" s="73" t="s">
        <v>32</v>
      </c>
      <c r="E456" s="73" t="s">
        <v>33</v>
      </c>
      <c r="F456" s="84">
        <v>82.17</v>
      </c>
      <c r="G456" s="73" t="s">
        <v>829</v>
      </c>
      <c r="H456" s="73"/>
      <c r="I456" s="73"/>
      <c r="J456" s="73"/>
      <c r="K456" s="73"/>
      <c r="L456" s="73"/>
      <c r="M456" s="73"/>
      <c r="N456" s="73"/>
      <c r="O456" s="75">
        <f>SUM(TABELA23[[#This Row],[T1]:[T7]])</f>
        <v>0</v>
      </c>
      <c r="P456" s="76">
        <f>TABELA23[[#This Row],[QTDE]]*TABELA23[[#This Row],[PREÇO]]</f>
        <v>0</v>
      </c>
    </row>
    <row r="457" spans="1:16" x14ac:dyDescent="0.2">
      <c r="A457" s="70" t="s">
        <v>2137</v>
      </c>
      <c r="B457" s="71" t="s">
        <v>2135</v>
      </c>
      <c r="C457" s="72" t="s">
        <v>2136</v>
      </c>
      <c r="D457" s="73" t="s">
        <v>1068</v>
      </c>
      <c r="E457" s="73" t="s">
        <v>1069</v>
      </c>
      <c r="F457" s="84">
        <v>234.35</v>
      </c>
      <c r="G457" s="73" t="s">
        <v>829</v>
      </c>
      <c r="H457" s="73"/>
      <c r="I457" s="73"/>
      <c r="J457" s="73"/>
      <c r="K457" s="73"/>
      <c r="L457" s="73"/>
      <c r="M457" s="73"/>
      <c r="N457" s="73"/>
      <c r="O457" s="75">
        <f>SUM(TABELA23[[#This Row],[T1]:[T7]])</f>
        <v>0</v>
      </c>
      <c r="P457" s="76">
        <f>TABELA23[[#This Row],[QTDE]]*TABELA23[[#This Row],[PREÇO]]</f>
        <v>0</v>
      </c>
    </row>
    <row r="458" spans="1:16" x14ac:dyDescent="0.2">
      <c r="A458" s="70" t="s">
        <v>2139</v>
      </c>
      <c r="B458" s="71" t="s">
        <v>2138</v>
      </c>
      <c r="C458" s="72" t="s">
        <v>1224</v>
      </c>
      <c r="D458" s="73" t="s">
        <v>898</v>
      </c>
      <c r="E458" s="73" t="s">
        <v>900</v>
      </c>
      <c r="F458" s="84">
        <v>143.04</v>
      </c>
      <c r="G458" s="73" t="s">
        <v>829</v>
      </c>
      <c r="H458" s="73"/>
      <c r="I458" s="73"/>
      <c r="J458" s="73"/>
      <c r="K458" s="73"/>
      <c r="L458" s="73"/>
      <c r="M458" s="73"/>
      <c r="N458" s="73"/>
      <c r="O458" s="75">
        <f>SUM(TABELA23[[#This Row],[T1]:[T7]])</f>
        <v>0</v>
      </c>
      <c r="P458" s="76">
        <f>TABELA23[[#This Row],[QTDE]]*TABELA23[[#This Row],[PREÇO]]</f>
        <v>0</v>
      </c>
    </row>
    <row r="459" spans="1:16" x14ac:dyDescent="0.2">
      <c r="A459" s="70" t="s">
        <v>2142</v>
      </c>
      <c r="B459" s="71" t="s">
        <v>2140</v>
      </c>
      <c r="C459" s="72" t="s">
        <v>2141</v>
      </c>
      <c r="D459" s="73" t="s">
        <v>929</v>
      </c>
      <c r="E459" s="73" t="s">
        <v>931</v>
      </c>
      <c r="F459" s="84">
        <v>195.22</v>
      </c>
      <c r="G459" s="73" t="s">
        <v>829</v>
      </c>
      <c r="H459" s="73"/>
      <c r="I459" s="73"/>
      <c r="J459" s="73"/>
      <c r="K459" s="73"/>
      <c r="L459" s="73"/>
      <c r="M459" s="73"/>
      <c r="N459" s="73"/>
      <c r="O459" s="75">
        <f>SUM(TABELA23[[#This Row],[T1]:[T7]])</f>
        <v>0</v>
      </c>
      <c r="P459" s="76">
        <f>TABELA23[[#This Row],[QTDE]]*TABELA23[[#This Row],[PREÇO]]</f>
        <v>0</v>
      </c>
    </row>
    <row r="460" spans="1:16" x14ac:dyDescent="0.2">
      <c r="A460" s="70" t="s">
        <v>2145</v>
      </c>
      <c r="B460" s="71" t="s">
        <v>2143</v>
      </c>
      <c r="C460" s="72" t="s">
        <v>2144</v>
      </c>
      <c r="D460" s="73" t="s">
        <v>898</v>
      </c>
      <c r="E460" s="73" t="s">
        <v>900</v>
      </c>
      <c r="F460" s="84">
        <v>147.38999999999999</v>
      </c>
      <c r="G460" s="73" t="s">
        <v>829</v>
      </c>
      <c r="H460" s="73"/>
      <c r="I460" s="73"/>
      <c r="J460" s="73"/>
      <c r="K460" s="73"/>
      <c r="L460" s="73"/>
      <c r="M460" s="73"/>
      <c r="N460" s="73"/>
      <c r="O460" s="75">
        <f>SUM(TABELA23[[#This Row],[T1]:[T7]])</f>
        <v>0</v>
      </c>
      <c r="P460" s="76">
        <f>TABELA23[[#This Row],[QTDE]]*TABELA23[[#This Row],[PREÇO]]</f>
        <v>0</v>
      </c>
    </row>
    <row r="461" spans="1:16" x14ac:dyDescent="0.2">
      <c r="A461" s="70" t="s">
        <v>2148</v>
      </c>
      <c r="B461" s="71" t="s">
        <v>2146</v>
      </c>
      <c r="C461" s="72" t="s">
        <v>2147</v>
      </c>
      <c r="D461" s="73" t="s">
        <v>895</v>
      </c>
      <c r="E461" s="73" t="s">
        <v>896</v>
      </c>
      <c r="F461" s="84">
        <v>199.57</v>
      </c>
      <c r="G461" s="73" t="s">
        <v>829</v>
      </c>
      <c r="H461" s="73"/>
      <c r="I461" s="73"/>
      <c r="J461" s="73"/>
      <c r="K461" s="73"/>
      <c r="L461" s="73"/>
      <c r="M461" s="73"/>
      <c r="N461" s="73"/>
      <c r="O461" s="75">
        <f>SUM(TABELA23[[#This Row],[T1]:[T7]])</f>
        <v>0</v>
      </c>
      <c r="P461" s="76">
        <f>TABELA23[[#This Row],[QTDE]]*TABELA23[[#This Row],[PREÇO]]</f>
        <v>0</v>
      </c>
    </row>
    <row r="462" spans="1:16" x14ac:dyDescent="0.2">
      <c r="A462" s="70" t="s">
        <v>2151</v>
      </c>
      <c r="B462" s="71" t="s">
        <v>2149</v>
      </c>
      <c r="C462" s="72" t="s">
        <v>2150</v>
      </c>
      <c r="D462" s="73" t="s">
        <v>882</v>
      </c>
      <c r="E462" s="73" t="s">
        <v>817</v>
      </c>
      <c r="F462" s="84">
        <v>277.83</v>
      </c>
      <c r="G462" s="73" t="s">
        <v>829</v>
      </c>
      <c r="H462" s="73"/>
      <c r="I462" s="73"/>
      <c r="J462" s="73"/>
      <c r="K462" s="73"/>
      <c r="L462" s="73"/>
      <c r="M462" s="73"/>
      <c r="N462" s="73"/>
      <c r="O462" s="75">
        <f>SUM(TABELA23[[#This Row],[T1]:[T7]])</f>
        <v>0</v>
      </c>
      <c r="P462" s="76">
        <f>TABELA23[[#This Row],[QTDE]]*TABELA23[[#This Row],[PREÇO]]</f>
        <v>0</v>
      </c>
    </row>
    <row r="463" spans="1:16" x14ac:dyDescent="0.2">
      <c r="A463" s="70" t="s">
        <v>2155</v>
      </c>
      <c r="B463" s="71" t="s">
        <v>2152</v>
      </c>
      <c r="C463" s="72" t="s">
        <v>2153</v>
      </c>
      <c r="D463" s="73" t="s">
        <v>955</v>
      </c>
      <c r="E463" s="73" t="s">
        <v>2154</v>
      </c>
      <c r="F463" s="84">
        <v>390.87</v>
      </c>
      <c r="G463" s="73" t="s">
        <v>829</v>
      </c>
      <c r="H463" s="73"/>
      <c r="I463" s="73"/>
      <c r="J463" s="73"/>
      <c r="K463" s="73"/>
      <c r="L463" s="73"/>
      <c r="M463" s="73"/>
      <c r="N463" s="73"/>
      <c r="O463" s="75">
        <f>SUM(TABELA23[[#This Row],[T1]:[T7]])</f>
        <v>0</v>
      </c>
      <c r="P463" s="76">
        <f>TABELA23[[#This Row],[QTDE]]*TABELA23[[#This Row],[PREÇO]]</f>
        <v>0</v>
      </c>
    </row>
    <row r="464" spans="1:16" x14ac:dyDescent="0.2">
      <c r="A464" s="70" t="s">
        <v>2158</v>
      </c>
      <c r="B464" s="71" t="s">
        <v>2156</v>
      </c>
      <c r="C464" s="72" t="s">
        <v>2157</v>
      </c>
      <c r="D464" s="73" t="s">
        <v>882</v>
      </c>
      <c r="E464" s="73" t="s">
        <v>817</v>
      </c>
      <c r="F464" s="84">
        <v>360.43</v>
      </c>
      <c r="G464" s="73" t="s">
        <v>829</v>
      </c>
      <c r="H464" s="73"/>
      <c r="I464" s="73"/>
      <c r="J464" s="73"/>
      <c r="K464" s="73"/>
      <c r="L464" s="73"/>
      <c r="M464" s="73"/>
      <c r="N464" s="73"/>
      <c r="O464" s="75">
        <f>SUM(TABELA23[[#This Row],[T1]:[T7]])</f>
        <v>0</v>
      </c>
      <c r="P464" s="76">
        <f>TABELA23[[#This Row],[QTDE]]*TABELA23[[#This Row],[PREÇO]]</f>
        <v>0</v>
      </c>
    </row>
    <row r="465" spans="1:16" x14ac:dyDescent="0.2">
      <c r="A465" s="70" t="s">
        <v>2161</v>
      </c>
      <c r="B465" s="71" t="s">
        <v>2159</v>
      </c>
      <c r="C465" s="72" t="s">
        <v>2160</v>
      </c>
      <c r="D465" s="73" t="s">
        <v>830</v>
      </c>
      <c r="E465" s="73" t="s">
        <v>43</v>
      </c>
      <c r="F465" s="84">
        <v>216.96</v>
      </c>
      <c r="G465" s="73" t="s">
        <v>829</v>
      </c>
      <c r="H465" s="73"/>
      <c r="I465" s="73"/>
      <c r="J465" s="73"/>
      <c r="K465" s="73"/>
      <c r="L465" s="73"/>
      <c r="M465" s="73"/>
      <c r="N465" s="73"/>
      <c r="O465" s="75">
        <f>SUM(TABELA23[[#This Row],[T1]:[T7]])</f>
        <v>0</v>
      </c>
      <c r="P465" s="76">
        <f>TABELA23[[#This Row],[QTDE]]*TABELA23[[#This Row],[PREÇO]]</f>
        <v>0</v>
      </c>
    </row>
    <row r="466" spans="1:16" x14ac:dyDescent="0.2">
      <c r="A466" s="70" t="s">
        <v>2164</v>
      </c>
      <c r="B466" s="71" t="s">
        <v>2162</v>
      </c>
      <c r="C466" s="72" t="s">
        <v>2163</v>
      </c>
      <c r="D466" s="73" t="s">
        <v>32</v>
      </c>
      <c r="E466" s="73" t="s">
        <v>33</v>
      </c>
      <c r="F466" s="84">
        <v>216.96</v>
      </c>
      <c r="G466" s="73" t="s">
        <v>829</v>
      </c>
      <c r="H466" s="73"/>
      <c r="I466" s="73"/>
      <c r="J466" s="73"/>
      <c r="K466" s="73"/>
      <c r="L466" s="73"/>
      <c r="M466" s="73"/>
      <c r="N466" s="73"/>
      <c r="O466" s="75">
        <f>SUM(TABELA23[[#This Row],[T1]:[T7]])</f>
        <v>0</v>
      </c>
      <c r="P466" s="76">
        <f>TABELA23[[#This Row],[QTDE]]*TABELA23[[#This Row],[PREÇO]]</f>
        <v>0</v>
      </c>
    </row>
    <row r="467" spans="1:16" x14ac:dyDescent="0.2">
      <c r="A467" s="70" t="s">
        <v>2167</v>
      </c>
      <c r="B467" s="71" t="s">
        <v>2165</v>
      </c>
      <c r="C467" s="72" t="s">
        <v>2166</v>
      </c>
      <c r="D467" s="73" t="s">
        <v>1263</v>
      </c>
      <c r="E467" s="73" t="s">
        <v>1265</v>
      </c>
      <c r="F467" s="84">
        <v>216.96</v>
      </c>
      <c r="G467" s="73" t="s">
        <v>829</v>
      </c>
      <c r="H467" s="73"/>
      <c r="I467" s="73"/>
      <c r="J467" s="73"/>
      <c r="K467" s="73"/>
      <c r="L467" s="73"/>
      <c r="M467" s="73"/>
      <c r="N467" s="73"/>
      <c r="O467" s="75">
        <f>SUM(TABELA23[[#This Row],[T1]:[T7]])</f>
        <v>0</v>
      </c>
      <c r="P467" s="76">
        <f>TABELA23[[#This Row],[QTDE]]*TABELA23[[#This Row],[PREÇO]]</f>
        <v>0</v>
      </c>
    </row>
    <row r="468" spans="1:16" x14ac:dyDescent="0.2">
      <c r="A468" s="70" t="s">
        <v>2169</v>
      </c>
      <c r="B468" s="71" t="s">
        <v>2168</v>
      </c>
      <c r="C468" s="72" t="s">
        <v>832</v>
      </c>
      <c r="D468" s="73" t="s">
        <v>895</v>
      </c>
      <c r="E468" s="73" t="s">
        <v>896</v>
      </c>
      <c r="F468" s="84">
        <v>238.7</v>
      </c>
      <c r="G468" s="73" t="s">
        <v>829</v>
      </c>
      <c r="H468" s="73"/>
      <c r="I468" s="73"/>
      <c r="J468" s="73"/>
      <c r="K468" s="73"/>
      <c r="L468" s="73"/>
      <c r="M468" s="73"/>
      <c r="N468" s="73"/>
      <c r="O468" s="75">
        <f>SUM(TABELA23[[#This Row],[T1]:[T7]])</f>
        <v>0</v>
      </c>
      <c r="P468" s="76">
        <f>TABELA23[[#This Row],[QTDE]]*TABELA23[[#This Row],[PREÇO]]</f>
        <v>0</v>
      </c>
    </row>
    <row r="469" spans="1:16" x14ac:dyDescent="0.2">
      <c r="A469" s="70" t="s">
        <v>2172</v>
      </c>
      <c r="B469" s="71" t="s">
        <v>2170</v>
      </c>
      <c r="C469" s="72" t="s">
        <v>2171</v>
      </c>
      <c r="D469" s="73" t="s">
        <v>1193</v>
      </c>
      <c r="E469" s="73" t="s">
        <v>1195</v>
      </c>
      <c r="F469" s="84">
        <v>190.87</v>
      </c>
      <c r="G469" s="73" t="s">
        <v>829</v>
      </c>
      <c r="H469" s="73"/>
      <c r="I469" s="73"/>
      <c r="J469" s="73"/>
      <c r="K469" s="73"/>
      <c r="L469" s="73"/>
      <c r="M469" s="73"/>
      <c r="N469" s="73"/>
      <c r="O469" s="75">
        <f>SUM(TABELA23[[#This Row],[T1]:[T7]])</f>
        <v>0</v>
      </c>
      <c r="P469" s="76">
        <f>TABELA23[[#This Row],[QTDE]]*TABELA23[[#This Row],[PREÇO]]</f>
        <v>0</v>
      </c>
    </row>
    <row r="470" spans="1:16" x14ac:dyDescent="0.2">
      <c r="A470" s="70" t="s">
        <v>2175</v>
      </c>
      <c r="B470" s="71" t="s">
        <v>2173</v>
      </c>
      <c r="C470" s="72" t="s">
        <v>2174</v>
      </c>
      <c r="D470" s="73" t="s">
        <v>1059</v>
      </c>
      <c r="E470" s="73" t="s">
        <v>1061</v>
      </c>
      <c r="F470" s="84">
        <v>173.48</v>
      </c>
      <c r="G470" s="73" t="s">
        <v>829</v>
      </c>
      <c r="H470" s="73"/>
      <c r="I470" s="73"/>
      <c r="J470" s="73"/>
      <c r="K470" s="73"/>
      <c r="L470" s="73"/>
      <c r="M470" s="73"/>
      <c r="N470" s="73"/>
      <c r="O470" s="75">
        <f>SUM(TABELA23[[#This Row],[T1]:[T7]])</f>
        <v>0</v>
      </c>
      <c r="P470" s="76">
        <f>TABELA23[[#This Row],[QTDE]]*TABELA23[[#This Row],[PREÇO]]</f>
        <v>0</v>
      </c>
    </row>
    <row r="471" spans="1:16" x14ac:dyDescent="0.2">
      <c r="A471" s="70" t="s">
        <v>2178</v>
      </c>
      <c r="B471" s="71" t="s">
        <v>2176</v>
      </c>
      <c r="C471" s="72" t="s">
        <v>2177</v>
      </c>
      <c r="D471" s="73" t="s">
        <v>1059</v>
      </c>
      <c r="E471" s="73" t="s">
        <v>1061</v>
      </c>
      <c r="F471" s="84">
        <v>260.43</v>
      </c>
      <c r="G471" s="73" t="s">
        <v>829</v>
      </c>
      <c r="H471" s="73"/>
      <c r="I471" s="73"/>
      <c r="J471" s="73"/>
      <c r="K471" s="73"/>
      <c r="L471" s="73"/>
      <c r="M471" s="73"/>
      <c r="N471" s="73"/>
      <c r="O471" s="75">
        <f>SUM(TABELA23[[#This Row],[T1]:[T7]])</f>
        <v>0</v>
      </c>
      <c r="P471" s="76">
        <f>TABELA23[[#This Row],[QTDE]]*TABELA23[[#This Row],[PREÇO]]</f>
        <v>0</v>
      </c>
    </row>
    <row r="472" spans="1:16" x14ac:dyDescent="0.2">
      <c r="A472" s="70" t="s">
        <v>2181</v>
      </c>
      <c r="B472" s="71" t="s">
        <v>2179</v>
      </c>
      <c r="C472" s="72" t="s">
        <v>2180</v>
      </c>
      <c r="D472" s="73" t="s">
        <v>1216</v>
      </c>
      <c r="E472" s="73" t="s">
        <v>1218</v>
      </c>
      <c r="F472" s="84">
        <v>347.39</v>
      </c>
      <c r="G472" s="73" t="s">
        <v>829</v>
      </c>
      <c r="H472" s="73"/>
      <c r="I472" s="73"/>
      <c r="J472" s="73"/>
      <c r="K472" s="73"/>
      <c r="L472" s="73"/>
      <c r="M472" s="73"/>
      <c r="N472" s="73"/>
      <c r="O472" s="75">
        <f>SUM(TABELA23[[#This Row],[T1]:[T7]])</f>
        <v>0</v>
      </c>
      <c r="P472" s="76">
        <f>TABELA23[[#This Row],[QTDE]]*TABELA23[[#This Row],[PREÇO]]</f>
        <v>0</v>
      </c>
    </row>
    <row r="473" spans="1:16" x14ac:dyDescent="0.2">
      <c r="A473" s="70" t="s">
        <v>2183</v>
      </c>
      <c r="B473" s="71" t="s">
        <v>2182</v>
      </c>
      <c r="C473" s="72" t="s">
        <v>907</v>
      </c>
      <c r="D473" s="73" t="s">
        <v>32</v>
      </c>
      <c r="E473" s="73" t="s">
        <v>33</v>
      </c>
      <c r="F473" s="84">
        <v>216.96</v>
      </c>
      <c r="G473" s="73" t="s">
        <v>829</v>
      </c>
      <c r="H473" s="73"/>
      <c r="I473" s="73"/>
      <c r="J473" s="73"/>
      <c r="K473" s="73"/>
      <c r="L473" s="73"/>
      <c r="M473" s="73"/>
      <c r="N473" s="73"/>
      <c r="O473" s="75">
        <f>SUM(TABELA23[[#This Row],[T1]:[T7]])</f>
        <v>0</v>
      </c>
      <c r="P473" s="76">
        <f>TABELA23[[#This Row],[QTDE]]*TABELA23[[#This Row],[PREÇO]]</f>
        <v>0</v>
      </c>
    </row>
    <row r="474" spans="1:16" x14ac:dyDescent="0.2">
      <c r="A474" s="70" t="s">
        <v>2185</v>
      </c>
      <c r="B474" s="71" t="s">
        <v>2184</v>
      </c>
      <c r="C474" s="72" t="s">
        <v>1515</v>
      </c>
      <c r="D474" s="73" t="s">
        <v>929</v>
      </c>
      <c r="E474" s="73" t="s">
        <v>931</v>
      </c>
      <c r="F474" s="84">
        <v>151.74</v>
      </c>
      <c r="G474" s="73" t="s">
        <v>828</v>
      </c>
      <c r="H474" s="73"/>
      <c r="I474" s="73"/>
      <c r="J474" s="73"/>
      <c r="K474" s="73"/>
      <c r="L474" s="73"/>
      <c r="M474" s="73"/>
      <c r="N474" s="73"/>
      <c r="O474" s="75">
        <f>SUM(TABELA23[[#This Row],[T1]:[T7]])</f>
        <v>0</v>
      </c>
      <c r="P474" s="76">
        <f>TABELA23[[#This Row],[QTDE]]*TABELA23[[#This Row],[PREÇO]]</f>
        <v>0</v>
      </c>
    </row>
    <row r="475" spans="1:16" x14ac:dyDescent="0.2">
      <c r="A475" s="70" t="s">
        <v>2188</v>
      </c>
      <c r="B475" s="71" t="s">
        <v>2186</v>
      </c>
      <c r="C475" s="72" t="s">
        <v>2187</v>
      </c>
      <c r="D475" s="73" t="s">
        <v>1836</v>
      </c>
      <c r="E475" s="73" t="s">
        <v>1838</v>
      </c>
      <c r="F475" s="84">
        <v>173.48</v>
      </c>
      <c r="G475" s="73" t="s">
        <v>829</v>
      </c>
      <c r="H475" s="73"/>
      <c r="I475" s="73"/>
      <c r="J475" s="73"/>
      <c r="K475" s="73"/>
      <c r="L475" s="73"/>
      <c r="M475" s="73"/>
      <c r="N475" s="73"/>
      <c r="O475" s="75">
        <f>SUM(TABELA23[[#This Row],[T1]:[T7]])</f>
        <v>0</v>
      </c>
      <c r="P475" s="76">
        <f>TABELA23[[#This Row],[QTDE]]*TABELA23[[#This Row],[PREÇO]]</f>
        <v>0</v>
      </c>
    </row>
    <row r="476" spans="1:16" x14ac:dyDescent="0.2">
      <c r="A476" s="70" t="s">
        <v>2189</v>
      </c>
      <c r="B476" s="71" t="s">
        <v>2190</v>
      </c>
      <c r="C476" s="72" t="s">
        <v>2191</v>
      </c>
      <c r="D476" s="73" t="s">
        <v>815</v>
      </c>
      <c r="E476" s="73" t="s">
        <v>816</v>
      </c>
      <c r="F476" s="84">
        <v>521.29999999999995</v>
      </c>
      <c r="G476" s="73" t="s">
        <v>17</v>
      </c>
      <c r="H476" s="73"/>
      <c r="I476" s="73"/>
      <c r="J476" s="73"/>
      <c r="K476" s="73"/>
      <c r="L476" s="73"/>
      <c r="M476" s="73"/>
      <c r="N476" s="73"/>
      <c r="O476" s="75">
        <f>SUM(TABELA23[[#This Row],[T1]:[T7]])</f>
        <v>0</v>
      </c>
      <c r="P476" s="76">
        <f>TABELA23[[#This Row],[QTDE]]*TABELA23[[#This Row],[PREÇO]]</f>
        <v>0</v>
      </c>
    </row>
    <row r="477" spans="1:16" x14ac:dyDescent="0.2">
      <c r="A477" s="70" t="s">
        <v>2193</v>
      </c>
      <c r="B477" s="71" t="s">
        <v>2192</v>
      </c>
      <c r="C477" s="72" t="s">
        <v>1864</v>
      </c>
      <c r="D477" s="73" t="s">
        <v>1474</v>
      </c>
      <c r="E477" s="73" t="s">
        <v>1475</v>
      </c>
      <c r="F477" s="84">
        <v>208.26</v>
      </c>
      <c r="G477" s="73" t="s">
        <v>829</v>
      </c>
      <c r="H477" s="73"/>
      <c r="I477" s="73"/>
      <c r="J477" s="73"/>
      <c r="K477" s="73"/>
      <c r="L477" s="73"/>
      <c r="M477" s="73"/>
      <c r="N477" s="73"/>
      <c r="O477" s="75">
        <f>SUM(TABELA23[[#This Row],[T1]:[T7]])</f>
        <v>0</v>
      </c>
      <c r="P477" s="76">
        <f>TABELA23[[#This Row],[QTDE]]*TABELA23[[#This Row],[PREÇO]]</f>
        <v>0</v>
      </c>
    </row>
    <row r="478" spans="1:16" x14ac:dyDescent="0.2">
      <c r="A478" s="70" t="s">
        <v>2196</v>
      </c>
      <c r="B478" s="71" t="s">
        <v>2194</v>
      </c>
      <c r="C478" s="72" t="s">
        <v>2195</v>
      </c>
      <c r="D478" s="73" t="s">
        <v>821</v>
      </c>
      <c r="E478" s="73" t="s">
        <v>822</v>
      </c>
      <c r="F478" s="84">
        <v>325.64999999999998</v>
      </c>
      <c r="G478" s="73" t="s">
        <v>826</v>
      </c>
      <c r="H478" s="73"/>
      <c r="I478" s="73"/>
      <c r="J478" s="73"/>
      <c r="K478" s="73"/>
      <c r="L478" s="73"/>
      <c r="M478" s="73"/>
      <c r="N478" s="73"/>
      <c r="O478" s="75">
        <f>SUM(TABELA23[[#This Row],[T1]:[T7]])</f>
        <v>0</v>
      </c>
      <c r="P478" s="76">
        <f>TABELA23[[#This Row],[QTDE]]*TABELA23[[#This Row],[PREÇO]]</f>
        <v>0</v>
      </c>
    </row>
    <row r="479" spans="1:16" x14ac:dyDescent="0.2">
      <c r="A479" s="70" t="s">
        <v>2197</v>
      </c>
      <c r="B479" s="71" t="s">
        <v>2198</v>
      </c>
      <c r="C479" s="72" t="s">
        <v>2199</v>
      </c>
      <c r="D479" s="73" t="s">
        <v>1317</v>
      </c>
      <c r="E479" s="73" t="s">
        <v>1319</v>
      </c>
      <c r="F479" s="84">
        <v>325.64999999999998</v>
      </c>
      <c r="G479" s="73" t="s">
        <v>826</v>
      </c>
      <c r="H479" s="73"/>
      <c r="I479" s="73"/>
      <c r="J479" s="73"/>
      <c r="K479" s="73"/>
      <c r="L479" s="73"/>
      <c r="M479" s="73"/>
      <c r="N479" s="73"/>
      <c r="O479" s="75">
        <f>SUM(TABELA23[[#This Row],[T1]:[T7]])</f>
        <v>0</v>
      </c>
      <c r="P479" s="76">
        <f>TABELA23[[#This Row],[QTDE]]*TABELA23[[#This Row],[PREÇO]]</f>
        <v>0</v>
      </c>
    </row>
    <row r="480" spans="1:16" x14ac:dyDescent="0.2">
      <c r="A480" s="70" t="s">
        <v>2200</v>
      </c>
      <c r="B480" s="71" t="s">
        <v>2201</v>
      </c>
      <c r="C480" s="72" t="s">
        <v>2203</v>
      </c>
      <c r="D480" s="73" t="s">
        <v>2202</v>
      </c>
      <c r="E480" s="73" t="s">
        <v>2318</v>
      </c>
      <c r="F480" s="84">
        <v>216.96</v>
      </c>
      <c r="G480" s="73" t="s">
        <v>826</v>
      </c>
      <c r="H480" s="73"/>
      <c r="I480" s="73"/>
      <c r="J480" s="73"/>
      <c r="K480" s="73"/>
      <c r="L480" s="73"/>
      <c r="M480" s="73"/>
      <c r="N480" s="73"/>
      <c r="O480" s="75">
        <f>SUM(TABELA23[[#This Row],[T1]:[T7]])</f>
        <v>0</v>
      </c>
      <c r="P480" s="76">
        <f>TABELA23[[#This Row],[QTDE]]*TABELA23[[#This Row],[PREÇO]]</f>
        <v>0</v>
      </c>
    </row>
    <row r="481" spans="1:16" x14ac:dyDescent="0.2">
      <c r="A481" s="70" t="s">
        <v>2204</v>
      </c>
      <c r="B481" s="71" t="s">
        <v>2205</v>
      </c>
      <c r="C481" s="72" t="s">
        <v>2206</v>
      </c>
      <c r="D481" s="73" t="s">
        <v>898</v>
      </c>
      <c r="E481" s="73" t="s">
        <v>900</v>
      </c>
      <c r="F481" s="84">
        <v>216.96</v>
      </c>
      <c r="G481" s="73" t="s">
        <v>826</v>
      </c>
      <c r="H481" s="73"/>
      <c r="I481" s="73"/>
      <c r="J481" s="73"/>
      <c r="K481" s="73"/>
      <c r="L481" s="73"/>
      <c r="M481" s="73"/>
      <c r="N481" s="73"/>
      <c r="O481" s="75">
        <f>SUM(TABELA23[[#This Row],[T1]:[T7]])</f>
        <v>0</v>
      </c>
      <c r="P481" s="76">
        <f>TABELA23[[#This Row],[QTDE]]*TABELA23[[#This Row],[PREÇO]]</f>
        <v>0</v>
      </c>
    </row>
    <row r="482" spans="1:16" x14ac:dyDescent="0.2">
      <c r="A482" s="70" t="s">
        <v>2208</v>
      </c>
      <c r="B482" s="71" t="s">
        <v>2207</v>
      </c>
      <c r="C482" s="72" t="s">
        <v>899</v>
      </c>
      <c r="D482" s="73" t="s">
        <v>1118</v>
      </c>
      <c r="E482" s="73" t="s">
        <v>1119</v>
      </c>
      <c r="F482" s="84">
        <v>260.43</v>
      </c>
      <c r="G482" s="73" t="s">
        <v>829</v>
      </c>
      <c r="H482" s="73"/>
      <c r="I482" s="73"/>
      <c r="J482" s="73"/>
      <c r="K482" s="73"/>
      <c r="L482" s="73"/>
      <c r="M482" s="73"/>
      <c r="N482" s="73"/>
      <c r="O482" s="75">
        <f>SUM(TABELA23[[#This Row],[T1]:[T7]])</f>
        <v>0</v>
      </c>
      <c r="P482" s="76">
        <f>TABELA23[[#This Row],[QTDE]]*TABELA23[[#This Row],[PREÇO]]</f>
        <v>0</v>
      </c>
    </row>
    <row r="483" spans="1:16" x14ac:dyDescent="0.2">
      <c r="A483" s="70" t="s">
        <v>2211</v>
      </c>
      <c r="B483" s="71" t="s">
        <v>2209</v>
      </c>
      <c r="C483" s="72" t="s">
        <v>2210</v>
      </c>
      <c r="D483" s="73" t="s">
        <v>1054</v>
      </c>
      <c r="E483" s="73" t="s">
        <v>1056</v>
      </c>
      <c r="F483" s="84">
        <v>390.87</v>
      </c>
      <c r="G483" s="73" t="s">
        <v>829</v>
      </c>
      <c r="H483" s="73"/>
      <c r="I483" s="73"/>
      <c r="J483" s="73"/>
      <c r="K483" s="73"/>
      <c r="L483" s="73"/>
      <c r="M483" s="73"/>
      <c r="N483" s="73"/>
      <c r="O483" s="75">
        <f>SUM(TABELA23[[#This Row],[T1]:[T7]])</f>
        <v>0</v>
      </c>
      <c r="P483" s="76">
        <f>TABELA23[[#This Row],[QTDE]]*TABELA23[[#This Row],[PREÇO]]</f>
        <v>0</v>
      </c>
    </row>
    <row r="484" spans="1:16" x14ac:dyDescent="0.2">
      <c r="A484" s="70" t="s">
        <v>2213</v>
      </c>
      <c r="B484" s="71" t="s">
        <v>2212</v>
      </c>
      <c r="C484" s="72" t="s">
        <v>2133</v>
      </c>
      <c r="D484" s="73" t="s">
        <v>888</v>
      </c>
      <c r="E484" s="73" t="s">
        <v>890</v>
      </c>
      <c r="F484" s="84">
        <v>108.26</v>
      </c>
      <c r="G484" s="73" t="s">
        <v>2319</v>
      </c>
      <c r="H484" s="73"/>
      <c r="I484" s="73"/>
      <c r="J484" s="73"/>
      <c r="K484" s="73"/>
      <c r="L484" s="73"/>
      <c r="M484" s="73"/>
      <c r="N484" s="73"/>
      <c r="O484" s="75">
        <f>SUM(TABELA23[[#This Row],[T1]:[T7]])</f>
        <v>0</v>
      </c>
      <c r="P484" s="76">
        <f>TABELA23[[#This Row],[QTDE]]*TABELA23[[#This Row],[PREÇO]]</f>
        <v>0</v>
      </c>
    </row>
    <row r="485" spans="1:16" x14ac:dyDescent="0.2">
      <c r="A485" s="70" t="s">
        <v>2217</v>
      </c>
      <c r="B485" s="71" t="s">
        <v>2214</v>
      </c>
      <c r="C485" s="72" t="s">
        <v>2215</v>
      </c>
      <c r="D485" s="73" t="s">
        <v>914</v>
      </c>
      <c r="E485" s="73" t="s">
        <v>915</v>
      </c>
      <c r="F485" s="84">
        <v>173.48</v>
      </c>
      <c r="G485" s="73" t="s">
        <v>829</v>
      </c>
      <c r="H485" s="73"/>
      <c r="I485" s="73"/>
      <c r="J485" s="73"/>
      <c r="K485" s="73"/>
      <c r="L485" s="73"/>
      <c r="M485" s="73"/>
      <c r="N485" s="73"/>
      <c r="O485" s="75">
        <f>SUM(TABELA23[[#This Row],[T1]:[T7]])</f>
        <v>0</v>
      </c>
      <c r="P485" s="76">
        <f>TABELA23[[#This Row],[QTDE]]*TABELA23[[#This Row],[PREÇO]]</f>
        <v>0</v>
      </c>
    </row>
    <row r="486" spans="1:16" x14ac:dyDescent="0.2">
      <c r="A486" s="70" t="s">
        <v>2216</v>
      </c>
      <c r="B486" s="71" t="s">
        <v>2214</v>
      </c>
      <c r="C486" s="72" t="s">
        <v>2215</v>
      </c>
      <c r="D486" s="73" t="s">
        <v>32</v>
      </c>
      <c r="E486" s="73" t="s">
        <v>33</v>
      </c>
      <c r="F486" s="84">
        <v>173.48</v>
      </c>
      <c r="G486" s="73" t="s">
        <v>829</v>
      </c>
      <c r="H486" s="73"/>
      <c r="I486" s="73"/>
      <c r="J486" s="73"/>
      <c r="K486" s="73"/>
      <c r="L486" s="73"/>
      <c r="M486" s="73"/>
      <c r="N486" s="73"/>
      <c r="O486" s="75">
        <f>SUM(TABELA23[[#This Row],[T1]:[T7]])</f>
        <v>0</v>
      </c>
      <c r="P486" s="76">
        <f>TABELA23[[#This Row],[QTDE]]*TABELA23[[#This Row],[PREÇO]]</f>
        <v>0</v>
      </c>
    </row>
    <row r="487" spans="1:16" x14ac:dyDescent="0.2">
      <c r="A487" s="70" t="s">
        <v>2221</v>
      </c>
      <c r="B487" s="71" t="s">
        <v>2218</v>
      </c>
      <c r="C487" s="72" t="s">
        <v>2219</v>
      </c>
      <c r="D487" s="73" t="s">
        <v>873</v>
      </c>
      <c r="E487" s="73" t="s">
        <v>2220</v>
      </c>
      <c r="F487" s="84">
        <v>382.17</v>
      </c>
      <c r="G487" s="73" t="s">
        <v>829</v>
      </c>
      <c r="H487" s="73"/>
      <c r="I487" s="73"/>
      <c r="J487" s="73"/>
      <c r="K487" s="73"/>
      <c r="L487" s="73"/>
      <c r="M487" s="73"/>
      <c r="N487" s="73"/>
      <c r="O487" s="75">
        <f>SUM(TABELA23[[#This Row],[T1]:[T7]])</f>
        <v>0</v>
      </c>
      <c r="P487" s="76">
        <f>TABELA23[[#This Row],[QTDE]]*TABELA23[[#This Row],[PREÇO]]</f>
        <v>0</v>
      </c>
    </row>
    <row r="488" spans="1:16" x14ac:dyDescent="0.2">
      <c r="A488" s="70" t="s">
        <v>2222</v>
      </c>
      <c r="B488" s="71" t="s">
        <v>2223</v>
      </c>
      <c r="C488" s="72" t="s">
        <v>2224</v>
      </c>
      <c r="D488" s="73" t="s">
        <v>32</v>
      </c>
      <c r="E488" s="73" t="s">
        <v>33</v>
      </c>
      <c r="F488" s="84">
        <v>51.74</v>
      </c>
      <c r="G488" s="73" t="s">
        <v>826</v>
      </c>
      <c r="H488" s="73"/>
      <c r="I488" s="73"/>
      <c r="J488" s="73"/>
      <c r="K488" s="73"/>
      <c r="L488" s="73"/>
      <c r="M488" s="73"/>
      <c r="N488" s="73"/>
      <c r="O488" s="75">
        <f>SUM(TABELA23[[#This Row],[T1]:[T7]])</f>
        <v>0</v>
      </c>
      <c r="P488" s="76">
        <f>TABELA23[[#This Row],[QTDE]]*TABELA23[[#This Row],[PREÇO]]</f>
        <v>0</v>
      </c>
    </row>
    <row r="489" spans="1:16" x14ac:dyDescent="0.2">
      <c r="A489" s="70" t="s">
        <v>2225</v>
      </c>
      <c r="B489" s="71" t="s">
        <v>2223</v>
      </c>
      <c r="C489" s="72" t="s">
        <v>2224</v>
      </c>
      <c r="D489" s="73" t="s">
        <v>819</v>
      </c>
      <c r="E489" s="73" t="s">
        <v>73</v>
      </c>
      <c r="F489" s="84">
        <v>51.74</v>
      </c>
      <c r="G489" s="73" t="s">
        <v>826</v>
      </c>
      <c r="H489" s="73"/>
      <c r="I489" s="73"/>
      <c r="J489" s="73"/>
      <c r="K489" s="73"/>
      <c r="L489" s="73"/>
      <c r="M489" s="73"/>
      <c r="N489" s="73"/>
      <c r="O489" s="75">
        <f>SUM(TABELA23[[#This Row],[T1]:[T7]])</f>
        <v>0</v>
      </c>
      <c r="P489" s="76">
        <f>TABELA23[[#This Row],[QTDE]]*TABELA23[[#This Row],[PREÇO]]</f>
        <v>0</v>
      </c>
    </row>
    <row r="490" spans="1:16" x14ac:dyDescent="0.2">
      <c r="A490" s="70" t="s">
        <v>2226</v>
      </c>
      <c r="B490" s="71" t="s">
        <v>2227</v>
      </c>
      <c r="C490" s="72" t="s">
        <v>2228</v>
      </c>
      <c r="D490" s="73" t="s">
        <v>32</v>
      </c>
      <c r="E490" s="73" t="s">
        <v>33</v>
      </c>
      <c r="F490" s="84">
        <v>173.48</v>
      </c>
      <c r="G490" s="73" t="s">
        <v>826</v>
      </c>
      <c r="H490" s="73"/>
      <c r="I490" s="73"/>
      <c r="J490" s="73"/>
      <c r="K490" s="73"/>
      <c r="L490" s="73"/>
      <c r="M490" s="73"/>
      <c r="N490" s="73"/>
      <c r="O490" s="75">
        <f>SUM(TABELA23[[#This Row],[T1]:[T7]])</f>
        <v>0</v>
      </c>
      <c r="P490" s="76">
        <f>TABELA23[[#This Row],[QTDE]]*TABELA23[[#This Row],[PREÇO]]</f>
        <v>0</v>
      </c>
    </row>
    <row r="491" spans="1:16" x14ac:dyDescent="0.2">
      <c r="A491" s="70" t="s">
        <v>2229</v>
      </c>
      <c r="B491" s="71" t="s">
        <v>2227</v>
      </c>
      <c r="C491" s="72" t="s">
        <v>2228</v>
      </c>
      <c r="D491" s="73" t="s">
        <v>1317</v>
      </c>
      <c r="E491" s="73" t="s">
        <v>1571</v>
      </c>
      <c r="F491" s="84">
        <v>173.48</v>
      </c>
      <c r="G491" s="73" t="s">
        <v>826</v>
      </c>
      <c r="H491" s="73"/>
      <c r="I491" s="73"/>
      <c r="J491" s="73"/>
      <c r="K491" s="73"/>
      <c r="L491" s="73"/>
      <c r="M491" s="73"/>
      <c r="N491" s="73"/>
      <c r="O491" s="75">
        <f>SUM(TABELA23[[#This Row],[T1]:[T7]])</f>
        <v>0</v>
      </c>
      <c r="P491" s="76">
        <f>TABELA23[[#This Row],[QTDE]]*TABELA23[[#This Row],[PREÇO]]</f>
        <v>0</v>
      </c>
    </row>
    <row r="492" spans="1:16" x14ac:dyDescent="0.2">
      <c r="A492" s="70" t="s">
        <v>2230</v>
      </c>
      <c r="B492" s="71" t="s">
        <v>2231</v>
      </c>
      <c r="C492" s="72" t="s">
        <v>1314</v>
      </c>
      <c r="D492" s="73" t="s">
        <v>830</v>
      </c>
      <c r="E492" s="73" t="s">
        <v>2316</v>
      </c>
      <c r="F492" s="84">
        <v>103.91</v>
      </c>
      <c r="G492" s="73" t="s">
        <v>826</v>
      </c>
      <c r="H492" s="73"/>
      <c r="I492" s="73"/>
      <c r="J492" s="73"/>
      <c r="K492" s="73"/>
      <c r="L492" s="73"/>
      <c r="M492" s="73"/>
      <c r="N492" s="73"/>
      <c r="O492" s="75">
        <f>SUM(TABELA23[[#This Row],[T1]:[T7]])</f>
        <v>0</v>
      </c>
      <c r="P492" s="76">
        <f>TABELA23[[#This Row],[QTDE]]*TABELA23[[#This Row],[PREÇO]]</f>
        <v>0</v>
      </c>
    </row>
    <row r="493" spans="1:16" x14ac:dyDescent="0.2">
      <c r="A493" s="70" t="s">
        <v>2232</v>
      </c>
      <c r="B493" s="71" t="s">
        <v>2231</v>
      </c>
      <c r="C493" s="72" t="s">
        <v>1314</v>
      </c>
      <c r="D493" s="73" t="s">
        <v>929</v>
      </c>
      <c r="E493" s="73" t="s">
        <v>931</v>
      </c>
      <c r="F493" s="84">
        <v>103.91</v>
      </c>
      <c r="G493" s="73" t="s">
        <v>826</v>
      </c>
      <c r="H493" s="73"/>
      <c r="I493" s="73"/>
      <c r="J493" s="73"/>
      <c r="K493" s="73"/>
      <c r="L493" s="73"/>
      <c r="M493" s="73"/>
      <c r="N493" s="73"/>
      <c r="O493" s="75">
        <f>SUM(TABELA23[[#This Row],[T1]:[T7]])</f>
        <v>0</v>
      </c>
      <c r="P493" s="76">
        <f>TABELA23[[#This Row],[QTDE]]*TABELA23[[#This Row],[PREÇO]]</f>
        <v>0</v>
      </c>
    </row>
    <row r="494" spans="1:16" x14ac:dyDescent="0.2">
      <c r="A494" s="70" t="s">
        <v>2233</v>
      </c>
      <c r="B494" s="71" t="s">
        <v>2234</v>
      </c>
      <c r="C494" s="72" t="s">
        <v>1311</v>
      </c>
      <c r="D494" s="73" t="s">
        <v>32</v>
      </c>
      <c r="E494" s="73" t="s">
        <v>33</v>
      </c>
      <c r="F494" s="84">
        <v>160.43</v>
      </c>
      <c r="G494" s="73" t="s">
        <v>826</v>
      </c>
      <c r="H494" s="73"/>
      <c r="I494" s="73"/>
      <c r="J494" s="73"/>
      <c r="K494" s="73"/>
      <c r="L494" s="73"/>
      <c r="M494" s="73"/>
      <c r="N494" s="73"/>
      <c r="O494" s="75">
        <f>SUM(TABELA23[[#This Row],[T1]:[T7]])</f>
        <v>0</v>
      </c>
      <c r="P494" s="76">
        <f>TABELA23[[#This Row],[QTDE]]*TABELA23[[#This Row],[PREÇO]]</f>
        <v>0</v>
      </c>
    </row>
    <row r="495" spans="1:16" x14ac:dyDescent="0.2">
      <c r="A495" s="70" t="s">
        <v>2235</v>
      </c>
      <c r="B495" s="71" t="s">
        <v>2234</v>
      </c>
      <c r="C495" s="72" t="s">
        <v>1311</v>
      </c>
      <c r="D495" s="73" t="s">
        <v>2236</v>
      </c>
      <c r="E495" s="73" t="s">
        <v>2237</v>
      </c>
      <c r="F495" s="84">
        <v>160.43</v>
      </c>
      <c r="G495" s="73" t="s">
        <v>826</v>
      </c>
      <c r="H495" s="73"/>
      <c r="I495" s="73"/>
      <c r="J495" s="73"/>
      <c r="K495" s="73"/>
      <c r="L495" s="73"/>
      <c r="M495" s="73"/>
      <c r="N495" s="73"/>
      <c r="O495" s="75">
        <f>SUM(TABELA23[[#This Row],[T1]:[T7]])</f>
        <v>0</v>
      </c>
      <c r="P495" s="76">
        <f>TABELA23[[#This Row],[QTDE]]*TABELA23[[#This Row],[PREÇO]]</f>
        <v>0</v>
      </c>
    </row>
    <row r="496" spans="1:16" x14ac:dyDescent="0.2">
      <c r="A496" s="70" t="s">
        <v>2238</v>
      </c>
      <c r="B496" s="71" t="s">
        <v>2239</v>
      </c>
      <c r="C496" s="72" t="s">
        <v>1306</v>
      </c>
      <c r="D496" s="73" t="s">
        <v>32</v>
      </c>
      <c r="E496" s="73" t="s">
        <v>33</v>
      </c>
      <c r="F496" s="84">
        <v>143.04</v>
      </c>
      <c r="G496" s="73" t="s">
        <v>826</v>
      </c>
      <c r="H496" s="73"/>
      <c r="I496" s="73"/>
      <c r="J496" s="73"/>
      <c r="K496" s="73"/>
      <c r="L496" s="73"/>
      <c r="M496" s="73"/>
      <c r="N496" s="73"/>
      <c r="O496" s="75">
        <f>SUM(TABELA23[[#This Row],[T1]:[T7]])</f>
        <v>0</v>
      </c>
      <c r="P496" s="76">
        <f>TABELA23[[#This Row],[QTDE]]*TABELA23[[#This Row],[PREÇO]]</f>
        <v>0</v>
      </c>
    </row>
    <row r="497" spans="1:16" x14ac:dyDescent="0.2">
      <c r="A497" s="70" t="s">
        <v>2240</v>
      </c>
      <c r="B497" s="71" t="s">
        <v>2239</v>
      </c>
      <c r="C497" s="72" t="s">
        <v>1306</v>
      </c>
      <c r="D497" s="73" t="s">
        <v>2236</v>
      </c>
      <c r="E497" s="73" t="s">
        <v>2237</v>
      </c>
      <c r="F497" s="84">
        <v>143.04</v>
      </c>
      <c r="G497" s="73" t="s">
        <v>826</v>
      </c>
      <c r="H497" s="73"/>
      <c r="I497" s="73"/>
      <c r="J497" s="73"/>
      <c r="K497" s="73"/>
      <c r="L497" s="73"/>
      <c r="M497" s="73"/>
      <c r="N497" s="73"/>
      <c r="O497" s="75">
        <f>SUM(TABELA23[[#This Row],[T1]:[T7]])</f>
        <v>0</v>
      </c>
      <c r="P497" s="76">
        <f>TABELA23[[#This Row],[QTDE]]*TABELA23[[#This Row],[PREÇO]]</f>
        <v>0</v>
      </c>
    </row>
    <row r="498" spans="1:16" x14ac:dyDescent="0.2">
      <c r="A498" s="70" t="s">
        <v>2241</v>
      </c>
      <c r="B498" s="71" t="s">
        <v>2242</v>
      </c>
      <c r="C498" s="72" t="s">
        <v>2315</v>
      </c>
      <c r="D498" s="73" t="s">
        <v>929</v>
      </c>
      <c r="E498" s="73" t="s">
        <v>931</v>
      </c>
      <c r="F498" s="84">
        <v>130</v>
      </c>
      <c r="G498" s="73" t="s">
        <v>826</v>
      </c>
      <c r="H498" s="73"/>
      <c r="I498" s="73"/>
      <c r="J498" s="73"/>
      <c r="K498" s="73"/>
      <c r="L498" s="73"/>
      <c r="M498" s="73"/>
      <c r="N498" s="73"/>
      <c r="O498" s="75">
        <f>SUM(TABELA23[[#This Row],[T1]:[T7]])</f>
        <v>0</v>
      </c>
      <c r="P498" s="76">
        <f>TABELA23[[#This Row],[QTDE]]*TABELA23[[#This Row],[PREÇO]]</f>
        <v>0</v>
      </c>
    </row>
    <row r="499" spans="1:16" x14ac:dyDescent="0.2">
      <c r="A499" s="70" t="s">
        <v>2243</v>
      </c>
      <c r="B499" s="71" t="s">
        <v>2244</v>
      </c>
      <c r="C499" s="72" t="s">
        <v>2245</v>
      </c>
      <c r="D499" s="73" t="s">
        <v>32</v>
      </c>
      <c r="E499" s="73" t="s">
        <v>33</v>
      </c>
      <c r="F499" s="84">
        <v>103.91</v>
      </c>
      <c r="G499" s="73" t="s">
        <v>826</v>
      </c>
      <c r="H499" s="73"/>
      <c r="I499" s="73"/>
      <c r="J499" s="73"/>
      <c r="K499" s="73"/>
      <c r="L499" s="73"/>
      <c r="M499" s="73"/>
      <c r="N499" s="73"/>
      <c r="O499" s="75">
        <f>SUM(TABELA23[[#This Row],[T1]:[T7]])</f>
        <v>0</v>
      </c>
      <c r="P499" s="76">
        <f>TABELA23[[#This Row],[QTDE]]*TABELA23[[#This Row],[PREÇO]]</f>
        <v>0</v>
      </c>
    </row>
    <row r="500" spans="1:16" x14ac:dyDescent="0.2">
      <c r="A500" s="70" t="s">
        <v>2246</v>
      </c>
      <c r="B500" s="71" t="s">
        <v>2244</v>
      </c>
      <c r="C500" s="72" t="s">
        <v>2245</v>
      </c>
      <c r="D500" s="73" t="s">
        <v>830</v>
      </c>
      <c r="E500" s="73" t="s">
        <v>2316</v>
      </c>
      <c r="F500" s="84">
        <v>103.91</v>
      </c>
      <c r="G500" s="73" t="s">
        <v>826</v>
      </c>
      <c r="H500" s="73"/>
      <c r="I500" s="73"/>
      <c r="J500" s="73"/>
      <c r="K500" s="73"/>
      <c r="L500" s="73"/>
      <c r="M500" s="73"/>
      <c r="N500" s="73"/>
      <c r="O500" s="75">
        <f>SUM(TABELA23[[#This Row],[T1]:[T7]])</f>
        <v>0</v>
      </c>
      <c r="P500" s="76">
        <f>TABELA23[[#This Row],[QTDE]]*TABELA23[[#This Row],[PREÇO]]</f>
        <v>0</v>
      </c>
    </row>
    <row r="501" spans="1:16" x14ac:dyDescent="0.2">
      <c r="A501" s="70" t="s">
        <v>2247</v>
      </c>
      <c r="B501" s="71" t="s">
        <v>2248</v>
      </c>
      <c r="C501" s="72" t="s">
        <v>2249</v>
      </c>
      <c r="D501" s="73" t="s">
        <v>32</v>
      </c>
      <c r="E501" s="73" t="s">
        <v>33</v>
      </c>
      <c r="F501" s="84">
        <v>112.61</v>
      </c>
      <c r="G501" s="73" t="s">
        <v>826</v>
      </c>
      <c r="H501" s="73"/>
      <c r="I501" s="73"/>
      <c r="J501" s="73"/>
      <c r="K501" s="73"/>
      <c r="L501" s="73"/>
      <c r="M501" s="73"/>
      <c r="N501" s="73"/>
      <c r="O501" s="75">
        <f>SUM(TABELA23[[#This Row],[T1]:[T7]])</f>
        <v>0</v>
      </c>
      <c r="P501" s="76">
        <f>TABELA23[[#This Row],[QTDE]]*TABELA23[[#This Row],[PREÇO]]</f>
        <v>0</v>
      </c>
    </row>
    <row r="502" spans="1:16" x14ac:dyDescent="0.2">
      <c r="A502" s="70" t="s">
        <v>2250</v>
      </c>
      <c r="B502" s="71" t="s">
        <v>2251</v>
      </c>
      <c r="C502" s="72" t="s">
        <v>2252</v>
      </c>
      <c r="D502" s="73" t="s">
        <v>32</v>
      </c>
      <c r="E502" s="73" t="s">
        <v>33</v>
      </c>
      <c r="F502" s="84">
        <v>169.13</v>
      </c>
      <c r="G502" s="73" t="s">
        <v>826</v>
      </c>
      <c r="H502" s="73"/>
      <c r="I502" s="73"/>
      <c r="J502" s="73"/>
      <c r="K502" s="73"/>
      <c r="L502" s="73"/>
      <c r="M502" s="73"/>
      <c r="N502" s="73"/>
      <c r="O502" s="75">
        <f>SUM(TABELA23[[#This Row],[T1]:[T7]])</f>
        <v>0</v>
      </c>
      <c r="P502" s="76">
        <f>TABELA23[[#This Row],[QTDE]]*TABELA23[[#This Row],[PREÇO]]</f>
        <v>0</v>
      </c>
    </row>
    <row r="503" spans="1:16" x14ac:dyDescent="0.2">
      <c r="A503" s="70" t="s">
        <v>2255</v>
      </c>
      <c r="B503" s="71" t="s">
        <v>2253</v>
      </c>
      <c r="C503" s="72" t="s">
        <v>2254</v>
      </c>
      <c r="D503" s="73" t="s">
        <v>32</v>
      </c>
      <c r="E503" s="73" t="s">
        <v>33</v>
      </c>
      <c r="F503" s="84">
        <v>238.7</v>
      </c>
      <c r="G503" s="73" t="s">
        <v>829</v>
      </c>
      <c r="H503" s="73"/>
      <c r="I503" s="73"/>
      <c r="J503" s="73"/>
      <c r="K503" s="73"/>
      <c r="L503" s="73"/>
      <c r="M503" s="73"/>
      <c r="N503" s="73"/>
      <c r="O503" s="75">
        <f>SUM(TABELA23[[#This Row],[T1]:[T7]])</f>
        <v>0</v>
      </c>
      <c r="P503" s="76">
        <f>TABELA23[[#This Row],[QTDE]]*TABELA23[[#This Row],[PREÇO]]</f>
        <v>0</v>
      </c>
    </row>
    <row r="504" spans="1:16" x14ac:dyDescent="0.2">
      <c r="A504" s="70" t="s">
        <v>2258</v>
      </c>
      <c r="B504" s="71" t="s">
        <v>2256</v>
      </c>
      <c r="C504" s="72" t="s">
        <v>2257</v>
      </c>
      <c r="D504" s="73" t="s">
        <v>32</v>
      </c>
      <c r="E504" s="73" t="s">
        <v>33</v>
      </c>
      <c r="F504" s="84">
        <v>156.09</v>
      </c>
      <c r="G504" s="73" t="s">
        <v>829</v>
      </c>
      <c r="H504" s="73"/>
      <c r="I504" s="73"/>
      <c r="J504" s="73"/>
      <c r="K504" s="73"/>
      <c r="L504" s="73"/>
      <c r="M504" s="73"/>
      <c r="N504" s="73"/>
      <c r="O504" s="75">
        <f>SUM(TABELA23[[#This Row],[T1]:[T7]])</f>
        <v>0</v>
      </c>
      <c r="P504" s="76">
        <f>TABELA23[[#This Row],[QTDE]]*TABELA23[[#This Row],[PREÇO]]</f>
        <v>0</v>
      </c>
    </row>
    <row r="505" spans="1:16" x14ac:dyDescent="0.2">
      <c r="A505" s="70" t="s">
        <v>2261</v>
      </c>
      <c r="B505" s="71" t="s">
        <v>2259</v>
      </c>
      <c r="C505" s="72" t="s">
        <v>2260</v>
      </c>
      <c r="D505" s="73" t="s">
        <v>32</v>
      </c>
      <c r="E505" s="73" t="s">
        <v>33</v>
      </c>
      <c r="F505" s="84">
        <v>212.61</v>
      </c>
      <c r="G505" s="73" t="s">
        <v>829</v>
      </c>
      <c r="H505" s="73"/>
      <c r="I505" s="73"/>
      <c r="J505" s="73"/>
      <c r="K505" s="73"/>
      <c r="L505" s="73"/>
      <c r="M505" s="73"/>
      <c r="N505" s="73"/>
      <c r="O505" s="75">
        <f>SUM(TABELA23[[#This Row],[T1]:[T7]])</f>
        <v>0</v>
      </c>
      <c r="P505" s="76">
        <f>TABELA23[[#This Row],[QTDE]]*TABELA23[[#This Row],[PREÇO]]</f>
        <v>0</v>
      </c>
    </row>
    <row r="506" spans="1:16" x14ac:dyDescent="0.2">
      <c r="A506" s="70" t="s">
        <v>2262</v>
      </c>
      <c r="B506" s="71" t="s">
        <v>2259</v>
      </c>
      <c r="C506" s="72" t="s">
        <v>2260</v>
      </c>
      <c r="D506" s="73" t="s">
        <v>929</v>
      </c>
      <c r="E506" s="73" t="s">
        <v>931</v>
      </c>
      <c r="F506" s="84">
        <v>212.61</v>
      </c>
      <c r="G506" s="73" t="s">
        <v>829</v>
      </c>
      <c r="H506" s="73"/>
      <c r="I506" s="73"/>
      <c r="J506" s="73"/>
      <c r="K506" s="73"/>
      <c r="L506" s="73"/>
      <c r="M506" s="73"/>
      <c r="N506" s="73"/>
      <c r="O506" s="75">
        <f>SUM(TABELA23[[#This Row],[T1]:[T7]])</f>
        <v>0</v>
      </c>
      <c r="P506" s="76">
        <f>TABELA23[[#This Row],[QTDE]]*TABELA23[[#This Row],[PREÇO]]</f>
        <v>0</v>
      </c>
    </row>
    <row r="507" spans="1:16" x14ac:dyDescent="0.2">
      <c r="A507" s="70" t="s">
        <v>2265</v>
      </c>
      <c r="B507" s="71" t="s">
        <v>2263</v>
      </c>
      <c r="C507" s="72" t="s">
        <v>2264</v>
      </c>
      <c r="D507" s="73" t="s">
        <v>32</v>
      </c>
      <c r="E507" s="73" t="s">
        <v>33</v>
      </c>
      <c r="F507" s="84">
        <v>386.52</v>
      </c>
      <c r="G507" s="73" t="s">
        <v>829</v>
      </c>
      <c r="H507" s="73"/>
      <c r="I507" s="73"/>
      <c r="J507" s="73"/>
      <c r="K507" s="73"/>
      <c r="L507" s="73"/>
      <c r="M507" s="73"/>
      <c r="N507" s="73"/>
      <c r="O507" s="75">
        <f>SUM(TABELA23[[#This Row],[T1]:[T7]])</f>
        <v>0</v>
      </c>
      <c r="P507" s="76">
        <f>TABELA23[[#This Row],[QTDE]]*TABELA23[[#This Row],[PREÇO]]</f>
        <v>0</v>
      </c>
    </row>
    <row r="508" spans="1:16" x14ac:dyDescent="0.2">
      <c r="A508" s="70" t="s">
        <v>2266</v>
      </c>
      <c r="B508" s="71" t="s">
        <v>2267</v>
      </c>
      <c r="C508" s="72" t="s">
        <v>2268</v>
      </c>
      <c r="D508" s="73" t="s">
        <v>824</v>
      </c>
      <c r="E508" s="73" t="s">
        <v>825</v>
      </c>
      <c r="F508" s="84">
        <v>116.96</v>
      </c>
      <c r="G508" s="73" t="s">
        <v>17</v>
      </c>
      <c r="H508" s="73"/>
      <c r="I508" s="73"/>
      <c r="J508" s="73"/>
      <c r="K508" s="73"/>
      <c r="L508" s="73"/>
      <c r="M508" s="73"/>
      <c r="N508" s="73"/>
      <c r="O508" s="75">
        <f>SUM(TABELA23[[#This Row],[T1]:[T7]])</f>
        <v>0</v>
      </c>
      <c r="P508" s="76">
        <f>TABELA23[[#This Row],[QTDE]]*TABELA23[[#This Row],[PREÇO]]</f>
        <v>0</v>
      </c>
    </row>
    <row r="509" spans="1:16" x14ac:dyDescent="0.2">
      <c r="A509" s="70" t="s">
        <v>2269</v>
      </c>
      <c r="B509" s="77" t="s">
        <v>2267</v>
      </c>
      <c r="C509" s="72" t="s">
        <v>2268</v>
      </c>
      <c r="D509" s="73" t="s">
        <v>1354</v>
      </c>
      <c r="E509" s="73" t="s">
        <v>1355</v>
      </c>
      <c r="F509" s="84">
        <v>116.96</v>
      </c>
      <c r="G509" s="73" t="s">
        <v>17</v>
      </c>
      <c r="H509" s="73"/>
      <c r="I509" s="73"/>
      <c r="J509" s="73"/>
      <c r="K509" s="73"/>
      <c r="L509" s="73"/>
      <c r="M509" s="73"/>
      <c r="N509" s="73"/>
      <c r="O509" s="75">
        <f>SUM(TABELA23[[#This Row],[T1]:[T7]])</f>
        <v>0</v>
      </c>
      <c r="P509" s="76">
        <f>TABELA23[[#This Row],[QTDE]]*TABELA23[[#This Row],[PREÇO]]</f>
        <v>0</v>
      </c>
    </row>
    <row r="510" spans="1:16" x14ac:dyDescent="0.2">
      <c r="A510" s="70" t="s">
        <v>2272</v>
      </c>
      <c r="B510" s="71" t="s">
        <v>2270</v>
      </c>
      <c r="C510" s="72" t="s">
        <v>2271</v>
      </c>
      <c r="D510" s="73" t="s">
        <v>824</v>
      </c>
      <c r="E510" s="73" t="s">
        <v>825</v>
      </c>
      <c r="F510" s="84">
        <v>108.26</v>
      </c>
      <c r="G510" s="73" t="s">
        <v>17</v>
      </c>
      <c r="H510" s="73"/>
      <c r="I510" s="73"/>
      <c r="J510" s="73"/>
      <c r="K510" s="73"/>
      <c r="L510" s="73"/>
      <c r="M510" s="73"/>
      <c r="N510" s="73"/>
      <c r="O510" s="75">
        <f>SUM(TABELA23[[#This Row],[T1]:[T7]])</f>
        <v>0</v>
      </c>
      <c r="P510" s="76">
        <f>TABELA23[[#This Row],[QTDE]]*TABELA23[[#This Row],[PREÇO]]</f>
        <v>0</v>
      </c>
    </row>
    <row r="511" spans="1:16" x14ac:dyDescent="0.2">
      <c r="A511" s="70" t="s">
        <v>2273</v>
      </c>
      <c r="B511" s="77" t="s">
        <v>2274</v>
      </c>
      <c r="C511" s="72" t="s">
        <v>2275</v>
      </c>
      <c r="D511" s="73" t="s">
        <v>824</v>
      </c>
      <c r="E511" s="73" t="s">
        <v>825</v>
      </c>
      <c r="F511" s="84">
        <v>151.74</v>
      </c>
      <c r="G511" s="73" t="s">
        <v>17</v>
      </c>
      <c r="H511" s="73"/>
      <c r="I511" s="73"/>
      <c r="J511" s="73"/>
      <c r="K511" s="73"/>
      <c r="L511" s="73"/>
      <c r="M511" s="73"/>
      <c r="N511" s="73"/>
      <c r="O511" s="75">
        <f>SUM(TABELA23[[#This Row],[T1]:[T7]])</f>
        <v>0</v>
      </c>
      <c r="P511" s="76">
        <f>TABELA23[[#This Row],[QTDE]]*TABELA23[[#This Row],[PREÇO]]</f>
        <v>0</v>
      </c>
    </row>
    <row r="512" spans="1:16" x14ac:dyDescent="0.2">
      <c r="A512" s="70" t="s">
        <v>2276</v>
      </c>
      <c r="B512" s="77" t="s">
        <v>2277</v>
      </c>
      <c r="C512" s="72" t="s">
        <v>2278</v>
      </c>
      <c r="D512" s="73" t="s">
        <v>1522</v>
      </c>
      <c r="E512" s="73" t="s">
        <v>1524</v>
      </c>
      <c r="F512" s="84">
        <v>190.87</v>
      </c>
      <c r="G512" s="73" t="s">
        <v>826</v>
      </c>
      <c r="H512" s="73"/>
      <c r="I512" s="73"/>
      <c r="J512" s="73"/>
      <c r="K512" s="73"/>
      <c r="L512" s="73"/>
      <c r="M512" s="73"/>
      <c r="N512" s="73"/>
      <c r="O512" s="75">
        <f>SUM(TABELA23[[#This Row],[T1]:[T7]])</f>
        <v>0</v>
      </c>
      <c r="P512" s="76">
        <f>TABELA23[[#This Row],[QTDE]]*TABELA23[[#This Row],[PREÇO]]</f>
        <v>0</v>
      </c>
    </row>
    <row r="513" spans="1:16" x14ac:dyDescent="0.2">
      <c r="A513" s="70" t="s">
        <v>2279</v>
      </c>
      <c r="B513" s="77" t="s">
        <v>2280</v>
      </c>
      <c r="C513" s="72" t="s">
        <v>2281</v>
      </c>
      <c r="D513" s="73" t="s">
        <v>32</v>
      </c>
      <c r="E513" s="73" t="s">
        <v>33</v>
      </c>
      <c r="F513" s="84">
        <v>203.91</v>
      </c>
      <c r="G513" s="73" t="s">
        <v>826</v>
      </c>
      <c r="H513" s="73"/>
      <c r="I513" s="73"/>
      <c r="J513" s="73"/>
      <c r="K513" s="73"/>
      <c r="L513" s="73"/>
      <c r="M513" s="73"/>
      <c r="N513" s="73"/>
      <c r="O513" s="75">
        <f>SUM(TABELA23[[#This Row],[T1]:[T7]])</f>
        <v>0</v>
      </c>
      <c r="P513" s="76">
        <f>TABELA23[[#This Row],[QTDE]]*TABELA23[[#This Row],[PREÇO]]</f>
        <v>0</v>
      </c>
    </row>
    <row r="514" spans="1:16" x14ac:dyDescent="0.2">
      <c r="A514" s="70" t="s">
        <v>2284</v>
      </c>
      <c r="B514" s="77" t="s">
        <v>2282</v>
      </c>
      <c r="C514" s="72" t="s">
        <v>2283</v>
      </c>
      <c r="D514" s="73" t="s">
        <v>830</v>
      </c>
      <c r="E514" s="73" t="s">
        <v>43</v>
      </c>
      <c r="F514" s="84">
        <v>86.52</v>
      </c>
      <c r="G514" s="73" t="s">
        <v>17</v>
      </c>
      <c r="H514" s="73"/>
      <c r="I514" s="73"/>
      <c r="J514" s="73"/>
      <c r="K514" s="73"/>
      <c r="L514" s="73"/>
      <c r="M514" s="73"/>
      <c r="N514" s="73"/>
      <c r="O514" s="75">
        <f>SUM(TABELA23[[#This Row],[T1]:[T7]])</f>
        <v>0</v>
      </c>
      <c r="P514" s="76">
        <f>TABELA23[[#This Row],[QTDE]]*TABELA23[[#This Row],[PREÇO]]</f>
        <v>0</v>
      </c>
    </row>
    <row r="515" spans="1:16" x14ac:dyDescent="0.2">
      <c r="A515" s="70" t="s">
        <v>2287</v>
      </c>
      <c r="B515" s="77" t="s">
        <v>2285</v>
      </c>
      <c r="C515" s="72" t="s">
        <v>2286</v>
      </c>
      <c r="D515" s="73" t="s">
        <v>830</v>
      </c>
      <c r="E515" s="73" t="s">
        <v>43</v>
      </c>
      <c r="F515" s="84">
        <v>73.48</v>
      </c>
      <c r="G515" s="73" t="s">
        <v>17</v>
      </c>
      <c r="H515" s="73"/>
      <c r="I515" s="73"/>
      <c r="J515" s="73"/>
      <c r="K515" s="73"/>
      <c r="L515" s="73"/>
      <c r="M515" s="73"/>
      <c r="N515" s="73"/>
      <c r="O515" s="75">
        <f>SUM(TABELA23[[#This Row],[T1]:[T7]])</f>
        <v>0</v>
      </c>
      <c r="P515" s="76">
        <f>TABELA23[[#This Row],[QTDE]]*TABELA23[[#This Row],[PREÇO]]</f>
        <v>0</v>
      </c>
    </row>
    <row r="516" spans="1:16" x14ac:dyDescent="0.2">
      <c r="A516" s="70" t="s">
        <v>2288</v>
      </c>
      <c r="B516" s="77" t="s">
        <v>2289</v>
      </c>
      <c r="C516" s="72" t="s">
        <v>2290</v>
      </c>
      <c r="D516" s="73" t="s">
        <v>824</v>
      </c>
      <c r="E516" s="73" t="s">
        <v>825</v>
      </c>
      <c r="F516" s="84">
        <v>51.74</v>
      </c>
      <c r="G516" s="73" t="s">
        <v>17</v>
      </c>
      <c r="H516" s="73"/>
      <c r="I516" s="73"/>
      <c r="J516" s="73"/>
      <c r="K516" s="73"/>
      <c r="L516" s="73"/>
      <c r="M516" s="73"/>
      <c r="N516" s="73"/>
      <c r="O516" s="75">
        <f>SUM(TABELA23[[#This Row],[T1]:[T7]])</f>
        <v>0</v>
      </c>
      <c r="P516" s="76">
        <f>TABELA23[[#This Row],[QTDE]]*TABELA23[[#This Row],[PREÇO]]</f>
        <v>0</v>
      </c>
    </row>
    <row r="517" spans="1:16" x14ac:dyDescent="0.2">
      <c r="A517" s="70" t="s">
        <v>2293</v>
      </c>
      <c r="B517" s="77" t="s">
        <v>2291</v>
      </c>
      <c r="C517" s="72" t="s">
        <v>2292</v>
      </c>
      <c r="D517" s="73" t="s">
        <v>824</v>
      </c>
      <c r="E517" s="73" t="s">
        <v>825</v>
      </c>
      <c r="F517" s="84">
        <v>73.48</v>
      </c>
      <c r="G517" s="73" t="s">
        <v>17</v>
      </c>
      <c r="H517" s="73"/>
      <c r="I517" s="73"/>
      <c r="J517" s="73"/>
      <c r="K517" s="73"/>
      <c r="L517" s="73"/>
      <c r="M517" s="73"/>
      <c r="N517" s="73"/>
      <c r="O517" s="75">
        <f>SUM(TABELA23[[#This Row],[T1]:[T7]])</f>
        <v>0</v>
      </c>
      <c r="P517" s="76">
        <f>TABELA23[[#This Row],[QTDE]]*TABELA23[[#This Row],[PREÇO]]</f>
        <v>0</v>
      </c>
    </row>
    <row r="518" spans="1:16" x14ac:dyDescent="0.2">
      <c r="A518" s="70" t="s">
        <v>2294</v>
      </c>
      <c r="B518" s="77" t="s">
        <v>2295</v>
      </c>
      <c r="C518" s="72" t="s">
        <v>2296</v>
      </c>
      <c r="D518" s="73" t="s">
        <v>824</v>
      </c>
      <c r="E518" s="73" t="s">
        <v>825</v>
      </c>
      <c r="F518" s="84">
        <v>77.83</v>
      </c>
      <c r="G518" s="73" t="s">
        <v>17</v>
      </c>
      <c r="H518" s="73"/>
      <c r="I518" s="73"/>
      <c r="J518" s="73"/>
      <c r="K518" s="73"/>
      <c r="L518" s="73"/>
      <c r="M518" s="73"/>
      <c r="N518" s="73"/>
      <c r="O518" s="75">
        <f>SUM(TABELA23[[#This Row],[T1]:[T7]])</f>
        <v>0</v>
      </c>
      <c r="P518" s="76">
        <f>TABELA23[[#This Row],[QTDE]]*TABELA23[[#This Row],[PREÇO]]</f>
        <v>0</v>
      </c>
    </row>
    <row r="519" spans="1:16" x14ac:dyDescent="0.2">
      <c r="A519" s="70" t="s">
        <v>2300</v>
      </c>
      <c r="B519" s="77" t="s">
        <v>2298</v>
      </c>
      <c r="C519" s="72" t="s">
        <v>2299</v>
      </c>
      <c r="D519" s="73" t="s">
        <v>2301</v>
      </c>
      <c r="E519" s="73" t="s">
        <v>1475</v>
      </c>
      <c r="F519" s="84">
        <v>47.39</v>
      </c>
      <c r="G519" s="73" t="s">
        <v>17</v>
      </c>
      <c r="H519" s="73"/>
      <c r="I519" s="73"/>
      <c r="J519" s="73"/>
      <c r="K519" s="73"/>
      <c r="L519" s="73"/>
      <c r="M519" s="73"/>
      <c r="N519" s="73"/>
      <c r="O519" s="75">
        <f>SUM(TABELA23[[#This Row],[T1]:[T7]])</f>
        <v>0</v>
      </c>
      <c r="P519" s="76">
        <f>TABELA23[[#This Row],[QTDE]]*TABELA23[[#This Row],[PREÇO]]</f>
        <v>0</v>
      </c>
    </row>
    <row r="520" spans="1:16" x14ac:dyDescent="0.2">
      <c r="A520" s="70" t="s">
        <v>2297</v>
      </c>
      <c r="B520" s="77" t="s">
        <v>2298</v>
      </c>
      <c r="C520" s="72" t="s">
        <v>2299</v>
      </c>
      <c r="D520" s="73" t="s">
        <v>830</v>
      </c>
      <c r="E520" s="73" t="s">
        <v>43</v>
      </c>
      <c r="F520" s="84">
        <v>47.39</v>
      </c>
      <c r="G520" s="73" t="s">
        <v>17</v>
      </c>
      <c r="H520" s="73"/>
      <c r="I520" s="73"/>
      <c r="J520" s="73"/>
      <c r="K520" s="73"/>
      <c r="L520" s="73"/>
      <c r="M520" s="73"/>
      <c r="N520" s="73"/>
      <c r="O520" s="75">
        <f>SUM(TABELA23[[#This Row],[T1]:[T7]])</f>
        <v>0</v>
      </c>
      <c r="P520" s="76">
        <f>TABELA23[[#This Row],[QTDE]]*TABELA23[[#This Row],[PREÇO]]</f>
        <v>0</v>
      </c>
    </row>
    <row r="521" spans="1:16" x14ac:dyDescent="0.2">
      <c r="A521" s="70" t="s">
        <v>2304</v>
      </c>
      <c r="B521" s="77" t="s">
        <v>2302</v>
      </c>
      <c r="C521" s="72" t="s">
        <v>2303</v>
      </c>
      <c r="D521" s="73" t="s">
        <v>1317</v>
      </c>
      <c r="E521" s="73" t="s">
        <v>1571</v>
      </c>
      <c r="F521" s="84">
        <v>303.91000000000003</v>
      </c>
      <c r="G521" s="73" t="s">
        <v>827</v>
      </c>
      <c r="H521" s="73"/>
      <c r="I521" s="73"/>
      <c r="J521" s="73"/>
      <c r="K521" s="73"/>
      <c r="L521" s="73"/>
      <c r="M521" s="73"/>
      <c r="N521" s="73"/>
      <c r="O521" s="75">
        <f>SUM(TABELA23[[#This Row],[T1]:[T7]])</f>
        <v>0</v>
      </c>
      <c r="P521" s="76">
        <f>TABELA23[[#This Row],[QTDE]]*TABELA23[[#This Row],[PREÇO]]</f>
        <v>0</v>
      </c>
    </row>
    <row r="522" spans="1:16" x14ac:dyDescent="0.2">
      <c r="A522" s="70" t="s">
        <v>2306</v>
      </c>
      <c r="B522" s="77" t="s">
        <v>2305</v>
      </c>
      <c r="C522" s="72" t="s">
        <v>1408</v>
      </c>
      <c r="D522" s="73" t="s">
        <v>32</v>
      </c>
      <c r="E522" s="73" t="s">
        <v>33</v>
      </c>
      <c r="F522" s="84">
        <v>199.57</v>
      </c>
      <c r="G522" s="73" t="s">
        <v>829</v>
      </c>
      <c r="H522" s="73"/>
      <c r="I522" s="73"/>
      <c r="J522" s="73"/>
      <c r="K522" s="73"/>
      <c r="L522" s="73"/>
      <c r="M522" s="73"/>
      <c r="N522" s="73"/>
      <c r="O522" s="75">
        <f>SUM(TABELA23[[#This Row],[T1]:[T7]])</f>
        <v>0</v>
      </c>
      <c r="P522" s="76">
        <f>TABELA23[[#This Row],[QTDE]]*TABELA23[[#This Row],[PREÇO]]</f>
        <v>0</v>
      </c>
    </row>
    <row r="523" spans="1:16" x14ac:dyDescent="0.2">
      <c r="A523" s="70" t="s">
        <v>2307</v>
      </c>
      <c r="B523" s="77" t="s">
        <v>2305</v>
      </c>
      <c r="C523" s="72" t="s">
        <v>1408</v>
      </c>
      <c r="D523" s="73" t="s">
        <v>1514</v>
      </c>
      <c r="E523" s="73" t="s">
        <v>1516</v>
      </c>
      <c r="F523" s="84">
        <v>199.57</v>
      </c>
      <c r="G523" s="73" t="s">
        <v>829</v>
      </c>
      <c r="H523" s="73"/>
      <c r="I523" s="73"/>
      <c r="J523" s="73"/>
      <c r="K523" s="73"/>
      <c r="L523" s="73"/>
      <c r="M523" s="73"/>
      <c r="N523" s="73"/>
      <c r="O523" s="75">
        <f>SUM(TABELA23[[#This Row],[T1]:[T7]])</f>
        <v>0</v>
      </c>
      <c r="P523" s="76">
        <f>TABELA23[[#This Row],[QTDE]]*TABELA23[[#This Row],[PREÇO]]</f>
        <v>0</v>
      </c>
    </row>
    <row r="524" spans="1:16" x14ac:dyDescent="0.2">
      <c r="A524" s="70" t="s">
        <v>1680</v>
      </c>
      <c r="B524" s="77" t="s">
        <v>1678</v>
      </c>
      <c r="C524" s="72" t="s">
        <v>1679</v>
      </c>
      <c r="D524" s="73" t="s">
        <v>1604</v>
      </c>
      <c r="E524" s="73" t="s">
        <v>1175</v>
      </c>
      <c r="F524" s="84">
        <v>195.22</v>
      </c>
      <c r="G524" s="73" t="s">
        <v>826</v>
      </c>
      <c r="H524" s="73"/>
      <c r="I524" s="73"/>
      <c r="J524" s="73"/>
      <c r="K524" s="73"/>
      <c r="L524" s="73"/>
      <c r="M524" s="73"/>
      <c r="N524" s="73"/>
      <c r="O524" s="75">
        <f>SUM(TABELA23[[#This Row],[T1]:[T7]])</f>
        <v>0</v>
      </c>
      <c r="P524" s="76">
        <f>TABELA23[[#This Row],[QTDE]]*TABELA23[[#This Row],[PREÇO]]</f>
        <v>0</v>
      </c>
    </row>
    <row r="525" spans="1:16" x14ac:dyDescent="0.2">
      <c r="A525" s="70" t="s">
        <v>1674</v>
      </c>
      <c r="B525" s="77" t="s">
        <v>1671</v>
      </c>
      <c r="C525" s="72" t="s">
        <v>1672</v>
      </c>
      <c r="D525" s="73" t="s">
        <v>1184</v>
      </c>
      <c r="E525" s="73" t="s">
        <v>1469</v>
      </c>
      <c r="F525" s="84">
        <v>169.13</v>
      </c>
      <c r="G525" s="73" t="s">
        <v>826</v>
      </c>
      <c r="H525" s="73"/>
      <c r="I525" s="73"/>
      <c r="J525" s="73"/>
      <c r="K525" s="73"/>
      <c r="L525" s="73"/>
      <c r="M525" s="73"/>
      <c r="N525" s="73"/>
      <c r="O525" s="75">
        <f>SUM(TABELA23[[#This Row],[T1]:[T7]])</f>
        <v>0</v>
      </c>
      <c r="P525" s="76">
        <f>TABELA23[[#This Row],[QTDE]]*TABELA23[[#This Row],[PREÇO]]</f>
        <v>0</v>
      </c>
    </row>
    <row r="526" spans="1:16" x14ac:dyDescent="0.2">
      <c r="A526" s="70" t="s">
        <v>1689</v>
      </c>
      <c r="B526" s="77" t="s">
        <v>1686</v>
      </c>
      <c r="C526" s="72" t="s">
        <v>1687</v>
      </c>
      <c r="D526" s="73" t="s">
        <v>821</v>
      </c>
      <c r="E526" s="73" t="s">
        <v>822</v>
      </c>
      <c r="F526" s="84">
        <v>143.04</v>
      </c>
      <c r="G526" s="73" t="s">
        <v>826</v>
      </c>
      <c r="H526" s="73"/>
      <c r="I526" s="73"/>
      <c r="J526" s="73"/>
      <c r="K526" s="73"/>
      <c r="L526" s="73"/>
      <c r="M526" s="73"/>
      <c r="N526" s="73"/>
      <c r="O526" s="75">
        <f>SUM(TABELA23[[#This Row],[T1]:[T7]])</f>
        <v>0</v>
      </c>
      <c r="P526" s="76">
        <f>TABELA23[[#This Row],[QTDE]]*TABELA23[[#This Row],[PREÇO]]</f>
        <v>0</v>
      </c>
    </row>
    <row r="527" spans="1:16" x14ac:dyDescent="0.2">
      <c r="A527" s="70" t="s">
        <v>1556</v>
      </c>
      <c r="B527" s="77" t="s">
        <v>1557</v>
      </c>
      <c r="C527" s="72" t="s">
        <v>1558</v>
      </c>
      <c r="D527" s="73" t="s">
        <v>32</v>
      </c>
      <c r="E527" s="73" t="s">
        <v>33</v>
      </c>
      <c r="F527" s="84">
        <v>216.96</v>
      </c>
      <c r="G527" s="73" t="s">
        <v>826</v>
      </c>
      <c r="H527" s="73"/>
      <c r="I527" s="73"/>
      <c r="J527" s="73"/>
      <c r="K527" s="73"/>
      <c r="L527" s="73"/>
      <c r="M527" s="73"/>
      <c r="N527" s="73"/>
      <c r="O527" s="75">
        <f>SUM(TABELA23[[#This Row],[T1]:[T7]])</f>
        <v>0</v>
      </c>
      <c r="P527" s="76">
        <f>TABELA23[[#This Row],[QTDE]]*TABELA23[[#This Row],[PREÇO]]</f>
        <v>0</v>
      </c>
    </row>
    <row r="528" spans="1:16" x14ac:dyDescent="0.2">
      <c r="A528" s="70" t="s">
        <v>1466</v>
      </c>
      <c r="B528" s="77" t="s">
        <v>1464</v>
      </c>
      <c r="C528" s="72" t="s">
        <v>1465</v>
      </c>
      <c r="D528" s="73" t="s">
        <v>1417</v>
      </c>
      <c r="E528" s="73" t="s">
        <v>1419</v>
      </c>
      <c r="F528" s="84">
        <v>216.96</v>
      </c>
      <c r="G528" s="73" t="s">
        <v>828</v>
      </c>
      <c r="H528" s="73"/>
      <c r="I528" s="73"/>
      <c r="J528" s="73"/>
      <c r="K528" s="73"/>
      <c r="L528" s="73"/>
      <c r="M528" s="73"/>
      <c r="N528" s="73"/>
      <c r="O528" s="75">
        <f>SUM(TABELA23[[#This Row],[T1]:[T7]])</f>
        <v>0</v>
      </c>
      <c r="P528" s="76">
        <f>TABELA23[[#This Row],[QTDE]]*TABELA23[[#This Row],[PREÇO]]</f>
        <v>0</v>
      </c>
    </row>
    <row r="529" spans="1:16" x14ac:dyDescent="0.2">
      <c r="A529" s="78"/>
      <c r="B529" s="72"/>
      <c r="C529" s="73"/>
      <c r="D529" s="73"/>
      <c r="E529" s="90"/>
      <c r="F529" s="84"/>
      <c r="G529" s="73"/>
      <c r="H529" s="73"/>
      <c r="I529" s="73"/>
      <c r="J529" s="73"/>
      <c r="K529" s="73"/>
      <c r="L529" s="73"/>
      <c r="M529" s="73"/>
      <c r="N529" s="73"/>
      <c r="O529" s="75">
        <f>SUM(TABELA23[[#This Row],[T1]:[T7]])</f>
        <v>0</v>
      </c>
      <c r="P529" s="76">
        <f>TABELA23[[#This Row],[QTDE]]*TABELA23[[#This Row],[PREÇO]]</f>
        <v>0</v>
      </c>
    </row>
    <row r="530" spans="1:16" x14ac:dyDescent="0.2">
      <c r="A530" s="78"/>
      <c r="B530" s="72"/>
      <c r="C530" s="73"/>
      <c r="D530" s="73"/>
      <c r="E530" s="85"/>
      <c r="F530" s="84"/>
      <c r="G530" s="73"/>
      <c r="H530" s="73"/>
      <c r="I530" s="73"/>
      <c r="J530" s="73"/>
      <c r="K530" s="73"/>
      <c r="L530" s="73"/>
      <c r="M530" s="73"/>
      <c r="N530" s="73"/>
      <c r="O530" s="75">
        <f>SUM(TABELA23[[#This Row],[T1]:[T7]])</f>
        <v>0</v>
      </c>
      <c r="P530" s="76">
        <f>TABELA23[[#This Row],[QTDE]]*TABELA23[[#This Row],[PREÇO]]</f>
        <v>0</v>
      </c>
    </row>
    <row r="531" spans="1:16" x14ac:dyDescent="0.2">
      <c r="A531" s="78"/>
      <c r="B531" s="72"/>
      <c r="C531" s="73"/>
      <c r="D531" s="73"/>
      <c r="E531" s="85"/>
      <c r="F531" s="84"/>
      <c r="G531" s="73"/>
      <c r="H531" s="73"/>
      <c r="I531" s="73"/>
      <c r="J531" s="73"/>
      <c r="K531" s="73"/>
      <c r="L531" s="73"/>
      <c r="M531" s="73"/>
      <c r="N531" s="73"/>
      <c r="O531" s="75">
        <f>SUM(TABELA23[[#This Row],[T1]:[T7]])</f>
        <v>0</v>
      </c>
      <c r="P531" s="76">
        <f>TABELA23[[#This Row],[QTDE]]*TABELA23[[#This Row],[PREÇO]]</f>
        <v>0</v>
      </c>
    </row>
    <row r="532" spans="1:16" x14ac:dyDescent="0.2">
      <c r="A532" s="78"/>
      <c r="B532" s="72"/>
      <c r="C532" s="73"/>
      <c r="D532" s="73"/>
      <c r="E532" s="85"/>
      <c r="F532" s="84"/>
      <c r="G532" s="73"/>
      <c r="H532" s="73"/>
      <c r="I532" s="73"/>
      <c r="J532" s="73"/>
      <c r="K532" s="73"/>
      <c r="L532" s="73"/>
      <c r="M532" s="73"/>
      <c r="N532" s="73"/>
      <c r="O532" s="75">
        <f>SUM(TABELA23[[#This Row],[T1]:[T7]])</f>
        <v>0</v>
      </c>
      <c r="P532" s="76">
        <f>TABELA23[[#This Row],[QTDE]]*TABELA23[[#This Row],[PREÇO]]</f>
        <v>0</v>
      </c>
    </row>
    <row r="533" spans="1:16" x14ac:dyDescent="0.2">
      <c r="A533" s="78"/>
      <c r="B533" s="72"/>
      <c r="C533" s="73"/>
      <c r="D533" s="73"/>
      <c r="E533" s="85"/>
      <c r="F533" s="84"/>
      <c r="G533" s="73"/>
      <c r="H533" s="73"/>
      <c r="I533" s="73"/>
      <c r="J533" s="73"/>
      <c r="K533" s="73"/>
      <c r="L533" s="73"/>
      <c r="M533" s="73"/>
      <c r="N533" s="73"/>
      <c r="O533" s="75">
        <f>SUM(TABELA23[[#This Row],[T1]:[T7]])</f>
        <v>0</v>
      </c>
      <c r="P533" s="76">
        <f>TABELA23[[#This Row],[QTDE]]*TABELA23[[#This Row],[PREÇO]]</f>
        <v>0</v>
      </c>
    </row>
    <row r="534" spans="1:16" x14ac:dyDescent="0.2">
      <c r="A534" s="78"/>
      <c r="B534" s="72"/>
      <c r="C534" s="73"/>
      <c r="D534" s="73"/>
      <c r="E534" s="85"/>
      <c r="F534" s="84"/>
      <c r="G534" s="73"/>
      <c r="H534" s="73"/>
      <c r="I534" s="73"/>
      <c r="J534" s="73"/>
      <c r="K534" s="73"/>
      <c r="L534" s="73"/>
      <c r="M534" s="73"/>
      <c r="N534" s="73"/>
      <c r="O534" s="75">
        <f>SUM(TABELA23[[#This Row],[T1]:[T7]])</f>
        <v>0</v>
      </c>
      <c r="P534" s="76">
        <f>TABELA23[[#This Row],[QTDE]]*TABELA23[[#This Row],[PREÇO]]</f>
        <v>0</v>
      </c>
    </row>
    <row r="535" spans="1:16" x14ac:dyDescent="0.2">
      <c r="B535" s="79" t="s">
        <v>842</v>
      </c>
      <c r="C535" s="86"/>
      <c r="D535" s="80"/>
      <c r="E535" s="80"/>
      <c r="F535" s="87"/>
      <c r="G535" s="80"/>
      <c r="H535" s="80"/>
      <c r="I535" s="80"/>
      <c r="J535" s="80"/>
      <c r="K535" s="80"/>
      <c r="L535" s="80"/>
      <c r="M535" s="80"/>
      <c r="N535" s="80"/>
      <c r="O535" s="75">
        <f>SUBTOTAL(109,TABELA23[QTDE])</f>
        <v>0</v>
      </c>
      <c r="P535" s="87">
        <f>SUM(P16:P534)</f>
        <v>0</v>
      </c>
    </row>
  </sheetData>
  <mergeCells count="11">
    <mergeCell ref="A10:A14"/>
    <mergeCell ref="O10:O14"/>
    <mergeCell ref="P10:P14"/>
    <mergeCell ref="B2:P2"/>
    <mergeCell ref="B10:B14"/>
    <mergeCell ref="C10:C14"/>
    <mergeCell ref="D10:D14"/>
    <mergeCell ref="E10:E14"/>
    <mergeCell ref="F10:F14"/>
    <mergeCell ref="G10:G14"/>
    <mergeCell ref="H14:N14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3"/>
  <dimension ref="A1:P536"/>
  <sheetViews>
    <sheetView showGridLines="0" workbookViewId="0">
      <selection activeCell="F17" sqref="F17"/>
    </sheetView>
  </sheetViews>
  <sheetFormatPr defaultColWidth="9.140625" defaultRowHeight="12.75" x14ac:dyDescent="0.2"/>
  <cols>
    <col min="1" max="1" width="16.85546875" style="45" customWidth="1"/>
    <col min="2" max="2" width="14.28515625" style="45" customWidth="1"/>
    <col min="3" max="3" width="25.28515625" style="88" customWidth="1"/>
    <col min="4" max="4" width="14.85546875" style="45" customWidth="1"/>
    <col min="5" max="5" width="19.85546875" style="45" customWidth="1"/>
    <col min="6" max="6" width="18.42578125" style="48" customWidth="1"/>
    <col min="7" max="7" width="19.85546875" style="47" customWidth="1"/>
    <col min="8" max="14" width="5" style="45" customWidth="1"/>
    <col min="15" max="15" width="9" style="45" customWidth="1"/>
    <col min="16" max="16" width="13.5703125" style="48" customWidth="1"/>
    <col min="17" max="16384" width="9.140625" style="1"/>
  </cols>
  <sheetData>
    <row r="1" spans="1:16" x14ac:dyDescent="0.2">
      <c r="A1" s="1"/>
      <c r="B1" s="1"/>
      <c r="C1" s="43"/>
      <c r="D1" s="1"/>
      <c r="E1" s="1"/>
      <c r="F1" s="2"/>
      <c r="G1" s="4"/>
      <c r="H1" s="1"/>
      <c r="I1" s="1"/>
      <c r="J1" s="1"/>
      <c r="K1" s="1"/>
      <c r="L1" s="1"/>
      <c r="M1" s="1"/>
      <c r="N1" s="1"/>
      <c r="O1" s="1"/>
      <c r="P1" s="2"/>
    </row>
    <row r="2" spans="1:16" ht="18.75" x14ac:dyDescent="0.3">
      <c r="A2" s="1"/>
      <c r="B2" s="97" t="s">
        <v>844</v>
      </c>
      <c r="C2" s="97"/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</row>
    <row r="3" spans="1:16" x14ac:dyDescent="0.2">
      <c r="A3" s="1"/>
      <c r="B3" s="1"/>
      <c r="C3" s="41"/>
      <c r="D3" s="1"/>
      <c r="E3" s="1"/>
      <c r="F3" s="2"/>
      <c r="G3" s="4"/>
      <c r="H3" s="1"/>
      <c r="I3" s="1"/>
      <c r="J3" s="1"/>
      <c r="K3" s="1"/>
      <c r="L3" s="1"/>
      <c r="M3" s="1"/>
      <c r="N3" s="1"/>
      <c r="O3" s="1"/>
      <c r="P3" s="2"/>
    </row>
    <row r="4" spans="1:16" x14ac:dyDescent="0.2">
      <c r="A4" s="1"/>
      <c r="B4" s="3" t="s">
        <v>21</v>
      </c>
      <c r="C4" s="42"/>
      <c r="D4" s="1"/>
      <c r="E4" s="1"/>
      <c r="F4" s="9"/>
      <c r="G4" s="11"/>
      <c r="H4" s="1"/>
      <c r="I4" s="1"/>
      <c r="J4" s="1"/>
      <c r="K4" s="1"/>
      <c r="L4" s="1"/>
      <c r="M4" s="1"/>
      <c r="N4" s="1"/>
      <c r="O4" s="1"/>
      <c r="P4" s="2"/>
    </row>
    <row r="5" spans="1:16" x14ac:dyDescent="0.2">
      <c r="A5" s="1"/>
      <c r="B5" s="3" t="s">
        <v>22</v>
      </c>
      <c r="C5" s="42"/>
      <c r="D5" s="10" t="s">
        <v>27</v>
      </c>
      <c r="E5" s="8"/>
      <c r="F5" s="6" t="s">
        <v>30</v>
      </c>
      <c r="G5" s="35">
        <f>SUM(TABELA24[VALOR])</f>
        <v>0</v>
      </c>
      <c r="H5" s="1"/>
      <c r="I5" s="1"/>
      <c r="J5" s="1"/>
      <c r="K5" s="1"/>
      <c r="L5" s="1"/>
      <c r="M5" s="1"/>
      <c r="N5" s="1"/>
      <c r="O5" s="1"/>
      <c r="P5" s="2"/>
    </row>
    <row r="6" spans="1:16" ht="15" x14ac:dyDescent="0.25">
      <c r="A6" s="1"/>
      <c r="B6" s="3" t="s">
        <v>23</v>
      </c>
      <c r="C6" s="42"/>
      <c r="D6" s="10" t="s">
        <v>25</v>
      </c>
      <c r="E6" s="8"/>
      <c r="F6" s="6" t="s">
        <v>28</v>
      </c>
      <c r="G6" s="12"/>
      <c r="H6" s="1"/>
      <c r="I6" s="1"/>
      <c r="J6" s="1"/>
      <c r="K6" s="1"/>
      <c r="L6" s="1"/>
      <c r="M6"/>
      <c r="N6" s="1"/>
      <c r="O6" s="1"/>
      <c r="P6" s="2"/>
    </row>
    <row r="7" spans="1:16" x14ac:dyDescent="0.2">
      <c r="A7" s="1"/>
      <c r="B7" s="3" t="s">
        <v>24</v>
      </c>
      <c r="C7" s="42"/>
      <c r="D7" s="10" t="s">
        <v>26</v>
      </c>
      <c r="E7" s="8" t="s">
        <v>6</v>
      </c>
      <c r="F7" s="6" t="s">
        <v>29</v>
      </c>
      <c r="G7" s="12"/>
      <c r="H7" s="1"/>
      <c r="I7" s="1"/>
      <c r="J7" s="1"/>
      <c r="K7" s="1"/>
      <c r="L7" s="1"/>
      <c r="M7" s="1"/>
      <c r="N7" s="1"/>
      <c r="O7" s="1"/>
      <c r="P7" s="2"/>
    </row>
    <row r="8" spans="1:16" x14ac:dyDescent="0.2">
      <c r="A8" s="1"/>
      <c r="B8" s="1"/>
      <c r="C8" s="43"/>
      <c r="D8" s="1"/>
      <c r="E8" s="1"/>
      <c r="F8" s="9"/>
      <c r="G8" s="4"/>
      <c r="H8" s="1"/>
      <c r="I8" s="1"/>
      <c r="J8" s="1"/>
      <c r="K8" s="1"/>
      <c r="L8" s="1"/>
      <c r="M8" s="1"/>
      <c r="N8" s="1"/>
      <c r="O8" s="1"/>
      <c r="P8" s="2"/>
    </row>
    <row r="9" spans="1:16" x14ac:dyDescent="0.2">
      <c r="A9" s="1"/>
      <c r="B9" s="14"/>
      <c r="C9" s="44"/>
      <c r="D9" s="14"/>
      <c r="E9" s="14"/>
      <c r="F9" s="15"/>
      <c r="G9" s="14"/>
      <c r="H9" s="16"/>
      <c r="I9" s="1"/>
      <c r="J9" s="1"/>
      <c r="K9" s="1"/>
      <c r="L9" s="1"/>
      <c r="M9" s="1"/>
      <c r="N9" s="5"/>
      <c r="O9" s="15"/>
      <c r="P9" s="14"/>
    </row>
    <row r="10" spans="1:16" x14ac:dyDescent="0.2">
      <c r="A10" s="98" t="s">
        <v>2322</v>
      </c>
      <c r="B10" s="98" t="s">
        <v>0</v>
      </c>
      <c r="C10" s="95" t="s">
        <v>1</v>
      </c>
      <c r="D10" s="98" t="s">
        <v>2</v>
      </c>
      <c r="E10" s="105" t="s">
        <v>3</v>
      </c>
      <c r="F10" s="100" t="s">
        <v>4</v>
      </c>
      <c r="G10" s="105" t="s">
        <v>5</v>
      </c>
      <c r="H10" s="54" t="s">
        <v>17</v>
      </c>
      <c r="I10" s="55"/>
      <c r="J10" s="55"/>
      <c r="K10" s="55"/>
      <c r="L10" s="55"/>
      <c r="M10" s="55"/>
      <c r="N10" s="56"/>
      <c r="O10" s="98" t="s">
        <v>16</v>
      </c>
      <c r="P10" s="100" t="s">
        <v>15</v>
      </c>
    </row>
    <row r="11" spans="1:16" x14ac:dyDescent="0.2">
      <c r="A11" s="99"/>
      <c r="B11" s="99"/>
      <c r="C11" s="96"/>
      <c r="D11" s="99"/>
      <c r="E11" s="106"/>
      <c r="F11" s="101"/>
      <c r="G11" s="106"/>
      <c r="H11" s="57" t="s">
        <v>813</v>
      </c>
      <c r="I11" s="58" t="s">
        <v>18</v>
      </c>
      <c r="J11" s="58" t="s">
        <v>19</v>
      </c>
      <c r="K11" s="58" t="s">
        <v>20</v>
      </c>
      <c r="L11" s="58" t="s">
        <v>814</v>
      </c>
      <c r="M11" s="58"/>
      <c r="N11" s="59"/>
      <c r="O11" s="99"/>
      <c r="P11" s="101"/>
    </row>
    <row r="12" spans="1:16" x14ac:dyDescent="0.2">
      <c r="A12" s="99" t="s">
        <v>2322</v>
      </c>
      <c r="B12" s="99"/>
      <c r="C12" s="96"/>
      <c r="D12" s="99"/>
      <c r="E12" s="106"/>
      <c r="F12" s="101"/>
      <c r="G12" s="106"/>
      <c r="H12" s="57">
        <v>36</v>
      </c>
      <c r="I12" s="58">
        <v>38</v>
      </c>
      <c r="J12" s="58">
        <v>40</v>
      </c>
      <c r="K12" s="58">
        <v>42</v>
      </c>
      <c r="L12" s="58">
        <v>44</v>
      </c>
      <c r="M12" s="58"/>
      <c r="N12" s="59"/>
      <c r="O12" s="99"/>
      <c r="P12" s="101"/>
    </row>
    <row r="13" spans="1:16" x14ac:dyDescent="0.2">
      <c r="A13" s="99"/>
      <c r="B13" s="99"/>
      <c r="C13" s="96"/>
      <c r="D13" s="99"/>
      <c r="E13" s="106"/>
      <c r="F13" s="101"/>
      <c r="G13" s="106"/>
      <c r="H13" s="60">
        <v>34</v>
      </c>
      <c r="I13" s="61">
        <v>35</v>
      </c>
      <c r="J13" s="61">
        <v>36</v>
      </c>
      <c r="K13" s="61">
        <v>37</v>
      </c>
      <c r="L13" s="61">
        <v>38</v>
      </c>
      <c r="M13" s="61">
        <v>39</v>
      </c>
      <c r="N13" s="62">
        <v>40</v>
      </c>
      <c r="O13" s="99"/>
      <c r="P13" s="101"/>
    </row>
    <row r="14" spans="1:16" ht="12" customHeight="1" x14ac:dyDescent="0.2">
      <c r="A14" s="99"/>
      <c r="B14" s="99"/>
      <c r="C14" s="96"/>
      <c r="D14" s="99"/>
      <c r="E14" s="106"/>
      <c r="F14" s="101"/>
      <c r="G14" s="106"/>
      <c r="H14" s="102" t="s">
        <v>7</v>
      </c>
      <c r="I14" s="103"/>
      <c r="J14" s="103"/>
      <c r="K14" s="103"/>
      <c r="L14" s="103"/>
      <c r="M14" s="103"/>
      <c r="N14" s="104"/>
      <c r="O14" s="99"/>
      <c r="P14" s="101"/>
    </row>
    <row r="15" spans="1:16" s="13" customFormat="1" ht="2.25" customHeight="1" x14ac:dyDescent="0.2">
      <c r="A15" s="69"/>
      <c r="B15" s="64" t="s">
        <v>0</v>
      </c>
      <c r="C15" s="83" t="s">
        <v>1</v>
      </c>
      <c r="D15" s="64" t="s">
        <v>2</v>
      </c>
      <c r="E15" s="65" t="s">
        <v>3</v>
      </c>
      <c r="F15" s="66" t="s">
        <v>4</v>
      </c>
      <c r="G15" s="65" t="s">
        <v>5</v>
      </c>
      <c r="H15" s="67" t="s">
        <v>8</v>
      </c>
      <c r="I15" s="65" t="s">
        <v>9</v>
      </c>
      <c r="J15" s="65" t="s">
        <v>10</v>
      </c>
      <c r="K15" s="65" t="s">
        <v>11</v>
      </c>
      <c r="L15" s="65" t="s">
        <v>12</v>
      </c>
      <c r="M15" s="65" t="s">
        <v>13</v>
      </c>
      <c r="N15" s="68" t="s">
        <v>14</v>
      </c>
      <c r="O15" s="65" t="s">
        <v>16</v>
      </c>
      <c r="P15" s="66" t="s">
        <v>15</v>
      </c>
    </row>
    <row r="16" spans="1:16" x14ac:dyDescent="0.2">
      <c r="A16" s="70" t="s">
        <v>849</v>
      </c>
      <c r="B16" s="71" t="s">
        <v>845</v>
      </c>
      <c r="C16" s="72" t="s">
        <v>847</v>
      </c>
      <c r="D16" s="73" t="s">
        <v>846</v>
      </c>
      <c r="E16" s="72" t="s">
        <v>848</v>
      </c>
      <c r="F16" s="84">
        <v>120.42</v>
      </c>
      <c r="G16" s="73" t="s">
        <v>829</v>
      </c>
      <c r="H16" s="75"/>
      <c r="I16" s="75"/>
      <c r="J16" s="75"/>
      <c r="K16" s="75"/>
      <c r="L16" s="75"/>
      <c r="M16" s="75"/>
      <c r="N16" s="75"/>
      <c r="O16" s="75">
        <f>SUM(TABELA24[[#This Row],[T1]:[T7]])</f>
        <v>0</v>
      </c>
      <c r="P16" s="76">
        <f>TABELA24[[#This Row],[QTDE]]*TABELA24[[#This Row],[PREÇO]]</f>
        <v>0</v>
      </c>
    </row>
    <row r="17" spans="1:16" x14ac:dyDescent="0.2">
      <c r="A17" s="70" t="s">
        <v>854</v>
      </c>
      <c r="B17" s="71" t="s">
        <v>850</v>
      </c>
      <c r="C17" s="72" t="s">
        <v>852</v>
      </c>
      <c r="D17" s="73" t="s">
        <v>851</v>
      </c>
      <c r="E17" s="72" t="s">
        <v>853</v>
      </c>
      <c r="F17" s="84">
        <v>228.75</v>
      </c>
      <c r="G17" s="73" t="s">
        <v>829</v>
      </c>
      <c r="H17" s="75"/>
      <c r="I17" s="75"/>
      <c r="J17" s="75"/>
      <c r="K17" s="75"/>
      <c r="L17" s="75"/>
      <c r="M17" s="75"/>
      <c r="N17" s="75"/>
      <c r="O17" s="75">
        <f>SUM(TABELA24[[#This Row],[T1]:[T7]])</f>
        <v>0</v>
      </c>
      <c r="P17" s="76">
        <f>TABELA24[[#This Row],[QTDE]]*TABELA24[[#This Row],[PREÇO]]</f>
        <v>0</v>
      </c>
    </row>
    <row r="18" spans="1:16" x14ac:dyDescent="0.2">
      <c r="A18" s="70" t="s">
        <v>857</v>
      </c>
      <c r="B18" s="71" t="s">
        <v>855</v>
      </c>
      <c r="C18" s="72" t="s">
        <v>856</v>
      </c>
      <c r="D18" s="73" t="s">
        <v>823</v>
      </c>
      <c r="E18" s="72" t="s">
        <v>820</v>
      </c>
      <c r="F18" s="84">
        <v>145.41999999999999</v>
      </c>
      <c r="G18" s="73" t="s">
        <v>828</v>
      </c>
      <c r="H18" s="75"/>
      <c r="I18" s="75"/>
      <c r="J18" s="75"/>
      <c r="K18" s="75"/>
      <c r="L18" s="75"/>
      <c r="M18" s="75"/>
      <c r="N18" s="75"/>
      <c r="O18" s="75">
        <f>SUM(TABELA24[[#This Row],[T1]:[T7]])</f>
        <v>0</v>
      </c>
      <c r="P18" s="76">
        <f>TABELA24[[#This Row],[QTDE]]*TABELA24[[#This Row],[PREÇO]]</f>
        <v>0</v>
      </c>
    </row>
    <row r="19" spans="1:16" x14ac:dyDescent="0.2">
      <c r="A19" s="70" t="s">
        <v>858</v>
      </c>
      <c r="B19" s="71" t="s">
        <v>859</v>
      </c>
      <c r="C19" s="72" t="s">
        <v>2308</v>
      </c>
      <c r="D19" s="73" t="s">
        <v>823</v>
      </c>
      <c r="E19" s="72" t="s">
        <v>820</v>
      </c>
      <c r="F19" s="84">
        <v>245.42</v>
      </c>
      <c r="G19" s="73" t="s">
        <v>826</v>
      </c>
      <c r="H19" s="75"/>
      <c r="I19" s="75"/>
      <c r="J19" s="75"/>
      <c r="K19" s="75"/>
      <c r="L19" s="75"/>
      <c r="M19" s="75"/>
      <c r="N19" s="75"/>
      <c r="O19" s="75">
        <f>SUM(TABELA24[[#This Row],[T1]:[T7]])</f>
        <v>0</v>
      </c>
      <c r="P19" s="76">
        <f>TABELA24[[#This Row],[QTDE]]*TABELA24[[#This Row],[PREÇO]]</f>
        <v>0</v>
      </c>
    </row>
    <row r="20" spans="1:16" x14ac:dyDescent="0.2">
      <c r="A20" s="70" t="s">
        <v>860</v>
      </c>
      <c r="B20" s="71" t="s">
        <v>861</v>
      </c>
      <c r="C20" s="72" t="s">
        <v>862</v>
      </c>
      <c r="D20" s="73" t="s">
        <v>823</v>
      </c>
      <c r="E20" s="72" t="s">
        <v>820</v>
      </c>
      <c r="F20" s="84">
        <v>303.75</v>
      </c>
      <c r="G20" s="73" t="s">
        <v>826</v>
      </c>
      <c r="H20" s="75"/>
      <c r="I20" s="75"/>
      <c r="J20" s="75"/>
      <c r="K20" s="75"/>
      <c r="L20" s="75"/>
      <c r="M20" s="75"/>
      <c r="N20" s="75"/>
      <c r="O20" s="75">
        <f>SUM(TABELA24[[#This Row],[T1]:[T7]])</f>
        <v>0</v>
      </c>
      <c r="P20" s="76">
        <f>TABELA24[[#This Row],[QTDE]]*TABELA24[[#This Row],[PREÇO]]</f>
        <v>0</v>
      </c>
    </row>
    <row r="21" spans="1:16" x14ac:dyDescent="0.2">
      <c r="A21" s="70" t="s">
        <v>867</v>
      </c>
      <c r="B21" s="71" t="s">
        <v>863</v>
      </c>
      <c r="C21" s="72" t="s">
        <v>865</v>
      </c>
      <c r="D21" s="73" t="s">
        <v>864</v>
      </c>
      <c r="E21" s="72" t="s">
        <v>866</v>
      </c>
      <c r="F21" s="84">
        <v>249.58</v>
      </c>
      <c r="G21" s="73" t="s">
        <v>829</v>
      </c>
      <c r="H21" s="75"/>
      <c r="I21" s="75"/>
      <c r="J21" s="75"/>
      <c r="K21" s="75"/>
      <c r="L21" s="75"/>
      <c r="M21" s="75"/>
      <c r="N21" s="75"/>
      <c r="O21" s="75">
        <f>SUM(TABELA24[[#This Row],[T1]:[T7]])</f>
        <v>0</v>
      </c>
      <c r="P21" s="76">
        <f>TABELA24[[#This Row],[QTDE]]*TABELA24[[#This Row],[PREÇO]]</f>
        <v>0</v>
      </c>
    </row>
    <row r="22" spans="1:16" x14ac:dyDescent="0.2">
      <c r="A22" s="70" t="s">
        <v>872</v>
      </c>
      <c r="B22" s="71" t="s">
        <v>868</v>
      </c>
      <c r="C22" s="72" t="s">
        <v>870</v>
      </c>
      <c r="D22" s="73" t="s">
        <v>869</v>
      </c>
      <c r="E22" s="72" t="s">
        <v>871</v>
      </c>
      <c r="F22" s="84">
        <v>78.75</v>
      </c>
      <c r="G22" s="73" t="s">
        <v>829</v>
      </c>
      <c r="H22" s="75"/>
      <c r="I22" s="75"/>
      <c r="J22" s="75"/>
      <c r="K22" s="75"/>
      <c r="L22" s="75"/>
      <c r="M22" s="75"/>
      <c r="N22" s="75"/>
      <c r="O22" s="75">
        <f>SUM(TABELA24[[#This Row],[T1]:[T7]])</f>
        <v>0</v>
      </c>
      <c r="P22" s="76">
        <f>TABELA24[[#This Row],[QTDE]]*TABELA24[[#This Row],[PREÇO]]</f>
        <v>0</v>
      </c>
    </row>
    <row r="23" spans="1:16" x14ac:dyDescent="0.2">
      <c r="A23" s="70" t="s">
        <v>876</v>
      </c>
      <c r="B23" s="71" t="s">
        <v>874</v>
      </c>
      <c r="C23" s="72" t="s">
        <v>875</v>
      </c>
      <c r="D23" s="73" t="s">
        <v>821</v>
      </c>
      <c r="E23" s="72" t="s">
        <v>822</v>
      </c>
      <c r="F23" s="84">
        <v>249.58</v>
      </c>
      <c r="G23" s="73" t="s">
        <v>829</v>
      </c>
      <c r="H23" s="75"/>
      <c r="I23" s="75"/>
      <c r="J23" s="75"/>
      <c r="K23" s="75"/>
      <c r="L23" s="75"/>
      <c r="M23" s="75"/>
      <c r="N23" s="75"/>
      <c r="O23" s="75">
        <f>SUM(TABELA24[[#This Row],[T1]:[T7]])</f>
        <v>0</v>
      </c>
      <c r="P23" s="76">
        <f>TABELA24[[#This Row],[QTDE]]*TABELA24[[#This Row],[PREÇO]]</f>
        <v>0</v>
      </c>
    </row>
    <row r="24" spans="1:16" x14ac:dyDescent="0.2">
      <c r="A24" s="70" t="s">
        <v>881</v>
      </c>
      <c r="B24" s="71" t="s">
        <v>877</v>
      </c>
      <c r="C24" s="72" t="s">
        <v>879</v>
      </c>
      <c r="D24" s="73" t="s">
        <v>878</v>
      </c>
      <c r="E24" s="72" t="s">
        <v>880</v>
      </c>
      <c r="F24" s="84">
        <v>116.25</v>
      </c>
      <c r="G24" s="73" t="s">
        <v>829</v>
      </c>
      <c r="H24" s="75"/>
      <c r="I24" s="75"/>
      <c r="J24" s="75"/>
      <c r="K24" s="75"/>
      <c r="L24" s="75"/>
      <c r="M24" s="75"/>
      <c r="N24" s="75"/>
      <c r="O24" s="75">
        <f>SUM(TABELA24[[#This Row],[T1]:[T7]])</f>
        <v>0</v>
      </c>
      <c r="P24" s="76">
        <f>TABELA24[[#This Row],[QTDE]]*TABELA24[[#This Row],[PREÇO]]</f>
        <v>0</v>
      </c>
    </row>
    <row r="25" spans="1:16" x14ac:dyDescent="0.2">
      <c r="A25" s="70" t="s">
        <v>883</v>
      </c>
      <c r="B25" s="71" t="s">
        <v>877</v>
      </c>
      <c r="C25" s="72" t="s">
        <v>879</v>
      </c>
      <c r="D25" s="73" t="s">
        <v>882</v>
      </c>
      <c r="E25" s="72" t="s">
        <v>817</v>
      </c>
      <c r="F25" s="84">
        <v>116.25</v>
      </c>
      <c r="G25" s="73" t="s">
        <v>829</v>
      </c>
      <c r="H25" s="75"/>
      <c r="I25" s="75"/>
      <c r="J25" s="75"/>
      <c r="K25" s="75"/>
      <c r="L25" s="75"/>
      <c r="M25" s="75"/>
      <c r="N25" s="75"/>
      <c r="O25" s="75">
        <f>SUM(TABELA24[[#This Row],[T1]:[T7]])</f>
        <v>0</v>
      </c>
      <c r="P25" s="76">
        <f>TABELA24[[#This Row],[QTDE]]*TABELA24[[#This Row],[PREÇO]]</f>
        <v>0</v>
      </c>
    </row>
    <row r="26" spans="1:16" x14ac:dyDescent="0.2">
      <c r="A26" s="70" t="s">
        <v>886</v>
      </c>
      <c r="B26" s="71" t="s">
        <v>884</v>
      </c>
      <c r="C26" s="72" t="s">
        <v>885</v>
      </c>
      <c r="D26" s="73" t="s">
        <v>882</v>
      </c>
      <c r="E26" s="72" t="s">
        <v>817</v>
      </c>
      <c r="F26" s="84">
        <v>274.58</v>
      </c>
      <c r="G26" s="73" t="s">
        <v>829</v>
      </c>
      <c r="H26" s="75"/>
      <c r="I26" s="75"/>
      <c r="J26" s="75"/>
      <c r="K26" s="75"/>
      <c r="L26" s="75"/>
      <c r="M26" s="75"/>
      <c r="N26" s="75"/>
      <c r="O26" s="75">
        <f>SUM(TABELA24[[#This Row],[T1]:[T7]])</f>
        <v>0</v>
      </c>
      <c r="P26" s="76">
        <f>TABELA24[[#This Row],[QTDE]]*TABELA24[[#This Row],[PREÇO]]</f>
        <v>0</v>
      </c>
    </row>
    <row r="27" spans="1:16" x14ac:dyDescent="0.2">
      <c r="A27" s="70" t="s">
        <v>891</v>
      </c>
      <c r="B27" s="71" t="s">
        <v>887</v>
      </c>
      <c r="C27" s="72" t="s">
        <v>889</v>
      </c>
      <c r="D27" s="73" t="s">
        <v>888</v>
      </c>
      <c r="E27" s="72" t="s">
        <v>890</v>
      </c>
      <c r="F27" s="84">
        <v>249.58</v>
      </c>
      <c r="G27" s="73" t="s">
        <v>829</v>
      </c>
      <c r="H27" s="75"/>
      <c r="I27" s="75"/>
      <c r="J27" s="75"/>
      <c r="K27" s="75"/>
      <c r="L27" s="75"/>
      <c r="M27" s="75"/>
      <c r="N27" s="75"/>
      <c r="O27" s="75">
        <f>SUM(TABELA24[[#This Row],[T1]:[T7]])</f>
        <v>0</v>
      </c>
      <c r="P27" s="76">
        <f>TABELA24[[#This Row],[QTDE]]*TABELA24[[#This Row],[PREÇO]]</f>
        <v>0</v>
      </c>
    </row>
    <row r="28" spans="1:16" x14ac:dyDescent="0.2">
      <c r="A28" s="70" t="s">
        <v>894</v>
      </c>
      <c r="B28" s="71" t="s">
        <v>892</v>
      </c>
      <c r="C28" s="72" t="s">
        <v>893</v>
      </c>
      <c r="D28" s="73" t="s">
        <v>830</v>
      </c>
      <c r="E28" s="72" t="s">
        <v>43</v>
      </c>
      <c r="F28" s="84">
        <v>116.25</v>
      </c>
      <c r="G28" s="73" t="s">
        <v>829</v>
      </c>
      <c r="H28" s="75"/>
      <c r="I28" s="75"/>
      <c r="J28" s="75"/>
      <c r="K28" s="75"/>
      <c r="L28" s="75"/>
      <c r="M28" s="75"/>
      <c r="N28" s="75"/>
      <c r="O28" s="75">
        <f>SUM(TABELA24[[#This Row],[T1]:[T7]])</f>
        <v>0</v>
      </c>
      <c r="P28" s="76">
        <f>TABELA24[[#This Row],[QTDE]]*TABELA24[[#This Row],[PREÇO]]</f>
        <v>0</v>
      </c>
    </row>
    <row r="29" spans="1:16" x14ac:dyDescent="0.2">
      <c r="A29" s="70" t="s">
        <v>897</v>
      </c>
      <c r="B29" s="71" t="s">
        <v>892</v>
      </c>
      <c r="C29" s="72" t="s">
        <v>893</v>
      </c>
      <c r="D29" s="73" t="s">
        <v>895</v>
      </c>
      <c r="E29" s="72" t="s">
        <v>896</v>
      </c>
      <c r="F29" s="84">
        <v>116.25</v>
      </c>
      <c r="G29" s="73" t="s">
        <v>829</v>
      </c>
      <c r="H29" s="75"/>
      <c r="I29" s="75"/>
      <c r="J29" s="75"/>
      <c r="K29" s="75"/>
      <c r="L29" s="75"/>
      <c r="M29" s="75"/>
      <c r="N29" s="75"/>
      <c r="O29" s="75">
        <f>SUM(TABELA24[[#This Row],[T1]:[T7]])</f>
        <v>0</v>
      </c>
      <c r="P29" s="76">
        <f>TABELA24[[#This Row],[QTDE]]*TABELA24[[#This Row],[PREÇO]]</f>
        <v>0</v>
      </c>
    </row>
    <row r="30" spans="1:16" x14ac:dyDescent="0.2">
      <c r="A30" s="70" t="s">
        <v>905</v>
      </c>
      <c r="B30" s="71" t="s">
        <v>901</v>
      </c>
      <c r="C30" s="72" t="s">
        <v>903</v>
      </c>
      <c r="D30" s="73" t="s">
        <v>902</v>
      </c>
      <c r="E30" s="72" t="s">
        <v>904</v>
      </c>
      <c r="F30" s="84">
        <v>178.75</v>
      </c>
      <c r="G30" s="73" t="s">
        <v>829</v>
      </c>
      <c r="H30" s="75"/>
      <c r="I30" s="75"/>
      <c r="J30" s="75"/>
      <c r="K30" s="75"/>
      <c r="L30" s="75"/>
      <c r="M30" s="75"/>
      <c r="N30" s="75"/>
      <c r="O30" s="75">
        <f>SUM(TABELA24[[#This Row],[T1]:[T7]])</f>
        <v>0</v>
      </c>
      <c r="P30" s="76">
        <f>TABELA24[[#This Row],[QTDE]]*TABELA24[[#This Row],[PREÇO]]</f>
        <v>0</v>
      </c>
    </row>
    <row r="31" spans="1:16" x14ac:dyDescent="0.2">
      <c r="A31" s="70" t="s">
        <v>908</v>
      </c>
      <c r="B31" s="71" t="s">
        <v>906</v>
      </c>
      <c r="C31" s="72" t="s">
        <v>907</v>
      </c>
      <c r="D31" s="73" t="s">
        <v>898</v>
      </c>
      <c r="E31" s="72" t="s">
        <v>900</v>
      </c>
      <c r="F31" s="84">
        <v>207.92</v>
      </c>
      <c r="G31" s="73" t="s">
        <v>829</v>
      </c>
      <c r="H31" s="75"/>
      <c r="I31" s="75"/>
      <c r="J31" s="75"/>
      <c r="K31" s="75"/>
      <c r="L31" s="75"/>
      <c r="M31" s="75"/>
      <c r="N31" s="75"/>
      <c r="O31" s="75">
        <f>SUM(TABELA24[[#This Row],[T1]:[T7]])</f>
        <v>0</v>
      </c>
      <c r="P31" s="76">
        <f>TABELA24[[#This Row],[QTDE]]*TABELA24[[#This Row],[PREÇO]]</f>
        <v>0</v>
      </c>
    </row>
    <row r="32" spans="1:16" x14ac:dyDescent="0.2">
      <c r="A32" s="70" t="s">
        <v>913</v>
      </c>
      <c r="B32" s="71" t="s">
        <v>909</v>
      </c>
      <c r="C32" s="72" t="s">
        <v>911</v>
      </c>
      <c r="D32" s="73" t="s">
        <v>910</v>
      </c>
      <c r="E32" s="72" t="s">
        <v>912</v>
      </c>
      <c r="F32" s="84">
        <v>107.92</v>
      </c>
      <c r="G32" s="73" t="s">
        <v>829</v>
      </c>
      <c r="H32" s="75"/>
      <c r="I32" s="75"/>
      <c r="J32" s="75"/>
      <c r="K32" s="75"/>
      <c r="L32" s="75"/>
      <c r="M32" s="75"/>
      <c r="N32" s="75"/>
      <c r="O32" s="75">
        <f>SUM(TABELA24[[#This Row],[T1]:[T7]])</f>
        <v>0</v>
      </c>
      <c r="P32" s="76">
        <f>TABELA24[[#This Row],[QTDE]]*TABELA24[[#This Row],[PREÇO]]</f>
        <v>0</v>
      </c>
    </row>
    <row r="33" spans="1:16" x14ac:dyDescent="0.2">
      <c r="A33" s="70" t="s">
        <v>916</v>
      </c>
      <c r="B33" s="71" t="s">
        <v>909</v>
      </c>
      <c r="C33" s="72" t="s">
        <v>911</v>
      </c>
      <c r="D33" s="73" t="s">
        <v>914</v>
      </c>
      <c r="E33" s="72" t="s">
        <v>915</v>
      </c>
      <c r="F33" s="84">
        <v>107.92</v>
      </c>
      <c r="G33" s="73" t="s">
        <v>829</v>
      </c>
      <c r="H33" s="75"/>
      <c r="I33" s="75"/>
      <c r="J33" s="75"/>
      <c r="K33" s="75"/>
      <c r="L33" s="75"/>
      <c r="M33" s="75"/>
      <c r="N33" s="75"/>
      <c r="O33" s="75">
        <f>SUM(TABELA24[[#This Row],[T1]:[T7]])</f>
        <v>0</v>
      </c>
      <c r="P33" s="76">
        <f>TABELA24[[#This Row],[QTDE]]*TABELA24[[#This Row],[PREÇO]]</f>
        <v>0</v>
      </c>
    </row>
    <row r="34" spans="1:16" x14ac:dyDescent="0.2">
      <c r="A34" s="70" t="s">
        <v>919</v>
      </c>
      <c r="B34" s="71" t="s">
        <v>917</v>
      </c>
      <c r="C34" s="72" t="s">
        <v>918</v>
      </c>
      <c r="D34" s="73">
        <v>2206</v>
      </c>
      <c r="E34" s="72" t="s">
        <v>915</v>
      </c>
      <c r="F34" s="84">
        <v>228.75</v>
      </c>
      <c r="G34" s="73" t="s">
        <v>829</v>
      </c>
      <c r="H34" s="75"/>
      <c r="I34" s="75"/>
      <c r="J34" s="75"/>
      <c r="K34" s="75"/>
      <c r="L34" s="75"/>
      <c r="M34" s="75"/>
      <c r="N34" s="75"/>
      <c r="O34" s="75">
        <f>SUM(TABELA24[[#This Row],[T1]:[T7]])</f>
        <v>0</v>
      </c>
      <c r="P34" s="76">
        <f>TABELA24[[#This Row],[QTDE]]*TABELA24[[#This Row],[PREÇO]]</f>
        <v>0</v>
      </c>
    </row>
    <row r="35" spans="1:16" x14ac:dyDescent="0.2">
      <c r="A35" s="70" t="s">
        <v>922</v>
      </c>
      <c r="B35" s="71" t="s">
        <v>920</v>
      </c>
      <c r="C35" s="72" t="s">
        <v>921</v>
      </c>
      <c r="D35" s="73" t="s">
        <v>910</v>
      </c>
      <c r="E35" s="72" t="s">
        <v>912</v>
      </c>
      <c r="F35" s="84">
        <v>207.92</v>
      </c>
      <c r="G35" s="73" t="s">
        <v>829</v>
      </c>
      <c r="H35" s="75"/>
      <c r="I35" s="75"/>
      <c r="J35" s="75"/>
      <c r="K35" s="75"/>
      <c r="L35" s="75"/>
      <c r="M35" s="75"/>
      <c r="N35" s="75"/>
      <c r="O35" s="75">
        <f>SUM(TABELA24[[#This Row],[T1]:[T7]])</f>
        <v>0</v>
      </c>
      <c r="P35" s="76">
        <f>TABELA24[[#This Row],[QTDE]]*TABELA24[[#This Row],[PREÇO]]</f>
        <v>0</v>
      </c>
    </row>
    <row r="36" spans="1:16" x14ac:dyDescent="0.2">
      <c r="A36" s="70" t="s">
        <v>927</v>
      </c>
      <c r="B36" s="71" t="s">
        <v>923</v>
      </c>
      <c r="C36" s="72" t="s">
        <v>925</v>
      </c>
      <c r="D36" s="73" t="s">
        <v>924</v>
      </c>
      <c r="E36" s="72" t="s">
        <v>926</v>
      </c>
      <c r="F36" s="84">
        <v>249.58</v>
      </c>
      <c r="G36" s="73" t="s">
        <v>829</v>
      </c>
      <c r="H36" s="75"/>
      <c r="I36" s="75"/>
      <c r="J36" s="75"/>
      <c r="K36" s="75"/>
      <c r="L36" s="75"/>
      <c r="M36" s="75"/>
      <c r="N36" s="75"/>
      <c r="O36" s="75">
        <f>SUM(TABELA24[[#This Row],[T1]:[T7]])</f>
        <v>0</v>
      </c>
      <c r="P36" s="76">
        <f>TABELA24[[#This Row],[QTDE]]*TABELA24[[#This Row],[PREÇO]]</f>
        <v>0</v>
      </c>
    </row>
    <row r="37" spans="1:16" x14ac:dyDescent="0.2">
      <c r="A37" s="70" t="s">
        <v>932</v>
      </c>
      <c r="B37" s="71" t="s">
        <v>928</v>
      </c>
      <c r="C37" s="72" t="s">
        <v>930</v>
      </c>
      <c r="D37" s="73" t="s">
        <v>929</v>
      </c>
      <c r="E37" s="72" t="s">
        <v>931</v>
      </c>
      <c r="F37" s="84">
        <v>195.42</v>
      </c>
      <c r="G37" s="73" t="s">
        <v>829</v>
      </c>
      <c r="H37" s="75"/>
      <c r="I37" s="75"/>
      <c r="J37" s="75"/>
      <c r="K37" s="75"/>
      <c r="L37" s="75"/>
      <c r="M37" s="75"/>
      <c r="N37" s="75"/>
      <c r="O37" s="75">
        <f>SUM(TABELA24[[#This Row],[T1]:[T7]])</f>
        <v>0</v>
      </c>
      <c r="P37" s="76">
        <f>TABELA24[[#This Row],[QTDE]]*TABELA24[[#This Row],[PREÇO]]</f>
        <v>0</v>
      </c>
    </row>
    <row r="38" spans="1:16" x14ac:dyDescent="0.2">
      <c r="A38" s="70" t="s">
        <v>935</v>
      </c>
      <c r="B38" s="71" t="s">
        <v>933</v>
      </c>
      <c r="C38" s="72" t="s">
        <v>934</v>
      </c>
      <c r="D38" s="73" t="s">
        <v>830</v>
      </c>
      <c r="E38" s="72" t="s">
        <v>43</v>
      </c>
      <c r="F38" s="84">
        <v>124.58</v>
      </c>
      <c r="G38" s="73" t="s">
        <v>829</v>
      </c>
      <c r="H38" s="75"/>
      <c r="I38" s="75"/>
      <c r="J38" s="75"/>
      <c r="K38" s="75"/>
      <c r="L38" s="75"/>
      <c r="M38" s="75"/>
      <c r="N38" s="75"/>
      <c r="O38" s="75">
        <f>SUM(TABELA24[[#This Row],[T1]:[T7]])</f>
        <v>0</v>
      </c>
      <c r="P38" s="76">
        <f>TABELA24[[#This Row],[QTDE]]*TABELA24[[#This Row],[PREÇO]]</f>
        <v>0</v>
      </c>
    </row>
    <row r="39" spans="1:16" x14ac:dyDescent="0.2">
      <c r="A39" s="70" t="s">
        <v>936</v>
      </c>
      <c r="B39" s="71" t="s">
        <v>933</v>
      </c>
      <c r="C39" s="72" t="s">
        <v>934</v>
      </c>
      <c r="D39" s="73" t="s">
        <v>929</v>
      </c>
      <c r="E39" s="72" t="s">
        <v>931</v>
      </c>
      <c r="F39" s="84">
        <v>124.58</v>
      </c>
      <c r="G39" s="73" t="s">
        <v>829</v>
      </c>
      <c r="H39" s="75"/>
      <c r="I39" s="75"/>
      <c r="J39" s="75"/>
      <c r="K39" s="75"/>
      <c r="L39" s="75"/>
      <c r="M39" s="75"/>
      <c r="N39" s="75"/>
      <c r="O39" s="75">
        <f>SUM(TABELA24[[#This Row],[T1]:[T7]])</f>
        <v>0</v>
      </c>
      <c r="P39" s="76">
        <f>TABELA24[[#This Row],[QTDE]]*TABELA24[[#This Row],[PREÇO]]</f>
        <v>0</v>
      </c>
    </row>
    <row r="40" spans="1:16" x14ac:dyDescent="0.2">
      <c r="A40" s="70" t="s">
        <v>941</v>
      </c>
      <c r="B40" s="71" t="s">
        <v>937</v>
      </c>
      <c r="C40" s="72" t="s">
        <v>939</v>
      </c>
      <c r="D40" s="73" t="s">
        <v>938</v>
      </c>
      <c r="E40" s="72" t="s">
        <v>940</v>
      </c>
      <c r="F40" s="84">
        <v>166.25</v>
      </c>
      <c r="G40" s="73" t="s">
        <v>829</v>
      </c>
      <c r="H40" s="75"/>
      <c r="I40" s="75"/>
      <c r="J40" s="75"/>
      <c r="K40" s="75"/>
      <c r="L40" s="75"/>
      <c r="M40" s="75"/>
      <c r="N40" s="75"/>
      <c r="O40" s="75">
        <f>SUM(TABELA24[[#This Row],[T1]:[T7]])</f>
        <v>0</v>
      </c>
      <c r="P40" s="76">
        <f>TABELA24[[#This Row],[QTDE]]*TABELA24[[#This Row],[PREÇO]]</f>
        <v>0</v>
      </c>
    </row>
    <row r="41" spans="1:16" x14ac:dyDescent="0.2">
      <c r="A41" s="70" t="s">
        <v>944</v>
      </c>
      <c r="B41" s="71" t="s">
        <v>942</v>
      </c>
      <c r="C41" s="72" t="s">
        <v>943</v>
      </c>
      <c r="D41" s="73" t="s">
        <v>938</v>
      </c>
      <c r="E41" s="72" t="s">
        <v>940</v>
      </c>
      <c r="F41" s="84">
        <v>191.25</v>
      </c>
      <c r="G41" s="73" t="s">
        <v>829</v>
      </c>
      <c r="H41" s="75"/>
      <c r="I41" s="75"/>
      <c r="J41" s="75"/>
      <c r="K41" s="75"/>
      <c r="L41" s="75"/>
      <c r="M41" s="75"/>
      <c r="N41" s="75"/>
      <c r="O41" s="75">
        <f>SUM(TABELA24[[#This Row],[T1]:[T7]])</f>
        <v>0</v>
      </c>
      <c r="P41" s="76">
        <f>TABELA24[[#This Row],[QTDE]]*TABELA24[[#This Row],[PREÇO]]</f>
        <v>0</v>
      </c>
    </row>
    <row r="42" spans="1:16" x14ac:dyDescent="0.2">
      <c r="A42" s="70" t="s">
        <v>947</v>
      </c>
      <c r="B42" s="71" t="s">
        <v>945</v>
      </c>
      <c r="C42" s="72" t="s">
        <v>946</v>
      </c>
      <c r="D42" s="73" t="s">
        <v>938</v>
      </c>
      <c r="E42" s="72" t="s">
        <v>940</v>
      </c>
      <c r="F42" s="84">
        <v>191.25</v>
      </c>
      <c r="G42" s="73" t="s">
        <v>829</v>
      </c>
      <c r="H42" s="75"/>
      <c r="I42" s="75"/>
      <c r="J42" s="75"/>
      <c r="K42" s="75"/>
      <c r="L42" s="75"/>
      <c r="M42" s="75"/>
      <c r="N42" s="75"/>
      <c r="O42" s="75">
        <f>SUM(TABELA24[[#This Row],[T1]:[T7]])</f>
        <v>0</v>
      </c>
      <c r="P42" s="76">
        <f>TABELA24[[#This Row],[QTDE]]*TABELA24[[#This Row],[PREÇO]]</f>
        <v>0</v>
      </c>
    </row>
    <row r="43" spans="1:16" x14ac:dyDescent="0.2">
      <c r="A43" s="70" t="s">
        <v>950</v>
      </c>
      <c r="B43" s="71" t="s">
        <v>948</v>
      </c>
      <c r="C43" s="72" t="s">
        <v>949</v>
      </c>
      <c r="D43" s="73" t="s">
        <v>938</v>
      </c>
      <c r="E43" s="72" t="s">
        <v>940</v>
      </c>
      <c r="F43" s="84">
        <v>132.91999999999999</v>
      </c>
      <c r="G43" s="73" t="s">
        <v>829</v>
      </c>
      <c r="H43" s="75"/>
      <c r="I43" s="75"/>
      <c r="J43" s="75"/>
      <c r="K43" s="75"/>
      <c r="L43" s="75"/>
      <c r="M43" s="75"/>
      <c r="N43" s="75"/>
      <c r="O43" s="75">
        <f>SUM(TABELA24[[#This Row],[T1]:[T7]])</f>
        <v>0</v>
      </c>
      <c r="P43" s="76">
        <f>TABELA24[[#This Row],[QTDE]]*TABELA24[[#This Row],[PREÇO]]</f>
        <v>0</v>
      </c>
    </row>
    <row r="44" spans="1:16" x14ac:dyDescent="0.2">
      <c r="A44" s="70" t="s">
        <v>953</v>
      </c>
      <c r="B44" s="71" t="s">
        <v>951</v>
      </c>
      <c r="C44" s="72" t="s">
        <v>952</v>
      </c>
      <c r="D44" s="73" t="s">
        <v>938</v>
      </c>
      <c r="E44" s="72" t="s">
        <v>940</v>
      </c>
      <c r="F44" s="84">
        <v>195.42</v>
      </c>
      <c r="G44" s="73" t="s">
        <v>829</v>
      </c>
      <c r="H44" s="75"/>
      <c r="I44" s="75"/>
      <c r="J44" s="75"/>
      <c r="K44" s="75"/>
      <c r="L44" s="75"/>
      <c r="M44" s="75"/>
      <c r="N44" s="75"/>
      <c r="O44" s="75">
        <f>SUM(TABELA24[[#This Row],[T1]:[T7]])</f>
        <v>0</v>
      </c>
      <c r="P44" s="76">
        <f>TABELA24[[#This Row],[QTDE]]*TABELA24[[#This Row],[PREÇO]]</f>
        <v>0</v>
      </c>
    </row>
    <row r="45" spans="1:16" x14ac:dyDescent="0.2">
      <c r="A45" s="70" t="s">
        <v>958</v>
      </c>
      <c r="B45" s="71" t="s">
        <v>954</v>
      </c>
      <c r="C45" s="72" t="s">
        <v>956</v>
      </c>
      <c r="D45" s="73" t="s">
        <v>955</v>
      </c>
      <c r="E45" s="72" t="s">
        <v>957</v>
      </c>
      <c r="F45" s="84">
        <v>116.25</v>
      </c>
      <c r="G45" s="73" t="s">
        <v>829</v>
      </c>
      <c r="H45" s="75"/>
      <c r="I45" s="75"/>
      <c r="J45" s="75"/>
      <c r="K45" s="75"/>
      <c r="L45" s="75"/>
      <c r="M45" s="75"/>
      <c r="N45" s="75"/>
      <c r="O45" s="75">
        <f>SUM(TABELA24[[#This Row],[T1]:[T7]])</f>
        <v>0</v>
      </c>
      <c r="P45" s="76">
        <f>TABELA24[[#This Row],[QTDE]]*TABELA24[[#This Row],[PREÇO]]</f>
        <v>0</v>
      </c>
    </row>
    <row r="46" spans="1:16" x14ac:dyDescent="0.2">
      <c r="A46" s="70" t="s">
        <v>963</v>
      </c>
      <c r="B46" s="71" t="s">
        <v>959</v>
      </c>
      <c r="C46" s="72" t="s">
        <v>961</v>
      </c>
      <c r="D46" s="73" t="s">
        <v>960</v>
      </c>
      <c r="E46" s="72" t="s">
        <v>962</v>
      </c>
      <c r="F46" s="84">
        <v>187.08</v>
      </c>
      <c r="G46" s="73" t="s">
        <v>829</v>
      </c>
      <c r="H46" s="75"/>
      <c r="I46" s="75"/>
      <c r="J46" s="75"/>
      <c r="K46" s="75"/>
      <c r="L46" s="75"/>
      <c r="M46" s="75"/>
      <c r="N46" s="75"/>
      <c r="O46" s="75">
        <f>SUM(TABELA24[[#This Row],[T1]:[T7]])</f>
        <v>0</v>
      </c>
      <c r="P46" s="76">
        <f>TABELA24[[#This Row],[QTDE]]*TABELA24[[#This Row],[PREÇO]]</f>
        <v>0</v>
      </c>
    </row>
    <row r="47" spans="1:16" x14ac:dyDescent="0.2">
      <c r="A47" s="70" t="s">
        <v>966</v>
      </c>
      <c r="B47" s="71" t="s">
        <v>964</v>
      </c>
      <c r="C47" s="72" t="s">
        <v>965</v>
      </c>
      <c r="D47" s="73" t="s">
        <v>955</v>
      </c>
      <c r="E47" s="72" t="s">
        <v>957</v>
      </c>
      <c r="F47" s="84">
        <v>312.08</v>
      </c>
      <c r="G47" s="73" t="s">
        <v>829</v>
      </c>
      <c r="H47" s="75"/>
      <c r="I47" s="75"/>
      <c r="J47" s="75"/>
      <c r="K47" s="75"/>
      <c r="L47" s="75"/>
      <c r="M47" s="75"/>
      <c r="N47" s="75"/>
      <c r="O47" s="75">
        <f>SUM(TABELA24[[#This Row],[T1]:[T7]])</f>
        <v>0</v>
      </c>
      <c r="P47" s="76">
        <f>TABELA24[[#This Row],[QTDE]]*TABELA24[[#This Row],[PREÇO]]</f>
        <v>0</v>
      </c>
    </row>
    <row r="48" spans="1:16" x14ac:dyDescent="0.2">
      <c r="A48" s="70" t="s">
        <v>971</v>
      </c>
      <c r="B48" s="71" t="s">
        <v>967</v>
      </c>
      <c r="C48" s="72" t="s">
        <v>969</v>
      </c>
      <c r="D48" s="73" t="s">
        <v>968</v>
      </c>
      <c r="E48" s="72" t="s">
        <v>970</v>
      </c>
      <c r="F48" s="84">
        <v>249.58</v>
      </c>
      <c r="G48" s="73" t="s">
        <v>829</v>
      </c>
      <c r="H48" s="75"/>
      <c r="I48" s="75"/>
      <c r="J48" s="75"/>
      <c r="K48" s="75"/>
      <c r="L48" s="75"/>
      <c r="M48" s="75"/>
      <c r="N48" s="75"/>
      <c r="O48" s="75">
        <f>SUM(TABELA24[[#This Row],[T1]:[T7]])</f>
        <v>0</v>
      </c>
      <c r="P48" s="76">
        <f>TABELA24[[#This Row],[QTDE]]*TABELA24[[#This Row],[PREÇO]]</f>
        <v>0</v>
      </c>
    </row>
    <row r="49" spans="1:16" x14ac:dyDescent="0.2">
      <c r="A49" s="70" t="s">
        <v>974</v>
      </c>
      <c r="B49" s="71" t="s">
        <v>972</v>
      </c>
      <c r="C49" s="72" t="s">
        <v>973</v>
      </c>
      <c r="D49" s="73" t="s">
        <v>882</v>
      </c>
      <c r="E49" s="72" t="s">
        <v>817</v>
      </c>
      <c r="F49" s="84">
        <v>328.75</v>
      </c>
      <c r="G49" s="73" t="s">
        <v>829</v>
      </c>
      <c r="H49" s="75"/>
      <c r="I49" s="75"/>
      <c r="J49" s="75"/>
      <c r="K49" s="75"/>
      <c r="L49" s="75"/>
      <c r="M49" s="75"/>
      <c r="N49" s="75"/>
      <c r="O49" s="75">
        <f>SUM(TABELA24[[#This Row],[T1]:[T7]])</f>
        <v>0</v>
      </c>
      <c r="P49" s="76">
        <f>TABELA24[[#This Row],[QTDE]]*TABELA24[[#This Row],[PREÇO]]</f>
        <v>0</v>
      </c>
    </row>
    <row r="50" spans="1:16" x14ac:dyDescent="0.2">
      <c r="A50" s="70" t="s">
        <v>977</v>
      </c>
      <c r="B50" s="71" t="s">
        <v>975</v>
      </c>
      <c r="C50" s="72" t="s">
        <v>976</v>
      </c>
      <c r="D50" s="73" t="s">
        <v>960</v>
      </c>
      <c r="E50" s="72" t="s">
        <v>962</v>
      </c>
      <c r="F50" s="84">
        <v>332.92</v>
      </c>
      <c r="G50" s="73" t="s">
        <v>829</v>
      </c>
      <c r="H50" s="75"/>
      <c r="I50" s="75"/>
      <c r="J50" s="75"/>
      <c r="K50" s="75"/>
      <c r="L50" s="75"/>
      <c r="M50" s="75"/>
      <c r="N50" s="75"/>
      <c r="O50" s="75">
        <f>SUM(TABELA24[[#This Row],[T1]:[T7]])</f>
        <v>0</v>
      </c>
      <c r="P50" s="76">
        <f>TABELA24[[#This Row],[QTDE]]*TABELA24[[#This Row],[PREÇO]]</f>
        <v>0</v>
      </c>
    </row>
    <row r="51" spans="1:16" x14ac:dyDescent="0.2">
      <c r="A51" s="70" t="s">
        <v>980</v>
      </c>
      <c r="B51" s="71" t="s">
        <v>978</v>
      </c>
      <c r="C51" s="72" t="s">
        <v>979</v>
      </c>
      <c r="D51" s="73" t="s">
        <v>968</v>
      </c>
      <c r="E51" s="72" t="s">
        <v>970</v>
      </c>
      <c r="F51" s="84">
        <v>224.58</v>
      </c>
      <c r="G51" s="73" t="s">
        <v>829</v>
      </c>
      <c r="H51" s="75"/>
      <c r="I51" s="75"/>
      <c r="J51" s="75"/>
      <c r="K51" s="75"/>
      <c r="L51" s="75"/>
      <c r="M51" s="75"/>
      <c r="N51" s="75"/>
      <c r="O51" s="75">
        <f>SUM(TABELA24[[#This Row],[T1]:[T7]])</f>
        <v>0</v>
      </c>
      <c r="P51" s="76">
        <f>TABELA24[[#This Row],[QTDE]]*TABELA24[[#This Row],[PREÇO]]</f>
        <v>0</v>
      </c>
    </row>
    <row r="52" spans="1:16" x14ac:dyDescent="0.2">
      <c r="A52" s="70" t="s">
        <v>981</v>
      </c>
      <c r="B52" s="71" t="s">
        <v>982</v>
      </c>
      <c r="C52" s="72" t="s">
        <v>983</v>
      </c>
      <c r="D52" s="73" t="s">
        <v>929</v>
      </c>
      <c r="E52" s="72" t="s">
        <v>931</v>
      </c>
      <c r="F52" s="84">
        <v>82.92</v>
      </c>
      <c r="G52" s="73" t="s">
        <v>826</v>
      </c>
      <c r="H52" s="75"/>
      <c r="I52" s="75"/>
      <c r="J52" s="75"/>
      <c r="K52" s="75"/>
      <c r="L52" s="75"/>
      <c r="M52" s="75"/>
      <c r="N52" s="75"/>
      <c r="O52" s="75">
        <f>SUM(TABELA24[[#This Row],[T1]:[T7]])</f>
        <v>0</v>
      </c>
      <c r="P52" s="76">
        <f>TABELA24[[#This Row],[QTDE]]*TABELA24[[#This Row],[PREÇO]]</f>
        <v>0</v>
      </c>
    </row>
    <row r="53" spans="1:16" x14ac:dyDescent="0.2">
      <c r="A53" s="70" t="s">
        <v>986</v>
      </c>
      <c r="B53" s="71" t="s">
        <v>984</v>
      </c>
      <c r="C53" s="72" t="s">
        <v>985</v>
      </c>
      <c r="D53" s="73" t="s">
        <v>32</v>
      </c>
      <c r="E53" s="72" t="s">
        <v>33</v>
      </c>
      <c r="F53" s="84">
        <v>95.42</v>
      </c>
      <c r="G53" s="73" t="s">
        <v>826</v>
      </c>
      <c r="H53" s="75"/>
      <c r="I53" s="75"/>
      <c r="J53" s="75"/>
      <c r="K53" s="75"/>
      <c r="L53" s="75"/>
      <c r="M53" s="75"/>
      <c r="N53" s="75"/>
      <c r="O53" s="75">
        <f>SUM(TABELA24[[#This Row],[T1]:[T7]])</f>
        <v>0</v>
      </c>
      <c r="P53" s="76">
        <f>TABELA24[[#This Row],[QTDE]]*TABELA24[[#This Row],[PREÇO]]</f>
        <v>0</v>
      </c>
    </row>
    <row r="54" spans="1:16" x14ac:dyDescent="0.2">
      <c r="A54" s="70" t="s">
        <v>987</v>
      </c>
      <c r="B54" s="71" t="s">
        <v>988</v>
      </c>
      <c r="C54" s="72" t="s">
        <v>989</v>
      </c>
      <c r="D54" s="73" t="s">
        <v>902</v>
      </c>
      <c r="E54" s="72" t="s">
        <v>904</v>
      </c>
      <c r="F54" s="84">
        <v>120.42</v>
      </c>
      <c r="G54" s="73" t="s">
        <v>826</v>
      </c>
      <c r="H54" s="75"/>
      <c r="I54" s="75"/>
      <c r="J54" s="75"/>
      <c r="K54" s="75"/>
      <c r="L54" s="75"/>
      <c r="M54" s="75"/>
      <c r="N54" s="75"/>
      <c r="O54" s="75">
        <f>SUM(TABELA24[[#This Row],[T1]:[T7]])</f>
        <v>0</v>
      </c>
      <c r="P54" s="76">
        <f>TABELA24[[#This Row],[QTDE]]*TABELA24[[#This Row],[PREÇO]]</f>
        <v>0</v>
      </c>
    </row>
    <row r="55" spans="1:16" x14ac:dyDescent="0.2">
      <c r="A55" s="70" t="s">
        <v>990</v>
      </c>
      <c r="B55" s="71" t="s">
        <v>991</v>
      </c>
      <c r="C55" s="72" t="s">
        <v>993</v>
      </c>
      <c r="D55" s="73" t="s">
        <v>992</v>
      </c>
      <c r="E55" s="72" t="s">
        <v>994</v>
      </c>
      <c r="F55" s="84">
        <v>99.58</v>
      </c>
      <c r="G55" s="73" t="s">
        <v>826</v>
      </c>
      <c r="H55" s="75"/>
      <c r="I55" s="75"/>
      <c r="J55" s="75"/>
      <c r="K55" s="75"/>
      <c r="L55" s="75"/>
      <c r="M55" s="75"/>
      <c r="N55" s="75"/>
      <c r="O55" s="75">
        <f>SUM(TABELA24[[#This Row],[T1]:[T7]])</f>
        <v>0</v>
      </c>
      <c r="P55" s="76">
        <f>TABELA24[[#This Row],[QTDE]]*TABELA24[[#This Row],[PREÇO]]</f>
        <v>0</v>
      </c>
    </row>
    <row r="56" spans="1:16" x14ac:dyDescent="0.2">
      <c r="A56" s="70" t="s">
        <v>995</v>
      </c>
      <c r="B56" s="71" t="s">
        <v>996</v>
      </c>
      <c r="C56" s="72" t="s">
        <v>998</v>
      </c>
      <c r="D56" s="73" t="s">
        <v>997</v>
      </c>
      <c r="E56" s="72" t="s">
        <v>999</v>
      </c>
      <c r="F56" s="84">
        <v>82.92</v>
      </c>
      <c r="G56" s="73" t="s">
        <v>826</v>
      </c>
      <c r="H56" s="75"/>
      <c r="I56" s="75"/>
      <c r="J56" s="75"/>
      <c r="K56" s="75"/>
      <c r="L56" s="75"/>
      <c r="M56" s="75"/>
      <c r="N56" s="75"/>
      <c r="O56" s="75">
        <f>SUM(TABELA24[[#This Row],[T1]:[T7]])</f>
        <v>0</v>
      </c>
      <c r="P56" s="76">
        <f>TABELA24[[#This Row],[QTDE]]*TABELA24[[#This Row],[PREÇO]]</f>
        <v>0</v>
      </c>
    </row>
    <row r="57" spans="1:16" x14ac:dyDescent="0.2">
      <c r="A57" s="70" t="s">
        <v>1002</v>
      </c>
      <c r="B57" s="71" t="s">
        <v>1000</v>
      </c>
      <c r="C57" s="72" t="s">
        <v>1001</v>
      </c>
      <c r="D57" s="73" t="s">
        <v>821</v>
      </c>
      <c r="E57" s="72" t="s">
        <v>822</v>
      </c>
      <c r="F57" s="84">
        <v>124.58</v>
      </c>
      <c r="G57" s="73" t="s">
        <v>826</v>
      </c>
      <c r="H57" s="75"/>
      <c r="I57" s="75"/>
      <c r="J57" s="75"/>
      <c r="K57" s="75"/>
      <c r="L57" s="75"/>
      <c r="M57" s="75"/>
      <c r="N57" s="75"/>
      <c r="O57" s="75">
        <f>SUM(TABELA24[[#This Row],[T1]:[T7]])</f>
        <v>0</v>
      </c>
      <c r="P57" s="76">
        <f>TABELA24[[#This Row],[QTDE]]*TABELA24[[#This Row],[PREÇO]]</f>
        <v>0</v>
      </c>
    </row>
    <row r="58" spans="1:16" x14ac:dyDescent="0.2">
      <c r="A58" s="70" t="s">
        <v>1006</v>
      </c>
      <c r="B58" s="71" t="s">
        <v>1003</v>
      </c>
      <c r="C58" s="72" t="s">
        <v>1005</v>
      </c>
      <c r="D58" s="73" t="s">
        <v>882</v>
      </c>
      <c r="E58" s="72" t="s">
        <v>817</v>
      </c>
      <c r="F58" s="84">
        <v>107.92</v>
      </c>
      <c r="G58" s="73" t="s">
        <v>826</v>
      </c>
      <c r="H58" s="75"/>
      <c r="I58" s="75"/>
      <c r="J58" s="75"/>
      <c r="K58" s="75"/>
      <c r="L58" s="75"/>
      <c r="M58" s="75"/>
      <c r="N58" s="75"/>
      <c r="O58" s="75">
        <f>SUM(TABELA24[[#This Row],[T1]:[T7]])</f>
        <v>0</v>
      </c>
      <c r="P58" s="76">
        <f>TABELA24[[#This Row],[QTDE]]*TABELA24[[#This Row],[PREÇO]]</f>
        <v>0</v>
      </c>
    </row>
    <row r="59" spans="1:16" x14ac:dyDescent="0.2">
      <c r="A59" s="70" t="s">
        <v>1007</v>
      </c>
      <c r="B59" s="71" t="s">
        <v>1008</v>
      </c>
      <c r="C59" s="72" t="s">
        <v>1010</v>
      </c>
      <c r="D59" s="73" t="s">
        <v>1009</v>
      </c>
      <c r="E59" s="72" t="s">
        <v>1011</v>
      </c>
      <c r="F59" s="84">
        <v>70.42</v>
      </c>
      <c r="G59" s="73" t="s">
        <v>826</v>
      </c>
      <c r="H59" s="75"/>
      <c r="I59" s="75"/>
      <c r="J59" s="75"/>
      <c r="K59" s="75"/>
      <c r="L59" s="75"/>
      <c r="M59" s="75"/>
      <c r="N59" s="75"/>
      <c r="O59" s="75">
        <f>SUM(TABELA24[[#This Row],[T1]:[T7]])</f>
        <v>0</v>
      </c>
      <c r="P59" s="76">
        <f>TABELA24[[#This Row],[QTDE]]*TABELA24[[#This Row],[PREÇO]]</f>
        <v>0</v>
      </c>
    </row>
    <row r="60" spans="1:16" x14ac:dyDescent="0.2">
      <c r="A60" s="70" t="s">
        <v>1014</v>
      </c>
      <c r="B60" s="71" t="s">
        <v>1012</v>
      </c>
      <c r="C60" s="72" t="s">
        <v>1013</v>
      </c>
      <c r="D60" s="73" t="s">
        <v>882</v>
      </c>
      <c r="E60" s="72" t="s">
        <v>817</v>
      </c>
      <c r="F60" s="84">
        <v>116.25</v>
      </c>
      <c r="G60" s="73" t="s">
        <v>826</v>
      </c>
      <c r="H60" s="75"/>
      <c r="I60" s="75"/>
      <c r="J60" s="75"/>
      <c r="K60" s="75"/>
      <c r="L60" s="75"/>
      <c r="M60" s="75"/>
      <c r="N60" s="75"/>
      <c r="O60" s="75">
        <f>SUM(TABELA24[[#This Row],[T1]:[T7]])</f>
        <v>0</v>
      </c>
      <c r="P60" s="76">
        <f>TABELA24[[#This Row],[QTDE]]*TABELA24[[#This Row],[PREÇO]]</f>
        <v>0</v>
      </c>
    </row>
    <row r="61" spans="1:16" x14ac:dyDescent="0.2">
      <c r="A61" s="70" t="s">
        <v>1015</v>
      </c>
      <c r="B61" s="71" t="s">
        <v>1016</v>
      </c>
      <c r="C61" s="72" t="s">
        <v>1017</v>
      </c>
      <c r="D61" s="73" t="s">
        <v>32</v>
      </c>
      <c r="E61" s="72" t="s">
        <v>33</v>
      </c>
      <c r="F61" s="84">
        <v>149.58000000000001</v>
      </c>
      <c r="G61" s="73" t="s">
        <v>826</v>
      </c>
      <c r="H61" s="75"/>
      <c r="I61" s="75"/>
      <c r="J61" s="75"/>
      <c r="K61" s="75"/>
      <c r="L61" s="75"/>
      <c r="M61" s="75"/>
      <c r="N61" s="75"/>
      <c r="O61" s="75">
        <f>SUM(TABELA24[[#This Row],[T1]:[T7]])</f>
        <v>0</v>
      </c>
      <c r="P61" s="76">
        <f>TABELA24[[#This Row],[QTDE]]*TABELA24[[#This Row],[PREÇO]]</f>
        <v>0</v>
      </c>
    </row>
    <row r="62" spans="1:16" x14ac:dyDescent="0.2">
      <c r="A62" s="70" t="s">
        <v>1018</v>
      </c>
      <c r="B62" s="71" t="s">
        <v>1019</v>
      </c>
      <c r="C62" s="72" t="s">
        <v>1020</v>
      </c>
      <c r="D62" s="73" t="s">
        <v>32</v>
      </c>
      <c r="E62" s="72" t="s">
        <v>33</v>
      </c>
      <c r="F62" s="84">
        <v>166.25</v>
      </c>
      <c r="G62" s="73" t="s">
        <v>826</v>
      </c>
      <c r="H62" s="75"/>
      <c r="I62" s="75"/>
      <c r="J62" s="75"/>
      <c r="K62" s="75"/>
      <c r="L62" s="75"/>
      <c r="M62" s="75"/>
      <c r="N62" s="75"/>
      <c r="O62" s="75">
        <f>SUM(TABELA24[[#This Row],[T1]:[T7]])</f>
        <v>0</v>
      </c>
      <c r="P62" s="76">
        <f>TABELA24[[#This Row],[QTDE]]*TABELA24[[#This Row],[PREÇO]]</f>
        <v>0</v>
      </c>
    </row>
    <row r="63" spans="1:16" x14ac:dyDescent="0.2">
      <c r="A63" s="70" t="s">
        <v>1021</v>
      </c>
      <c r="B63" s="71" t="s">
        <v>1022</v>
      </c>
      <c r="C63" s="72" t="s">
        <v>1023</v>
      </c>
      <c r="D63" s="73" t="s">
        <v>830</v>
      </c>
      <c r="E63" s="72" t="s">
        <v>43</v>
      </c>
      <c r="F63" s="84">
        <v>124.58</v>
      </c>
      <c r="G63" s="73" t="s">
        <v>826</v>
      </c>
      <c r="H63" s="75"/>
      <c r="I63" s="75"/>
      <c r="J63" s="75"/>
      <c r="K63" s="75"/>
      <c r="L63" s="75"/>
      <c r="M63" s="75"/>
      <c r="N63" s="75"/>
      <c r="O63" s="75">
        <f>SUM(TABELA24[[#This Row],[T1]:[T7]])</f>
        <v>0</v>
      </c>
      <c r="P63" s="76">
        <f>TABELA24[[#This Row],[QTDE]]*TABELA24[[#This Row],[PREÇO]]</f>
        <v>0</v>
      </c>
    </row>
    <row r="64" spans="1:16" x14ac:dyDescent="0.2">
      <c r="A64" s="70" t="s">
        <v>1025</v>
      </c>
      <c r="B64" s="71" t="s">
        <v>1026</v>
      </c>
      <c r="C64" s="72" t="s">
        <v>1027</v>
      </c>
      <c r="D64" s="73" t="s">
        <v>803</v>
      </c>
      <c r="E64" s="72" t="s">
        <v>840</v>
      </c>
      <c r="F64" s="84">
        <v>103.75</v>
      </c>
      <c r="G64" s="73" t="s">
        <v>826</v>
      </c>
      <c r="H64" s="75"/>
      <c r="I64" s="75"/>
      <c r="J64" s="75"/>
      <c r="K64" s="75"/>
      <c r="L64" s="75"/>
      <c r="M64" s="75"/>
      <c r="N64" s="75"/>
      <c r="O64" s="75">
        <f>SUM(TABELA24[[#This Row],[T1]:[T7]])</f>
        <v>0</v>
      </c>
      <c r="P64" s="76">
        <f>TABELA24[[#This Row],[QTDE]]*TABELA24[[#This Row],[PREÇO]]</f>
        <v>0</v>
      </c>
    </row>
    <row r="65" spans="1:16" x14ac:dyDescent="0.2">
      <c r="A65" s="70" t="s">
        <v>1028</v>
      </c>
      <c r="B65" s="71" t="s">
        <v>1029</v>
      </c>
      <c r="C65" s="72" t="s">
        <v>1030</v>
      </c>
      <c r="D65" s="73" t="s">
        <v>32</v>
      </c>
      <c r="E65" s="72" t="s">
        <v>33</v>
      </c>
      <c r="F65" s="84">
        <v>124.58</v>
      </c>
      <c r="G65" s="73" t="s">
        <v>826</v>
      </c>
      <c r="H65" s="75"/>
      <c r="I65" s="75"/>
      <c r="J65" s="75"/>
      <c r="K65" s="75"/>
      <c r="L65" s="75"/>
      <c r="M65" s="75"/>
      <c r="N65" s="75"/>
      <c r="O65" s="75">
        <f>SUM(TABELA24[[#This Row],[T1]:[T7]])</f>
        <v>0</v>
      </c>
      <c r="P65" s="76">
        <f>TABELA24[[#This Row],[QTDE]]*TABELA24[[#This Row],[PREÇO]]</f>
        <v>0</v>
      </c>
    </row>
    <row r="66" spans="1:16" x14ac:dyDescent="0.2">
      <c r="A66" s="70" t="s">
        <v>1031</v>
      </c>
      <c r="B66" s="71" t="s">
        <v>1032</v>
      </c>
      <c r="C66" s="72" t="s">
        <v>1033</v>
      </c>
      <c r="D66" s="73" t="s">
        <v>835</v>
      </c>
      <c r="E66" s="72" t="s">
        <v>836</v>
      </c>
      <c r="F66" s="84">
        <v>207.92</v>
      </c>
      <c r="G66" s="73" t="s">
        <v>826</v>
      </c>
      <c r="H66" s="75"/>
      <c r="I66" s="75"/>
      <c r="J66" s="75"/>
      <c r="K66" s="75"/>
      <c r="L66" s="75"/>
      <c r="M66" s="75"/>
      <c r="N66" s="75"/>
      <c r="O66" s="75">
        <f>SUM(TABELA24[[#This Row],[T1]:[T7]])</f>
        <v>0</v>
      </c>
      <c r="P66" s="76">
        <f>TABELA24[[#This Row],[QTDE]]*TABELA24[[#This Row],[PREÇO]]</f>
        <v>0</v>
      </c>
    </row>
    <row r="67" spans="1:16" x14ac:dyDescent="0.2">
      <c r="A67" s="70" t="s">
        <v>1034</v>
      </c>
      <c r="B67" s="71" t="s">
        <v>1035</v>
      </c>
      <c r="C67" s="72" t="s">
        <v>1036</v>
      </c>
      <c r="D67" s="73" t="s">
        <v>1024</v>
      </c>
      <c r="E67" s="72" t="s">
        <v>1037</v>
      </c>
      <c r="F67" s="84">
        <v>112.08</v>
      </c>
      <c r="G67" s="73" t="s">
        <v>826</v>
      </c>
      <c r="H67" s="75"/>
      <c r="I67" s="75"/>
      <c r="J67" s="75"/>
      <c r="K67" s="75"/>
      <c r="L67" s="75"/>
      <c r="M67" s="75"/>
      <c r="N67" s="75"/>
      <c r="O67" s="75">
        <f>SUM(TABELA24[[#This Row],[T1]:[T7]])</f>
        <v>0</v>
      </c>
      <c r="P67" s="76">
        <f>TABELA24[[#This Row],[QTDE]]*TABELA24[[#This Row],[PREÇO]]</f>
        <v>0</v>
      </c>
    </row>
    <row r="68" spans="1:16" x14ac:dyDescent="0.2">
      <c r="A68" s="70" t="s">
        <v>1041</v>
      </c>
      <c r="B68" s="71" t="s">
        <v>1039</v>
      </c>
      <c r="C68" s="72" t="s">
        <v>1040</v>
      </c>
      <c r="D68" s="73" t="s">
        <v>830</v>
      </c>
      <c r="E68" s="72" t="s">
        <v>43</v>
      </c>
      <c r="F68" s="84">
        <v>95.42</v>
      </c>
      <c r="G68" s="73" t="s">
        <v>826</v>
      </c>
      <c r="H68" s="75"/>
      <c r="I68" s="75"/>
      <c r="J68" s="75"/>
      <c r="K68" s="75"/>
      <c r="L68" s="75"/>
      <c r="M68" s="75"/>
      <c r="N68" s="75"/>
      <c r="O68" s="75">
        <f>SUM(TABELA24[[#This Row],[T1]:[T7]])</f>
        <v>0</v>
      </c>
      <c r="P68" s="76">
        <f>TABELA24[[#This Row],[QTDE]]*TABELA24[[#This Row],[PREÇO]]</f>
        <v>0</v>
      </c>
    </row>
    <row r="69" spans="1:16" x14ac:dyDescent="0.2">
      <c r="A69" s="70" t="s">
        <v>1038</v>
      </c>
      <c r="B69" s="71" t="s">
        <v>1039</v>
      </c>
      <c r="C69" s="72" t="s">
        <v>1040</v>
      </c>
      <c r="D69" s="73" t="s">
        <v>32</v>
      </c>
      <c r="E69" s="72" t="s">
        <v>33</v>
      </c>
      <c r="F69" s="84">
        <v>95.42</v>
      </c>
      <c r="G69" s="73" t="s">
        <v>826</v>
      </c>
      <c r="H69" s="75"/>
      <c r="I69" s="75"/>
      <c r="J69" s="75"/>
      <c r="K69" s="75"/>
      <c r="L69" s="75"/>
      <c r="M69" s="75"/>
      <c r="N69" s="75"/>
      <c r="O69" s="75">
        <f>SUM(TABELA24[[#This Row],[T1]:[T7]])</f>
        <v>0</v>
      </c>
      <c r="P69" s="76">
        <f>TABELA24[[#This Row],[QTDE]]*TABELA24[[#This Row],[PREÇO]]</f>
        <v>0</v>
      </c>
    </row>
    <row r="70" spans="1:16" x14ac:dyDescent="0.2">
      <c r="A70" s="70" t="s">
        <v>1044</v>
      </c>
      <c r="B70" s="71" t="s">
        <v>1042</v>
      </c>
      <c r="C70" s="72" t="s">
        <v>1043</v>
      </c>
      <c r="D70" s="73" t="s">
        <v>1009</v>
      </c>
      <c r="E70" s="72" t="s">
        <v>1011</v>
      </c>
      <c r="F70" s="84">
        <v>82.92</v>
      </c>
      <c r="G70" s="73" t="s">
        <v>826</v>
      </c>
      <c r="H70" s="75"/>
      <c r="I70" s="75"/>
      <c r="J70" s="75"/>
      <c r="K70" s="75"/>
      <c r="L70" s="75"/>
      <c r="M70" s="75"/>
      <c r="N70" s="75"/>
      <c r="O70" s="75">
        <f>SUM(TABELA24[[#This Row],[T1]:[T7]])</f>
        <v>0</v>
      </c>
      <c r="P70" s="76">
        <f>TABELA24[[#This Row],[QTDE]]*TABELA24[[#This Row],[PREÇO]]</f>
        <v>0</v>
      </c>
    </row>
    <row r="71" spans="1:16" x14ac:dyDescent="0.2">
      <c r="A71" s="70" t="s">
        <v>1049</v>
      </c>
      <c r="B71" s="71" t="s">
        <v>1045</v>
      </c>
      <c r="C71" s="72" t="s">
        <v>1047</v>
      </c>
      <c r="D71" s="73" t="s">
        <v>1046</v>
      </c>
      <c r="E71" s="72" t="s">
        <v>1048</v>
      </c>
      <c r="F71" s="84">
        <v>95.42</v>
      </c>
      <c r="G71" s="73" t="s">
        <v>829</v>
      </c>
      <c r="H71" s="75"/>
      <c r="I71" s="75"/>
      <c r="J71" s="75"/>
      <c r="K71" s="75"/>
      <c r="L71" s="75"/>
      <c r="M71" s="75"/>
      <c r="N71" s="75"/>
      <c r="O71" s="75">
        <f>SUM(TABELA24[[#This Row],[T1]:[T7]])</f>
        <v>0</v>
      </c>
      <c r="P71" s="76">
        <f>TABELA24[[#This Row],[QTDE]]*TABELA24[[#This Row],[PREÇO]]</f>
        <v>0</v>
      </c>
    </row>
    <row r="72" spans="1:16" x14ac:dyDescent="0.2">
      <c r="A72" s="70" t="s">
        <v>1050</v>
      </c>
      <c r="B72" s="71" t="s">
        <v>1051</v>
      </c>
      <c r="C72" s="72" t="s">
        <v>1052</v>
      </c>
      <c r="D72" s="73" t="s">
        <v>1009</v>
      </c>
      <c r="E72" s="72" t="s">
        <v>1011</v>
      </c>
      <c r="F72" s="84">
        <v>82.92</v>
      </c>
      <c r="G72" s="73" t="s">
        <v>826</v>
      </c>
      <c r="H72" s="75"/>
      <c r="I72" s="75"/>
      <c r="J72" s="75"/>
      <c r="K72" s="75"/>
      <c r="L72" s="75"/>
      <c r="M72" s="75"/>
      <c r="N72" s="75"/>
      <c r="O72" s="75">
        <f>SUM(TABELA24[[#This Row],[T1]:[T7]])</f>
        <v>0</v>
      </c>
      <c r="P72" s="76">
        <f>TABELA24[[#This Row],[QTDE]]*TABELA24[[#This Row],[PREÇO]]</f>
        <v>0</v>
      </c>
    </row>
    <row r="73" spans="1:16" x14ac:dyDescent="0.2">
      <c r="A73" s="70" t="s">
        <v>1057</v>
      </c>
      <c r="B73" s="71" t="s">
        <v>1053</v>
      </c>
      <c r="C73" s="72" t="s">
        <v>1055</v>
      </c>
      <c r="D73" s="73" t="s">
        <v>1054</v>
      </c>
      <c r="E73" s="72" t="s">
        <v>1056</v>
      </c>
      <c r="F73" s="84">
        <v>237.08</v>
      </c>
      <c r="G73" s="73" t="s">
        <v>829</v>
      </c>
      <c r="H73" s="75"/>
      <c r="I73" s="75"/>
      <c r="J73" s="75"/>
      <c r="K73" s="75"/>
      <c r="L73" s="75"/>
      <c r="M73" s="75"/>
      <c r="N73" s="75"/>
      <c r="O73" s="75">
        <f>SUM(TABELA24[[#This Row],[T1]:[T7]])</f>
        <v>0</v>
      </c>
      <c r="P73" s="76">
        <f>TABELA24[[#This Row],[QTDE]]*TABELA24[[#This Row],[PREÇO]]</f>
        <v>0</v>
      </c>
    </row>
    <row r="74" spans="1:16" x14ac:dyDescent="0.2">
      <c r="A74" s="70" t="s">
        <v>1062</v>
      </c>
      <c r="B74" s="71" t="s">
        <v>1058</v>
      </c>
      <c r="C74" s="72" t="s">
        <v>1060</v>
      </c>
      <c r="D74" s="73" t="s">
        <v>1059</v>
      </c>
      <c r="E74" s="72" t="s">
        <v>1061</v>
      </c>
      <c r="F74" s="84">
        <v>166.25</v>
      </c>
      <c r="G74" s="73" t="s">
        <v>829</v>
      </c>
      <c r="H74" s="75"/>
      <c r="I74" s="75"/>
      <c r="J74" s="75"/>
      <c r="K74" s="75"/>
      <c r="L74" s="75"/>
      <c r="M74" s="75"/>
      <c r="N74" s="75"/>
      <c r="O74" s="75">
        <f>SUM(TABELA24[[#This Row],[T1]:[T7]])</f>
        <v>0</v>
      </c>
      <c r="P74" s="76">
        <f>TABELA24[[#This Row],[QTDE]]*TABELA24[[#This Row],[PREÇO]]</f>
        <v>0</v>
      </c>
    </row>
    <row r="75" spans="1:16" x14ac:dyDescent="0.2">
      <c r="A75" s="70" t="s">
        <v>1067</v>
      </c>
      <c r="B75" s="71" t="s">
        <v>1063</v>
      </c>
      <c r="C75" s="72" t="s">
        <v>1065</v>
      </c>
      <c r="D75" s="73" t="s">
        <v>1064</v>
      </c>
      <c r="E75" s="72" t="s">
        <v>1066</v>
      </c>
      <c r="F75" s="84">
        <v>203.75</v>
      </c>
      <c r="G75" s="73" t="s">
        <v>829</v>
      </c>
      <c r="H75" s="75"/>
      <c r="I75" s="75"/>
      <c r="J75" s="75"/>
      <c r="K75" s="75"/>
      <c r="L75" s="75"/>
      <c r="M75" s="75"/>
      <c r="N75" s="75"/>
      <c r="O75" s="75">
        <f>SUM(TABELA24[[#This Row],[T1]:[T7]])</f>
        <v>0</v>
      </c>
      <c r="P75" s="76">
        <f>TABELA24[[#This Row],[QTDE]]*TABELA24[[#This Row],[PREÇO]]</f>
        <v>0</v>
      </c>
    </row>
    <row r="76" spans="1:16" x14ac:dyDescent="0.2">
      <c r="A76" s="70" t="s">
        <v>1070</v>
      </c>
      <c r="B76" s="71" t="s">
        <v>1063</v>
      </c>
      <c r="C76" s="72" t="s">
        <v>1065</v>
      </c>
      <c r="D76" s="73" t="s">
        <v>1068</v>
      </c>
      <c r="E76" s="72" t="s">
        <v>1069</v>
      </c>
      <c r="F76" s="84">
        <v>203.75</v>
      </c>
      <c r="G76" s="73" t="s">
        <v>829</v>
      </c>
      <c r="H76" s="75"/>
      <c r="I76" s="75"/>
      <c r="J76" s="75"/>
      <c r="K76" s="75"/>
      <c r="L76" s="75"/>
      <c r="M76" s="75"/>
      <c r="N76" s="75"/>
      <c r="O76" s="75">
        <f>SUM(TABELA24[[#This Row],[T1]:[T7]])</f>
        <v>0</v>
      </c>
      <c r="P76" s="76">
        <f>TABELA24[[#This Row],[QTDE]]*TABELA24[[#This Row],[PREÇO]]</f>
        <v>0</v>
      </c>
    </row>
    <row r="77" spans="1:16" x14ac:dyDescent="0.2">
      <c r="A77" s="70" t="s">
        <v>1073</v>
      </c>
      <c r="B77" s="71" t="s">
        <v>1071</v>
      </c>
      <c r="C77" s="72" t="s">
        <v>1072</v>
      </c>
      <c r="D77" s="73" t="s">
        <v>1054</v>
      </c>
      <c r="E77" s="72" t="s">
        <v>1056</v>
      </c>
      <c r="F77" s="84">
        <v>266.25</v>
      </c>
      <c r="G77" s="73" t="s">
        <v>829</v>
      </c>
      <c r="H77" s="75"/>
      <c r="I77" s="75"/>
      <c r="J77" s="75"/>
      <c r="K77" s="75"/>
      <c r="L77" s="75"/>
      <c r="M77" s="75"/>
      <c r="N77" s="75"/>
      <c r="O77" s="75">
        <f>SUM(TABELA24[[#This Row],[T1]:[T7]])</f>
        <v>0</v>
      </c>
      <c r="P77" s="76">
        <f>TABELA24[[#This Row],[QTDE]]*TABELA24[[#This Row],[PREÇO]]</f>
        <v>0</v>
      </c>
    </row>
    <row r="78" spans="1:16" x14ac:dyDescent="0.2">
      <c r="A78" s="70" t="s">
        <v>1076</v>
      </c>
      <c r="B78" s="71" t="s">
        <v>1074</v>
      </c>
      <c r="C78" s="72" t="s">
        <v>1075</v>
      </c>
      <c r="D78" s="73" t="s">
        <v>968</v>
      </c>
      <c r="E78" s="72" t="s">
        <v>970</v>
      </c>
      <c r="F78" s="84">
        <v>182.92</v>
      </c>
      <c r="G78" s="73" t="s">
        <v>829</v>
      </c>
      <c r="H78" s="75"/>
      <c r="I78" s="75"/>
      <c r="J78" s="75"/>
      <c r="K78" s="75"/>
      <c r="L78" s="75"/>
      <c r="M78" s="75"/>
      <c r="N78" s="75"/>
      <c r="O78" s="75">
        <f>SUM(TABELA24[[#This Row],[T1]:[T7]])</f>
        <v>0</v>
      </c>
      <c r="P78" s="76">
        <f>TABELA24[[#This Row],[QTDE]]*TABELA24[[#This Row],[PREÇO]]</f>
        <v>0</v>
      </c>
    </row>
    <row r="79" spans="1:16" x14ac:dyDescent="0.2">
      <c r="A79" s="70" t="s">
        <v>1079</v>
      </c>
      <c r="B79" s="71" t="s">
        <v>1077</v>
      </c>
      <c r="C79" s="72" t="s">
        <v>1078</v>
      </c>
      <c r="D79" s="73" t="s">
        <v>1046</v>
      </c>
      <c r="E79" s="72" t="s">
        <v>1048</v>
      </c>
      <c r="F79" s="84">
        <v>207.92</v>
      </c>
      <c r="G79" s="73" t="s">
        <v>829</v>
      </c>
      <c r="H79" s="75"/>
      <c r="I79" s="75"/>
      <c r="J79" s="75"/>
      <c r="K79" s="75"/>
      <c r="L79" s="75"/>
      <c r="M79" s="75"/>
      <c r="N79" s="75"/>
      <c r="O79" s="75">
        <f>SUM(TABELA24[[#This Row],[T1]:[T7]])</f>
        <v>0</v>
      </c>
      <c r="P79" s="76">
        <f>TABELA24[[#This Row],[QTDE]]*TABELA24[[#This Row],[PREÇO]]</f>
        <v>0</v>
      </c>
    </row>
    <row r="80" spans="1:16" x14ac:dyDescent="0.2">
      <c r="A80" s="70" t="s">
        <v>1082</v>
      </c>
      <c r="B80" s="71" t="s">
        <v>1080</v>
      </c>
      <c r="C80" s="72" t="s">
        <v>1081</v>
      </c>
      <c r="D80" s="73" t="s">
        <v>1064</v>
      </c>
      <c r="E80" s="72" t="s">
        <v>1066</v>
      </c>
      <c r="F80" s="84">
        <v>157.91999999999999</v>
      </c>
      <c r="G80" s="73" t="s">
        <v>829</v>
      </c>
      <c r="H80" s="75"/>
      <c r="I80" s="75"/>
      <c r="J80" s="75"/>
      <c r="K80" s="75"/>
      <c r="L80" s="75"/>
      <c r="M80" s="75"/>
      <c r="N80" s="75"/>
      <c r="O80" s="75">
        <f>SUM(TABELA24[[#This Row],[T1]:[T7]])</f>
        <v>0</v>
      </c>
      <c r="P80" s="76">
        <f>TABELA24[[#This Row],[QTDE]]*TABELA24[[#This Row],[PREÇO]]</f>
        <v>0</v>
      </c>
    </row>
    <row r="81" spans="1:16" x14ac:dyDescent="0.2">
      <c r="A81" s="70" t="s">
        <v>1083</v>
      </c>
      <c r="B81" s="71" t="s">
        <v>1080</v>
      </c>
      <c r="C81" s="72" t="s">
        <v>1081</v>
      </c>
      <c r="D81" s="73" t="s">
        <v>1068</v>
      </c>
      <c r="E81" s="72" t="s">
        <v>1069</v>
      </c>
      <c r="F81" s="84">
        <v>157.91999999999999</v>
      </c>
      <c r="G81" s="73" t="s">
        <v>829</v>
      </c>
      <c r="H81" s="75"/>
      <c r="I81" s="75"/>
      <c r="J81" s="75"/>
      <c r="K81" s="75"/>
      <c r="L81" s="75"/>
      <c r="M81" s="75"/>
      <c r="N81" s="75"/>
      <c r="O81" s="75">
        <f>SUM(TABELA24[[#This Row],[T1]:[T7]])</f>
        <v>0</v>
      </c>
      <c r="P81" s="76">
        <f>TABELA24[[#This Row],[QTDE]]*TABELA24[[#This Row],[PREÇO]]</f>
        <v>0</v>
      </c>
    </row>
    <row r="82" spans="1:16" x14ac:dyDescent="0.2">
      <c r="A82" s="70" t="s">
        <v>1086</v>
      </c>
      <c r="B82" s="71" t="s">
        <v>1084</v>
      </c>
      <c r="C82" s="72" t="s">
        <v>1085</v>
      </c>
      <c r="D82" s="73" t="s">
        <v>1064</v>
      </c>
      <c r="E82" s="72" t="s">
        <v>1066</v>
      </c>
      <c r="F82" s="84">
        <v>82.92</v>
      </c>
      <c r="G82" s="73" t="s">
        <v>2319</v>
      </c>
      <c r="H82" s="75"/>
      <c r="I82" s="75"/>
      <c r="J82" s="75"/>
      <c r="K82" s="75"/>
      <c r="L82" s="75"/>
      <c r="M82" s="75"/>
      <c r="N82" s="75"/>
      <c r="O82" s="75">
        <f>SUM(TABELA24[[#This Row],[T1]:[T7]])</f>
        <v>0</v>
      </c>
      <c r="P82" s="76">
        <f>TABELA24[[#This Row],[QTDE]]*TABELA24[[#This Row],[PREÇO]]</f>
        <v>0</v>
      </c>
    </row>
    <row r="83" spans="1:16" x14ac:dyDescent="0.2">
      <c r="A83" s="70" t="s">
        <v>1087</v>
      </c>
      <c r="B83" s="71" t="s">
        <v>1084</v>
      </c>
      <c r="C83" s="72" t="s">
        <v>1085</v>
      </c>
      <c r="D83" s="73" t="s">
        <v>1068</v>
      </c>
      <c r="E83" s="72" t="s">
        <v>1069</v>
      </c>
      <c r="F83" s="84">
        <v>82.92</v>
      </c>
      <c r="G83" s="73" t="s">
        <v>2319</v>
      </c>
      <c r="H83" s="75"/>
      <c r="I83" s="75"/>
      <c r="J83" s="75"/>
      <c r="K83" s="75"/>
      <c r="L83" s="75"/>
      <c r="M83" s="75"/>
      <c r="N83" s="75"/>
      <c r="O83" s="75">
        <f>SUM(TABELA24[[#This Row],[T1]:[T7]])</f>
        <v>0</v>
      </c>
      <c r="P83" s="76">
        <f>TABELA24[[#This Row],[QTDE]]*TABELA24[[#This Row],[PREÇO]]</f>
        <v>0</v>
      </c>
    </row>
    <row r="84" spans="1:16" x14ac:dyDescent="0.2">
      <c r="A84" s="70" t="s">
        <v>1090</v>
      </c>
      <c r="B84" s="71" t="s">
        <v>1088</v>
      </c>
      <c r="C84" s="72" t="s">
        <v>1089</v>
      </c>
      <c r="D84" s="73" t="s">
        <v>1046</v>
      </c>
      <c r="E84" s="72" t="s">
        <v>1048</v>
      </c>
      <c r="F84" s="84">
        <v>249.58</v>
      </c>
      <c r="G84" s="73" t="s">
        <v>829</v>
      </c>
      <c r="H84" s="75"/>
      <c r="I84" s="75"/>
      <c r="J84" s="75"/>
      <c r="K84" s="75"/>
      <c r="L84" s="75"/>
      <c r="M84" s="75"/>
      <c r="N84" s="75"/>
      <c r="O84" s="75">
        <f>SUM(TABELA24[[#This Row],[T1]:[T7]])</f>
        <v>0</v>
      </c>
      <c r="P84" s="76">
        <f>TABELA24[[#This Row],[QTDE]]*TABELA24[[#This Row],[PREÇO]]</f>
        <v>0</v>
      </c>
    </row>
    <row r="85" spans="1:16" x14ac:dyDescent="0.2">
      <c r="A85" s="70" t="s">
        <v>1093</v>
      </c>
      <c r="B85" s="71" t="s">
        <v>1091</v>
      </c>
      <c r="C85" s="72" t="s">
        <v>1092</v>
      </c>
      <c r="D85" s="73" t="s">
        <v>1046</v>
      </c>
      <c r="E85" s="72" t="s">
        <v>1048</v>
      </c>
      <c r="F85" s="84">
        <v>191.25</v>
      </c>
      <c r="G85" s="73" t="s">
        <v>829</v>
      </c>
      <c r="H85" s="75"/>
      <c r="I85" s="75"/>
      <c r="J85" s="75"/>
      <c r="K85" s="75"/>
      <c r="L85" s="75"/>
      <c r="M85" s="75"/>
      <c r="N85" s="75"/>
      <c r="O85" s="75">
        <f>SUM(TABELA24[[#This Row],[T1]:[T7]])</f>
        <v>0</v>
      </c>
      <c r="P85" s="76">
        <f>TABELA24[[#This Row],[QTDE]]*TABELA24[[#This Row],[PREÇO]]</f>
        <v>0</v>
      </c>
    </row>
    <row r="86" spans="1:16" x14ac:dyDescent="0.2">
      <c r="A86" s="70" t="s">
        <v>1096</v>
      </c>
      <c r="B86" s="71" t="s">
        <v>1094</v>
      </c>
      <c r="C86" s="72" t="s">
        <v>1095</v>
      </c>
      <c r="D86" s="73" t="s">
        <v>1064</v>
      </c>
      <c r="E86" s="72" t="s">
        <v>1066</v>
      </c>
      <c r="F86" s="84">
        <v>191.25</v>
      </c>
      <c r="G86" s="73" t="s">
        <v>829</v>
      </c>
      <c r="H86" s="75"/>
      <c r="I86" s="75"/>
      <c r="J86" s="75"/>
      <c r="K86" s="75"/>
      <c r="L86" s="75"/>
      <c r="M86" s="75"/>
      <c r="N86" s="75"/>
      <c r="O86" s="75">
        <f>SUM(TABELA24[[#This Row],[T1]:[T7]])</f>
        <v>0</v>
      </c>
      <c r="P86" s="76">
        <f>TABELA24[[#This Row],[QTDE]]*TABELA24[[#This Row],[PREÇO]]</f>
        <v>0</v>
      </c>
    </row>
    <row r="87" spans="1:16" x14ac:dyDescent="0.2">
      <c r="A87" s="70" t="s">
        <v>1099</v>
      </c>
      <c r="B87" s="71" t="s">
        <v>1097</v>
      </c>
      <c r="C87" s="72" t="s">
        <v>1098</v>
      </c>
      <c r="D87" s="73" t="s">
        <v>1046</v>
      </c>
      <c r="E87" s="72" t="s">
        <v>1048</v>
      </c>
      <c r="F87" s="84">
        <v>203.75</v>
      </c>
      <c r="G87" s="73" t="s">
        <v>829</v>
      </c>
      <c r="H87" s="75"/>
      <c r="I87" s="75"/>
      <c r="J87" s="75"/>
      <c r="K87" s="75"/>
      <c r="L87" s="75"/>
      <c r="M87" s="75"/>
      <c r="N87" s="75"/>
      <c r="O87" s="75">
        <f>SUM(TABELA24[[#This Row],[T1]:[T7]])</f>
        <v>0</v>
      </c>
      <c r="P87" s="76">
        <f>TABELA24[[#This Row],[QTDE]]*TABELA24[[#This Row],[PREÇO]]</f>
        <v>0</v>
      </c>
    </row>
    <row r="88" spans="1:16" x14ac:dyDescent="0.2">
      <c r="A88" s="70" t="s">
        <v>1104</v>
      </c>
      <c r="B88" s="71" t="s">
        <v>1100</v>
      </c>
      <c r="C88" s="72" t="s">
        <v>1102</v>
      </c>
      <c r="D88" s="73" t="s">
        <v>1101</v>
      </c>
      <c r="E88" s="72" t="s">
        <v>1103</v>
      </c>
      <c r="F88" s="84">
        <v>166.25</v>
      </c>
      <c r="G88" s="73" t="s">
        <v>829</v>
      </c>
      <c r="H88" s="75"/>
      <c r="I88" s="75"/>
      <c r="J88" s="75"/>
      <c r="K88" s="75"/>
      <c r="L88" s="75"/>
      <c r="M88" s="75"/>
      <c r="N88" s="75"/>
      <c r="O88" s="75">
        <f>SUM(TABELA24[[#This Row],[T1]:[T7]])</f>
        <v>0</v>
      </c>
      <c r="P88" s="76">
        <f>TABELA24[[#This Row],[QTDE]]*TABELA24[[#This Row],[PREÇO]]</f>
        <v>0</v>
      </c>
    </row>
    <row r="89" spans="1:16" x14ac:dyDescent="0.2">
      <c r="A89" s="70" t="s">
        <v>1109</v>
      </c>
      <c r="B89" s="71" t="s">
        <v>1105</v>
      </c>
      <c r="C89" s="72" t="s">
        <v>1107</v>
      </c>
      <c r="D89" s="73" t="s">
        <v>1106</v>
      </c>
      <c r="E89" s="72" t="s">
        <v>1108</v>
      </c>
      <c r="F89" s="84">
        <v>203.75</v>
      </c>
      <c r="G89" s="73" t="s">
        <v>829</v>
      </c>
      <c r="H89" s="75"/>
      <c r="I89" s="75"/>
      <c r="J89" s="75"/>
      <c r="K89" s="75"/>
      <c r="L89" s="75"/>
      <c r="M89" s="75"/>
      <c r="N89" s="75"/>
      <c r="O89" s="75">
        <f>SUM(TABELA24[[#This Row],[T1]:[T7]])</f>
        <v>0</v>
      </c>
      <c r="P89" s="76">
        <f>TABELA24[[#This Row],[QTDE]]*TABELA24[[#This Row],[PREÇO]]</f>
        <v>0</v>
      </c>
    </row>
    <row r="90" spans="1:16" x14ac:dyDescent="0.2">
      <c r="A90" s="70" t="s">
        <v>1114</v>
      </c>
      <c r="B90" s="71" t="s">
        <v>1110</v>
      </c>
      <c r="C90" s="72" t="s">
        <v>1112</v>
      </c>
      <c r="D90" s="73" t="s">
        <v>1111</v>
      </c>
      <c r="E90" s="72" t="s">
        <v>1113</v>
      </c>
      <c r="F90" s="84">
        <v>195.42</v>
      </c>
      <c r="G90" s="73" t="s">
        <v>829</v>
      </c>
      <c r="H90" s="75"/>
      <c r="I90" s="75"/>
      <c r="J90" s="75"/>
      <c r="K90" s="75"/>
      <c r="L90" s="75"/>
      <c r="M90" s="75"/>
      <c r="N90" s="75"/>
      <c r="O90" s="75">
        <f>SUM(TABELA24[[#This Row],[T1]:[T7]])</f>
        <v>0</v>
      </c>
      <c r="P90" s="76">
        <f>TABELA24[[#This Row],[QTDE]]*TABELA24[[#This Row],[PREÇO]]</f>
        <v>0</v>
      </c>
    </row>
    <row r="91" spans="1:16" x14ac:dyDescent="0.2">
      <c r="A91" s="70" t="s">
        <v>1117</v>
      </c>
      <c r="B91" s="71" t="s">
        <v>1115</v>
      </c>
      <c r="C91" s="72" t="s">
        <v>1116</v>
      </c>
      <c r="D91" s="73" t="s">
        <v>32</v>
      </c>
      <c r="E91" s="72" t="s">
        <v>33</v>
      </c>
      <c r="F91" s="84">
        <v>199.58</v>
      </c>
      <c r="G91" s="73" t="s">
        <v>829</v>
      </c>
      <c r="H91" s="75"/>
      <c r="I91" s="75"/>
      <c r="J91" s="75"/>
      <c r="K91" s="75"/>
      <c r="L91" s="75"/>
      <c r="M91" s="75"/>
      <c r="N91" s="75"/>
      <c r="O91" s="75">
        <f>SUM(TABELA24[[#This Row],[T1]:[T7]])</f>
        <v>0</v>
      </c>
      <c r="P91" s="76">
        <f>TABELA24[[#This Row],[QTDE]]*TABELA24[[#This Row],[PREÇO]]</f>
        <v>0</v>
      </c>
    </row>
    <row r="92" spans="1:16" x14ac:dyDescent="0.2">
      <c r="A92" s="70" t="s">
        <v>1120</v>
      </c>
      <c r="B92" s="71" t="s">
        <v>1115</v>
      </c>
      <c r="C92" s="72" t="s">
        <v>1116</v>
      </c>
      <c r="D92" s="73" t="s">
        <v>1118</v>
      </c>
      <c r="E92" s="72" t="s">
        <v>1119</v>
      </c>
      <c r="F92" s="84">
        <v>199.58</v>
      </c>
      <c r="G92" s="73" t="s">
        <v>829</v>
      </c>
      <c r="H92" s="75"/>
      <c r="I92" s="75"/>
      <c r="J92" s="75"/>
      <c r="K92" s="75"/>
      <c r="L92" s="75"/>
      <c r="M92" s="75"/>
      <c r="N92" s="75"/>
      <c r="O92" s="75">
        <f>SUM(TABELA24[[#This Row],[T1]:[T7]])</f>
        <v>0</v>
      </c>
      <c r="P92" s="76">
        <f>TABELA24[[#This Row],[QTDE]]*TABELA24[[#This Row],[PREÇO]]</f>
        <v>0</v>
      </c>
    </row>
    <row r="93" spans="1:16" x14ac:dyDescent="0.2">
      <c r="A93" s="70" t="s">
        <v>1123</v>
      </c>
      <c r="B93" s="71" t="s">
        <v>1121</v>
      </c>
      <c r="C93" s="72" t="s">
        <v>1122</v>
      </c>
      <c r="D93" s="73" t="s">
        <v>1106</v>
      </c>
      <c r="E93" s="72" t="s">
        <v>1108</v>
      </c>
      <c r="F93" s="84">
        <v>103.75</v>
      </c>
      <c r="G93" s="73" t="s">
        <v>829</v>
      </c>
      <c r="H93" s="75"/>
      <c r="I93" s="75"/>
      <c r="J93" s="75"/>
      <c r="K93" s="75"/>
      <c r="L93" s="75"/>
      <c r="M93" s="75"/>
      <c r="N93" s="75"/>
      <c r="O93" s="75">
        <f>SUM(TABELA24[[#This Row],[T1]:[T7]])</f>
        <v>0</v>
      </c>
      <c r="P93" s="76">
        <f>TABELA24[[#This Row],[QTDE]]*TABELA24[[#This Row],[PREÇO]]</f>
        <v>0</v>
      </c>
    </row>
    <row r="94" spans="1:16" x14ac:dyDescent="0.2">
      <c r="A94" s="70" t="s">
        <v>1126</v>
      </c>
      <c r="B94" s="71" t="s">
        <v>1124</v>
      </c>
      <c r="C94" s="72" t="s">
        <v>1125</v>
      </c>
      <c r="D94" s="73" t="s">
        <v>1111</v>
      </c>
      <c r="E94" s="72" t="s">
        <v>1113</v>
      </c>
      <c r="F94" s="84">
        <v>112.08</v>
      </c>
      <c r="G94" s="73" t="s">
        <v>829</v>
      </c>
      <c r="H94" s="75"/>
      <c r="I94" s="75"/>
      <c r="J94" s="75"/>
      <c r="K94" s="75"/>
      <c r="L94" s="75"/>
      <c r="M94" s="75"/>
      <c r="N94" s="75"/>
      <c r="O94" s="75">
        <f>SUM(TABELA24[[#This Row],[T1]:[T7]])</f>
        <v>0</v>
      </c>
      <c r="P94" s="76">
        <f>TABELA24[[#This Row],[QTDE]]*TABELA24[[#This Row],[PREÇO]]</f>
        <v>0</v>
      </c>
    </row>
    <row r="95" spans="1:16" x14ac:dyDescent="0.2">
      <c r="A95" s="70" t="s">
        <v>1129</v>
      </c>
      <c r="B95" s="71" t="s">
        <v>1127</v>
      </c>
      <c r="C95" s="72" t="s">
        <v>1128</v>
      </c>
      <c r="D95" s="73" t="s">
        <v>929</v>
      </c>
      <c r="E95" s="72" t="s">
        <v>931</v>
      </c>
      <c r="F95" s="84">
        <v>137.08000000000001</v>
      </c>
      <c r="G95" s="73" t="s">
        <v>829</v>
      </c>
      <c r="H95" s="75"/>
      <c r="I95" s="75"/>
      <c r="J95" s="75"/>
      <c r="K95" s="75"/>
      <c r="L95" s="75"/>
      <c r="M95" s="75"/>
      <c r="N95" s="75"/>
      <c r="O95" s="75">
        <f>SUM(TABELA24[[#This Row],[T1]:[T7]])</f>
        <v>0</v>
      </c>
      <c r="P95" s="76">
        <f>TABELA24[[#This Row],[QTDE]]*TABELA24[[#This Row],[PREÇO]]</f>
        <v>0</v>
      </c>
    </row>
    <row r="96" spans="1:16" x14ac:dyDescent="0.2">
      <c r="A96" s="70" t="s">
        <v>1132</v>
      </c>
      <c r="B96" s="71" t="s">
        <v>1130</v>
      </c>
      <c r="C96" s="72" t="s">
        <v>1131</v>
      </c>
      <c r="D96" s="73" t="s">
        <v>32</v>
      </c>
      <c r="E96" s="72" t="s">
        <v>33</v>
      </c>
      <c r="F96" s="84">
        <v>145.41999999999999</v>
      </c>
      <c r="G96" s="73" t="s">
        <v>829</v>
      </c>
      <c r="H96" s="75"/>
      <c r="I96" s="75"/>
      <c r="J96" s="75"/>
      <c r="K96" s="75"/>
      <c r="L96" s="75"/>
      <c r="M96" s="75"/>
      <c r="N96" s="75"/>
      <c r="O96" s="75">
        <f>SUM(TABELA24[[#This Row],[T1]:[T7]])</f>
        <v>0</v>
      </c>
      <c r="P96" s="76">
        <f>TABELA24[[#This Row],[QTDE]]*TABELA24[[#This Row],[PREÇO]]</f>
        <v>0</v>
      </c>
    </row>
    <row r="97" spans="1:16" x14ac:dyDescent="0.2">
      <c r="A97" s="70" t="s">
        <v>1135</v>
      </c>
      <c r="B97" s="71" t="s">
        <v>1130</v>
      </c>
      <c r="C97" s="72" t="s">
        <v>1131</v>
      </c>
      <c r="D97" s="73" t="s">
        <v>1133</v>
      </c>
      <c r="E97" s="72" t="s">
        <v>1134</v>
      </c>
      <c r="F97" s="84">
        <v>145.41999999999999</v>
      </c>
      <c r="G97" s="73" t="s">
        <v>829</v>
      </c>
      <c r="H97" s="75"/>
      <c r="I97" s="75"/>
      <c r="J97" s="75"/>
      <c r="K97" s="75"/>
      <c r="L97" s="75"/>
      <c r="M97" s="75"/>
      <c r="N97" s="75"/>
      <c r="O97" s="75">
        <f>SUM(TABELA24[[#This Row],[T1]:[T7]])</f>
        <v>0</v>
      </c>
      <c r="P97" s="76">
        <f>TABELA24[[#This Row],[QTDE]]*TABELA24[[#This Row],[PREÇO]]</f>
        <v>0</v>
      </c>
    </row>
    <row r="98" spans="1:16" x14ac:dyDescent="0.2">
      <c r="A98" s="70" t="s">
        <v>1139</v>
      </c>
      <c r="B98" s="71" t="s">
        <v>1136</v>
      </c>
      <c r="C98" s="72" t="s">
        <v>1137</v>
      </c>
      <c r="D98" s="73" t="s">
        <v>1133</v>
      </c>
      <c r="E98" s="72" t="s">
        <v>1134</v>
      </c>
      <c r="F98" s="84">
        <v>116.25</v>
      </c>
      <c r="G98" s="73" t="s">
        <v>829</v>
      </c>
      <c r="H98" s="75"/>
      <c r="I98" s="75"/>
      <c r="J98" s="75"/>
      <c r="K98" s="75"/>
      <c r="L98" s="75"/>
      <c r="M98" s="75"/>
      <c r="N98" s="75"/>
      <c r="O98" s="75">
        <f>SUM(TABELA24[[#This Row],[T1]:[T7]])</f>
        <v>0</v>
      </c>
      <c r="P98" s="76">
        <f>TABELA24[[#This Row],[QTDE]]*TABELA24[[#This Row],[PREÇO]]</f>
        <v>0</v>
      </c>
    </row>
    <row r="99" spans="1:16" x14ac:dyDescent="0.2">
      <c r="A99" s="70" t="s">
        <v>1138</v>
      </c>
      <c r="B99" s="71" t="s">
        <v>1136</v>
      </c>
      <c r="C99" s="72" t="s">
        <v>1137</v>
      </c>
      <c r="D99" s="73" t="s">
        <v>32</v>
      </c>
      <c r="E99" s="72" t="s">
        <v>33</v>
      </c>
      <c r="F99" s="84">
        <v>116.25</v>
      </c>
      <c r="G99" s="73" t="s">
        <v>829</v>
      </c>
      <c r="H99" s="75"/>
      <c r="I99" s="75"/>
      <c r="J99" s="75"/>
      <c r="K99" s="75"/>
      <c r="L99" s="75"/>
      <c r="M99" s="75"/>
      <c r="N99" s="75"/>
      <c r="O99" s="75">
        <f>SUM(TABELA24[[#This Row],[T1]:[T7]])</f>
        <v>0</v>
      </c>
      <c r="P99" s="76">
        <f>TABELA24[[#This Row],[QTDE]]*TABELA24[[#This Row],[PREÇO]]</f>
        <v>0</v>
      </c>
    </row>
    <row r="100" spans="1:16" x14ac:dyDescent="0.2">
      <c r="A100" s="70" t="s">
        <v>1142</v>
      </c>
      <c r="B100" s="71" t="s">
        <v>1140</v>
      </c>
      <c r="C100" s="72" t="s">
        <v>1141</v>
      </c>
      <c r="D100" s="73" t="s">
        <v>929</v>
      </c>
      <c r="E100" s="72" t="s">
        <v>931</v>
      </c>
      <c r="F100" s="84">
        <v>166.25</v>
      </c>
      <c r="G100" s="73" t="s">
        <v>829</v>
      </c>
      <c r="H100" s="75"/>
      <c r="I100" s="75"/>
      <c r="J100" s="75"/>
      <c r="K100" s="75"/>
      <c r="L100" s="75"/>
      <c r="M100" s="75"/>
      <c r="N100" s="75"/>
      <c r="O100" s="75">
        <f>SUM(TABELA24[[#This Row],[T1]:[T7]])</f>
        <v>0</v>
      </c>
      <c r="P100" s="76">
        <f>TABELA24[[#This Row],[QTDE]]*TABELA24[[#This Row],[PREÇO]]</f>
        <v>0</v>
      </c>
    </row>
    <row r="101" spans="1:16" x14ac:dyDescent="0.2">
      <c r="A101" s="70" t="s">
        <v>1145</v>
      </c>
      <c r="B101" s="71" t="s">
        <v>1143</v>
      </c>
      <c r="C101" s="72" t="s">
        <v>1144</v>
      </c>
      <c r="D101" s="73" t="s">
        <v>1106</v>
      </c>
      <c r="E101" s="72" t="s">
        <v>1108</v>
      </c>
      <c r="F101" s="84">
        <v>149.58000000000001</v>
      </c>
      <c r="G101" s="73" t="s">
        <v>829</v>
      </c>
      <c r="H101" s="75"/>
      <c r="I101" s="75"/>
      <c r="J101" s="75"/>
      <c r="K101" s="75"/>
      <c r="L101" s="75"/>
      <c r="M101" s="75"/>
      <c r="N101" s="75"/>
      <c r="O101" s="75">
        <f>SUM(TABELA24[[#This Row],[T1]:[T7]])</f>
        <v>0</v>
      </c>
      <c r="P101" s="76">
        <f>TABELA24[[#This Row],[QTDE]]*TABELA24[[#This Row],[PREÇO]]</f>
        <v>0</v>
      </c>
    </row>
    <row r="102" spans="1:16" x14ac:dyDescent="0.2">
      <c r="A102" s="70" t="s">
        <v>1148</v>
      </c>
      <c r="B102" s="71" t="s">
        <v>1146</v>
      </c>
      <c r="C102" s="72" t="s">
        <v>1147</v>
      </c>
      <c r="D102" s="73" t="s">
        <v>1111</v>
      </c>
      <c r="E102" s="72" t="s">
        <v>1113</v>
      </c>
      <c r="F102" s="84">
        <v>166.25</v>
      </c>
      <c r="G102" s="73" t="s">
        <v>829</v>
      </c>
      <c r="H102" s="75"/>
      <c r="I102" s="75"/>
      <c r="J102" s="75"/>
      <c r="K102" s="75"/>
      <c r="L102" s="75"/>
      <c r="M102" s="75"/>
      <c r="N102" s="75"/>
      <c r="O102" s="75">
        <f>SUM(TABELA24[[#This Row],[T1]:[T7]])</f>
        <v>0</v>
      </c>
      <c r="P102" s="76">
        <f>TABELA24[[#This Row],[QTDE]]*TABELA24[[#This Row],[PREÇO]]</f>
        <v>0</v>
      </c>
    </row>
    <row r="103" spans="1:16" x14ac:dyDescent="0.2">
      <c r="A103" s="70" t="s">
        <v>1151</v>
      </c>
      <c r="B103" s="71" t="s">
        <v>1149</v>
      </c>
      <c r="C103" s="72" t="s">
        <v>1150</v>
      </c>
      <c r="D103" s="73" t="s">
        <v>1064</v>
      </c>
      <c r="E103" s="72" t="s">
        <v>1066</v>
      </c>
      <c r="F103" s="84">
        <v>374.58</v>
      </c>
      <c r="G103" s="73" t="s">
        <v>829</v>
      </c>
      <c r="H103" s="75"/>
      <c r="I103" s="75"/>
      <c r="J103" s="75"/>
      <c r="K103" s="75"/>
      <c r="L103" s="75"/>
      <c r="M103" s="75"/>
      <c r="N103" s="75"/>
      <c r="O103" s="75">
        <f>SUM(TABELA24[[#This Row],[T1]:[T7]])</f>
        <v>0</v>
      </c>
      <c r="P103" s="76">
        <f>TABELA24[[#This Row],[QTDE]]*TABELA24[[#This Row],[PREÇO]]</f>
        <v>0</v>
      </c>
    </row>
    <row r="104" spans="1:16" x14ac:dyDescent="0.2">
      <c r="A104" s="70" t="s">
        <v>1152</v>
      </c>
      <c r="B104" s="71" t="s">
        <v>1149</v>
      </c>
      <c r="C104" s="72" t="s">
        <v>1150</v>
      </c>
      <c r="D104" s="73" t="s">
        <v>1068</v>
      </c>
      <c r="E104" s="72" t="s">
        <v>1069</v>
      </c>
      <c r="F104" s="84">
        <v>374.58</v>
      </c>
      <c r="G104" s="73" t="s">
        <v>829</v>
      </c>
      <c r="H104" s="75"/>
      <c r="I104" s="75"/>
      <c r="J104" s="75"/>
      <c r="K104" s="75"/>
      <c r="L104" s="75"/>
      <c r="M104" s="75"/>
      <c r="N104" s="75"/>
      <c r="O104" s="75">
        <f>SUM(TABELA24[[#This Row],[T1]:[T7]])</f>
        <v>0</v>
      </c>
      <c r="P104" s="76">
        <f>TABELA24[[#This Row],[QTDE]]*TABELA24[[#This Row],[PREÇO]]</f>
        <v>0</v>
      </c>
    </row>
    <row r="105" spans="1:16" x14ac:dyDescent="0.2">
      <c r="A105" s="70" t="s">
        <v>1155</v>
      </c>
      <c r="B105" s="71" t="s">
        <v>1153</v>
      </c>
      <c r="C105" s="72" t="s">
        <v>1154</v>
      </c>
      <c r="D105" s="73" t="s">
        <v>821</v>
      </c>
      <c r="E105" s="72" t="s">
        <v>822</v>
      </c>
      <c r="F105" s="84">
        <v>316.25</v>
      </c>
      <c r="G105" s="73" t="s">
        <v>829</v>
      </c>
      <c r="H105" s="75"/>
      <c r="I105" s="75"/>
      <c r="J105" s="75"/>
      <c r="K105" s="75"/>
      <c r="L105" s="75"/>
      <c r="M105" s="75"/>
      <c r="N105" s="75"/>
      <c r="O105" s="75">
        <f>SUM(TABELA24[[#This Row],[T1]:[T7]])</f>
        <v>0</v>
      </c>
      <c r="P105" s="76">
        <f>TABELA24[[#This Row],[QTDE]]*TABELA24[[#This Row],[PREÇO]]</f>
        <v>0</v>
      </c>
    </row>
    <row r="106" spans="1:16" x14ac:dyDescent="0.2">
      <c r="A106" s="70" t="s">
        <v>1158</v>
      </c>
      <c r="B106" s="71" t="s">
        <v>1156</v>
      </c>
      <c r="C106" s="72" t="s">
        <v>1157</v>
      </c>
      <c r="D106" s="73" t="s">
        <v>924</v>
      </c>
      <c r="E106" s="72" t="s">
        <v>926</v>
      </c>
      <c r="F106" s="84">
        <v>207.92</v>
      </c>
      <c r="G106" s="73" t="s">
        <v>829</v>
      </c>
      <c r="H106" s="75"/>
      <c r="I106" s="75"/>
      <c r="J106" s="75"/>
      <c r="K106" s="75"/>
      <c r="L106" s="75"/>
      <c r="M106" s="75"/>
      <c r="N106" s="75"/>
      <c r="O106" s="75">
        <f>SUM(TABELA24[[#This Row],[T1]:[T7]])</f>
        <v>0</v>
      </c>
      <c r="P106" s="76">
        <f>TABELA24[[#This Row],[QTDE]]*TABELA24[[#This Row],[PREÇO]]</f>
        <v>0</v>
      </c>
    </row>
    <row r="107" spans="1:16" x14ac:dyDescent="0.2">
      <c r="A107" s="70" t="s">
        <v>1162</v>
      </c>
      <c r="B107" s="71" t="s">
        <v>1159</v>
      </c>
      <c r="C107" s="72" t="s">
        <v>1160</v>
      </c>
      <c r="D107" s="73" t="s">
        <v>888</v>
      </c>
      <c r="E107" s="72" t="s">
        <v>1161</v>
      </c>
      <c r="F107" s="84">
        <v>195.42</v>
      </c>
      <c r="G107" s="73" t="s">
        <v>829</v>
      </c>
      <c r="H107" s="75"/>
      <c r="I107" s="75"/>
      <c r="J107" s="75"/>
      <c r="K107" s="75"/>
      <c r="L107" s="75"/>
      <c r="M107" s="75"/>
      <c r="N107" s="75"/>
      <c r="O107" s="75">
        <f>SUM(TABELA24[[#This Row],[T1]:[T7]])</f>
        <v>0</v>
      </c>
      <c r="P107" s="76">
        <f>TABELA24[[#This Row],[QTDE]]*TABELA24[[#This Row],[PREÇO]]</f>
        <v>0</v>
      </c>
    </row>
    <row r="108" spans="1:16" x14ac:dyDescent="0.2">
      <c r="A108" s="70" t="s">
        <v>1167</v>
      </c>
      <c r="B108" s="71" t="s">
        <v>1163</v>
      </c>
      <c r="C108" s="72" t="s">
        <v>1165</v>
      </c>
      <c r="D108" s="73" t="s">
        <v>1164</v>
      </c>
      <c r="E108" s="72" t="s">
        <v>1166</v>
      </c>
      <c r="F108" s="84">
        <v>120.42</v>
      </c>
      <c r="G108" s="73" t="s">
        <v>829</v>
      </c>
      <c r="H108" s="75"/>
      <c r="I108" s="75"/>
      <c r="J108" s="75"/>
      <c r="K108" s="75"/>
      <c r="L108" s="75"/>
      <c r="M108" s="75"/>
      <c r="N108" s="75"/>
      <c r="O108" s="75">
        <f>SUM(TABELA24[[#This Row],[T1]:[T7]])</f>
        <v>0</v>
      </c>
      <c r="P108" s="76">
        <f>TABELA24[[#This Row],[QTDE]]*TABELA24[[#This Row],[PREÇO]]</f>
        <v>0</v>
      </c>
    </row>
    <row r="109" spans="1:16" x14ac:dyDescent="0.2">
      <c r="A109" s="70" t="s">
        <v>1168</v>
      </c>
      <c r="B109" s="71" t="s">
        <v>1169</v>
      </c>
      <c r="C109" s="72" t="s">
        <v>1170</v>
      </c>
      <c r="D109" s="73" t="s">
        <v>824</v>
      </c>
      <c r="E109" s="72" t="s">
        <v>825</v>
      </c>
      <c r="F109" s="84">
        <v>241.25</v>
      </c>
      <c r="G109" s="73" t="s">
        <v>826</v>
      </c>
      <c r="H109" s="75"/>
      <c r="I109" s="75"/>
      <c r="J109" s="75"/>
      <c r="K109" s="75"/>
      <c r="L109" s="75"/>
      <c r="M109" s="75"/>
      <c r="N109" s="75"/>
      <c r="O109" s="75">
        <f>SUM(TABELA24[[#This Row],[T1]:[T7]])</f>
        <v>0</v>
      </c>
      <c r="P109" s="76">
        <f>TABELA24[[#This Row],[QTDE]]*TABELA24[[#This Row],[PREÇO]]</f>
        <v>0</v>
      </c>
    </row>
    <row r="110" spans="1:16" x14ac:dyDescent="0.2">
      <c r="A110" s="70" t="s">
        <v>1171</v>
      </c>
      <c r="B110" s="71" t="s">
        <v>1172</v>
      </c>
      <c r="C110" s="72" t="s">
        <v>1174</v>
      </c>
      <c r="D110" s="73" t="s">
        <v>1173</v>
      </c>
      <c r="E110" s="72" t="s">
        <v>1175</v>
      </c>
      <c r="F110" s="84">
        <v>228.75</v>
      </c>
      <c r="G110" s="73" t="s">
        <v>826</v>
      </c>
      <c r="H110" s="75"/>
      <c r="I110" s="75"/>
      <c r="J110" s="75"/>
      <c r="K110" s="75"/>
      <c r="L110" s="75"/>
      <c r="M110" s="75"/>
      <c r="N110" s="75"/>
      <c r="O110" s="75">
        <f>SUM(TABELA24[[#This Row],[T1]:[T7]])</f>
        <v>0</v>
      </c>
      <c r="P110" s="76">
        <f>TABELA24[[#This Row],[QTDE]]*TABELA24[[#This Row],[PREÇO]]</f>
        <v>0</v>
      </c>
    </row>
    <row r="111" spans="1:16" x14ac:dyDescent="0.2">
      <c r="A111" s="70" t="s">
        <v>1176</v>
      </c>
      <c r="B111" s="71" t="s">
        <v>1177</v>
      </c>
      <c r="C111" s="72" t="s">
        <v>1178</v>
      </c>
      <c r="D111" s="73" t="s">
        <v>32</v>
      </c>
      <c r="E111" s="72" t="s">
        <v>33</v>
      </c>
      <c r="F111" s="84">
        <v>149.58000000000001</v>
      </c>
      <c r="G111" s="73" t="s">
        <v>826</v>
      </c>
      <c r="H111" s="75"/>
      <c r="I111" s="75"/>
      <c r="J111" s="75"/>
      <c r="K111" s="75"/>
      <c r="L111" s="75"/>
      <c r="M111" s="75"/>
      <c r="N111" s="75"/>
      <c r="O111" s="75">
        <f>SUM(TABELA24[[#This Row],[T1]:[T7]])</f>
        <v>0</v>
      </c>
      <c r="P111" s="76">
        <f>TABELA24[[#This Row],[QTDE]]*TABELA24[[#This Row],[PREÇO]]</f>
        <v>0</v>
      </c>
    </row>
    <row r="112" spans="1:16" x14ac:dyDescent="0.2">
      <c r="A112" s="70" t="s">
        <v>1179</v>
      </c>
      <c r="B112" s="71" t="s">
        <v>1177</v>
      </c>
      <c r="C112" s="72" t="s">
        <v>1178</v>
      </c>
      <c r="D112" s="73" t="s">
        <v>830</v>
      </c>
      <c r="E112" s="72" t="s">
        <v>43</v>
      </c>
      <c r="F112" s="84">
        <v>149.58000000000001</v>
      </c>
      <c r="G112" s="73" t="s">
        <v>826</v>
      </c>
      <c r="H112" s="75"/>
      <c r="I112" s="75"/>
      <c r="J112" s="75"/>
      <c r="K112" s="75"/>
      <c r="L112" s="75"/>
      <c r="M112" s="75"/>
      <c r="N112" s="75"/>
      <c r="O112" s="75">
        <f>SUM(TABELA24[[#This Row],[T1]:[T7]])</f>
        <v>0</v>
      </c>
      <c r="P112" s="76">
        <f>TABELA24[[#This Row],[QTDE]]*TABELA24[[#This Row],[PREÇO]]</f>
        <v>0</v>
      </c>
    </row>
    <row r="113" spans="1:16" x14ac:dyDescent="0.2">
      <c r="A113" s="70" t="s">
        <v>1180</v>
      </c>
      <c r="B113" s="71" t="s">
        <v>1181</v>
      </c>
      <c r="C113" s="72" t="s">
        <v>1182</v>
      </c>
      <c r="D113" s="73" t="s">
        <v>32</v>
      </c>
      <c r="E113" s="72" t="s">
        <v>33</v>
      </c>
      <c r="F113" s="84">
        <v>157.91999999999999</v>
      </c>
      <c r="G113" s="73" t="s">
        <v>17</v>
      </c>
      <c r="H113" s="75"/>
      <c r="I113" s="75"/>
      <c r="J113" s="75"/>
      <c r="K113" s="75"/>
      <c r="L113" s="75"/>
      <c r="M113" s="75"/>
      <c r="N113" s="75"/>
      <c r="O113" s="75">
        <f>SUM(TABELA24[[#This Row],[T1]:[T7]])</f>
        <v>0</v>
      </c>
      <c r="P113" s="76">
        <f>TABELA24[[#This Row],[QTDE]]*TABELA24[[#This Row],[PREÇO]]</f>
        <v>0</v>
      </c>
    </row>
    <row r="114" spans="1:16" x14ac:dyDescent="0.2">
      <c r="A114" s="70" t="s">
        <v>1183</v>
      </c>
      <c r="B114" s="71" t="s">
        <v>1181</v>
      </c>
      <c r="C114" s="72" t="s">
        <v>1182</v>
      </c>
      <c r="D114" s="73" t="s">
        <v>830</v>
      </c>
      <c r="E114" s="72" t="s">
        <v>43</v>
      </c>
      <c r="F114" s="84">
        <v>157.91999999999999</v>
      </c>
      <c r="G114" s="73" t="s">
        <v>17</v>
      </c>
      <c r="H114" s="75"/>
      <c r="I114" s="75"/>
      <c r="J114" s="75"/>
      <c r="K114" s="75"/>
      <c r="L114" s="75"/>
      <c r="M114" s="75"/>
      <c r="N114" s="75"/>
      <c r="O114" s="75">
        <f>SUM(TABELA24[[#This Row],[T1]:[T7]])</f>
        <v>0</v>
      </c>
      <c r="P114" s="76">
        <f>TABELA24[[#This Row],[QTDE]]*TABELA24[[#This Row],[PREÇO]]</f>
        <v>0</v>
      </c>
    </row>
    <row r="115" spans="1:16" x14ac:dyDescent="0.2">
      <c r="A115" s="70" t="s">
        <v>1186</v>
      </c>
      <c r="B115" s="71" t="s">
        <v>1185</v>
      </c>
      <c r="C115" s="72" t="s">
        <v>841</v>
      </c>
      <c r="D115" s="73" t="s">
        <v>830</v>
      </c>
      <c r="E115" s="72" t="s">
        <v>43</v>
      </c>
      <c r="F115" s="84">
        <v>116.25</v>
      </c>
      <c r="G115" s="73" t="s">
        <v>829</v>
      </c>
      <c r="H115" s="75"/>
      <c r="I115" s="75"/>
      <c r="J115" s="75"/>
      <c r="K115" s="75"/>
      <c r="L115" s="75"/>
      <c r="M115" s="75"/>
      <c r="N115" s="75"/>
      <c r="O115" s="75">
        <f>SUM(TABELA24[[#This Row],[T1]:[T7]])</f>
        <v>0</v>
      </c>
      <c r="P115" s="76">
        <f>TABELA24[[#This Row],[QTDE]]*TABELA24[[#This Row],[PREÇO]]</f>
        <v>0</v>
      </c>
    </row>
    <row r="116" spans="1:16" x14ac:dyDescent="0.2">
      <c r="A116" s="70" t="s">
        <v>1187</v>
      </c>
      <c r="B116" s="71" t="s">
        <v>1185</v>
      </c>
      <c r="C116" s="72" t="s">
        <v>841</v>
      </c>
      <c r="D116" s="73" t="s">
        <v>1118</v>
      </c>
      <c r="E116" s="72" t="s">
        <v>1119</v>
      </c>
      <c r="F116" s="84">
        <v>116.25</v>
      </c>
      <c r="G116" s="73" t="s">
        <v>829</v>
      </c>
      <c r="H116" s="75"/>
      <c r="I116" s="75"/>
      <c r="J116" s="75"/>
      <c r="K116" s="75"/>
      <c r="L116" s="75"/>
      <c r="M116" s="75"/>
      <c r="N116" s="75"/>
      <c r="O116" s="75">
        <f>SUM(TABELA24[[#This Row],[T1]:[T7]])</f>
        <v>0</v>
      </c>
      <c r="P116" s="76">
        <f>TABELA24[[#This Row],[QTDE]]*TABELA24[[#This Row],[PREÇO]]</f>
        <v>0</v>
      </c>
    </row>
    <row r="117" spans="1:16" x14ac:dyDescent="0.2">
      <c r="A117" s="70" t="s">
        <v>1188</v>
      </c>
      <c r="B117" s="71" t="s">
        <v>1185</v>
      </c>
      <c r="C117" s="72" t="s">
        <v>841</v>
      </c>
      <c r="D117" s="73" t="s">
        <v>1164</v>
      </c>
      <c r="E117" s="72" t="s">
        <v>1166</v>
      </c>
      <c r="F117" s="84">
        <v>116.25</v>
      </c>
      <c r="G117" s="73" t="s">
        <v>829</v>
      </c>
      <c r="H117" s="75"/>
      <c r="I117" s="75"/>
      <c r="J117" s="75"/>
      <c r="K117" s="75"/>
      <c r="L117" s="75"/>
      <c r="M117" s="75"/>
      <c r="N117" s="75"/>
      <c r="O117" s="75">
        <f>SUM(TABELA24[[#This Row],[T1]:[T7]])</f>
        <v>0</v>
      </c>
      <c r="P117" s="76">
        <f>TABELA24[[#This Row],[QTDE]]*TABELA24[[#This Row],[PREÇO]]</f>
        <v>0</v>
      </c>
    </row>
    <row r="118" spans="1:16" x14ac:dyDescent="0.2">
      <c r="A118" s="70" t="s">
        <v>1190</v>
      </c>
      <c r="B118" s="71" t="s">
        <v>1189</v>
      </c>
      <c r="C118" s="72" t="s">
        <v>833</v>
      </c>
      <c r="D118" s="73" t="s">
        <v>1118</v>
      </c>
      <c r="E118" s="72" t="s">
        <v>1119</v>
      </c>
      <c r="F118" s="84">
        <v>199.58</v>
      </c>
      <c r="G118" s="73" t="s">
        <v>829</v>
      </c>
      <c r="H118" s="75"/>
      <c r="I118" s="75"/>
      <c r="J118" s="75"/>
      <c r="K118" s="75"/>
      <c r="L118" s="75"/>
      <c r="M118" s="75"/>
      <c r="N118" s="75"/>
      <c r="O118" s="75">
        <f>SUM(TABELA24[[#This Row],[T1]:[T7]])</f>
        <v>0</v>
      </c>
      <c r="P118" s="76">
        <f>TABELA24[[#This Row],[QTDE]]*TABELA24[[#This Row],[PREÇO]]</f>
        <v>0</v>
      </c>
    </row>
    <row r="119" spans="1:16" x14ac:dyDescent="0.2">
      <c r="A119" s="70" t="s">
        <v>1191</v>
      </c>
      <c r="B119" s="71" t="s">
        <v>1189</v>
      </c>
      <c r="C119" s="72" t="s">
        <v>833</v>
      </c>
      <c r="D119" s="73" t="s">
        <v>914</v>
      </c>
      <c r="E119" s="72" t="s">
        <v>915</v>
      </c>
      <c r="F119" s="84">
        <v>199.58</v>
      </c>
      <c r="G119" s="73" t="s">
        <v>829</v>
      </c>
      <c r="H119" s="75"/>
      <c r="I119" s="75"/>
      <c r="J119" s="75"/>
      <c r="K119" s="75"/>
      <c r="L119" s="75"/>
      <c r="M119" s="75"/>
      <c r="N119" s="75"/>
      <c r="O119" s="75">
        <f>SUM(TABELA24[[#This Row],[T1]:[T7]])</f>
        <v>0</v>
      </c>
      <c r="P119" s="76">
        <f>TABELA24[[#This Row],[QTDE]]*TABELA24[[#This Row],[PREÇO]]</f>
        <v>0</v>
      </c>
    </row>
    <row r="120" spans="1:16" x14ac:dyDescent="0.2">
      <c r="A120" s="70" t="s">
        <v>1196</v>
      </c>
      <c r="B120" s="71" t="s">
        <v>1192</v>
      </c>
      <c r="C120" s="72" t="s">
        <v>1194</v>
      </c>
      <c r="D120" s="73" t="s">
        <v>1193</v>
      </c>
      <c r="E120" s="72" t="s">
        <v>1195</v>
      </c>
      <c r="F120" s="84">
        <v>207.92</v>
      </c>
      <c r="G120" s="73" t="s">
        <v>829</v>
      </c>
      <c r="H120" s="75"/>
      <c r="I120" s="75"/>
      <c r="J120" s="75"/>
      <c r="K120" s="75"/>
      <c r="L120" s="75"/>
      <c r="M120" s="75"/>
      <c r="N120" s="75"/>
      <c r="O120" s="75">
        <f>SUM(TABELA24[[#This Row],[T1]:[T7]])</f>
        <v>0</v>
      </c>
      <c r="P120" s="76">
        <f>TABELA24[[#This Row],[QTDE]]*TABELA24[[#This Row],[PREÇO]]</f>
        <v>0</v>
      </c>
    </row>
    <row r="121" spans="1:16" x14ac:dyDescent="0.2">
      <c r="A121" s="70" t="s">
        <v>1199</v>
      </c>
      <c r="B121" s="71" t="s">
        <v>1197</v>
      </c>
      <c r="C121" s="72" t="s">
        <v>1198</v>
      </c>
      <c r="D121" s="73" t="s">
        <v>830</v>
      </c>
      <c r="E121" s="72" t="s">
        <v>43</v>
      </c>
      <c r="F121" s="84">
        <v>207.92</v>
      </c>
      <c r="G121" s="73" t="s">
        <v>829</v>
      </c>
      <c r="H121" s="75"/>
      <c r="I121" s="75"/>
      <c r="J121" s="75"/>
      <c r="K121" s="75"/>
      <c r="L121" s="75"/>
      <c r="M121" s="75"/>
      <c r="N121" s="75"/>
      <c r="O121" s="75">
        <f>SUM(TABELA24[[#This Row],[T1]:[T7]])</f>
        <v>0</v>
      </c>
      <c r="P121" s="76">
        <f>TABELA24[[#This Row],[QTDE]]*TABELA24[[#This Row],[PREÇO]]</f>
        <v>0</v>
      </c>
    </row>
    <row r="122" spans="1:16" x14ac:dyDescent="0.2">
      <c r="A122" s="70" t="s">
        <v>1202</v>
      </c>
      <c r="B122" s="71" t="s">
        <v>1200</v>
      </c>
      <c r="C122" s="72" t="s">
        <v>1201</v>
      </c>
      <c r="D122" s="73" t="s">
        <v>895</v>
      </c>
      <c r="E122" s="72" t="s">
        <v>896</v>
      </c>
      <c r="F122" s="84">
        <v>224.58</v>
      </c>
      <c r="G122" s="73" t="s">
        <v>829</v>
      </c>
      <c r="H122" s="75"/>
      <c r="I122" s="75"/>
      <c r="J122" s="75"/>
      <c r="K122" s="75"/>
      <c r="L122" s="75"/>
      <c r="M122" s="75"/>
      <c r="N122" s="75"/>
      <c r="O122" s="75">
        <f>SUM(TABELA24[[#This Row],[T1]:[T7]])</f>
        <v>0</v>
      </c>
      <c r="P122" s="76">
        <f>TABELA24[[#This Row],[QTDE]]*TABELA24[[#This Row],[PREÇO]]</f>
        <v>0</v>
      </c>
    </row>
    <row r="123" spans="1:16" x14ac:dyDescent="0.2">
      <c r="A123" s="70" t="s">
        <v>1205</v>
      </c>
      <c r="B123" s="71" t="s">
        <v>1203</v>
      </c>
      <c r="C123" s="72" t="s">
        <v>1204</v>
      </c>
      <c r="D123" s="73" t="s">
        <v>878</v>
      </c>
      <c r="E123" s="72" t="s">
        <v>880</v>
      </c>
      <c r="F123" s="84">
        <v>124.58</v>
      </c>
      <c r="G123" s="73" t="s">
        <v>829</v>
      </c>
      <c r="H123" s="75"/>
      <c r="I123" s="75"/>
      <c r="J123" s="75"/>
      <c r="K123" s="75"/>
      <c r="L123" s="75"/>
      <c r="M123" s="75"/>
      <c r="N123" s="75"/>
      <c r="O123" s="75">
        <f>SUM(TABELA24[[#This Row],[T1]:[T7]])</f>
        <v>0</v>
      </c>
      <c r="P123" s="76">
        <f>TABELA24[[#This Row],[QTDE]]*TABELA24[[#This Row],[PREÇO]]</f>
        <v>0</v>
      </c>
    </row>
    <row r="124" spans="1:16" x14ac:dyDescent="0.2">
      <c r="A124" s="70" t="s">
        <v>1206</v>
      </c>
      <c r="B124" s="71" t="s">
        <v>1203</v>
      </c>
      <c r="C124" s="72" t="s">
        <v>1204</v>
      </c>
      <c r="D124" s="73" t="s">
        <v>882</v>
      </c>
      <c r="E124" s="72" t="s">
        <v>817</v>
      </c>
      <c r="F124" s="84">
        <v>124.58</v>
      </c>
      <c r="G124" s="73" t="s">
        <v>829</v>
      </c>
      <c r="H124" s="75"/>
      <c r="I124" s="75"/>
      <c r="J124" s="75"/>
      <c r="K124" s="75"/>
      <c r="L124" s="75"/>
      <c r="M124" s="75"/>
      <c r="N124" s="75"/>
      <c r="O124" s="75">
        <f>SUM(TABELA24[[#This Row],[T1]:[T7]])</f>
        <v>0</v>
      </c>
      <c r="P124" s="76">
        <f>TABELA24[[#This Row],[QTDE]]*TABELA24[[#This Row],[PREÇO]]</f>
        <v>0</v>
      </c>
    </row>
    <row r="125" spans="1:16" x14ac:dyDescent="0.2">
      <c r="A125" s="70" t="s">
        <v>1207</v>
      </c>
      <c r="B125" s="71" t="s">
        <v>1208</v>
      </c>
      <c r="C125" s="72" t="s">
        <v>1209</v>
      </c>
      <c r="D125" s="73" t="s">
        <v>1009</v>
      </c>
      <c r="E125" s="72" t="s">
        <v>1011</v>
      </c>
      <c r="F125" s="84">
        <v>166.25</v>
      </c>
      <c r="G125" s="73" t="s">
        <v>826</v>
      </c>
      <c r="H125" s="75"/>
      <c r="I125" s="75"/>
      <c r="J125" s="75"/>
      <c r="K125" s="75"/>
      <c r="L125" s="75"/>
      <c r="M125" s="75"/>
      <c r="N125" s="75"/>
      <c r="O125" s="75">
        <f>SUM(TABELA24[[#This Row],[T1]:[T7]])</f>
        <v>0</v>
      </c>
      <c r="P125" s="76">
        <f>TABELA24[[#This Row],[QTDE]]*TABELA24[[#This Row],[PREÇO]]</f>
        <v>0</v>
      </c>
    </row>
    <row r="126" spans="1:16" x14ac:dyDescent="0.2">
      <c r="A126" s="70" t="s">
        <v>1210</v>
      </c>
      <c r="B126" s="71" t="s">
        <v>1211</v>
      </c>
      <c r="C126" s="72" t="s">
        <v>831</v>
      </c>
      <c r="D126" s="73" t="s">
        <v>1009</v>
      </c>
      <c r="E126" s="72" t="s">
        <v>1011</v>
      </c>
      <c r="F126" s="84">
        <v>178.75</v>
      </c>
      <c r="G126" s="73" t="s">
        <v>826</v>
      </c>
      <c r="H126" s="75"/>
      <c r="I126" s="75"/>
      <c r="J126" s="75"/>
      <c r="K126" s="75"/>
      <c r="L126" s="75"/>
      <c r="M126" s="75"/>
      <c r="N126" s="75"/>
      <c r="O126" s="75">
        <f>SUM(TABELA24[[#This Row],[T1]:[T7]])</f>
        <v>0</v>
      </c>
      <c r="P126" s="76">
        <f>TABELA24[[#This Row],[QTDE]]*TABELA24[[#This Row],[PREÇO]]</f>
        <v>0</v>
      </c>
    </row>
    <row r="127" spans="1:16" x14ac:dyDescent="0.2">
      <c r="A127" s="70" t="s">
        <v>1212</v>
      </c>
      <c r="B127" s="71" t="s">
        <v>1213</v>
      </c>
      <c r="C127" s="72" t="s">
        <v>1214</v>
      </c>
      <c r="D127" s="73" t="s">
        <v>1009</v>
      </c>
      <c r="E127" s="72" t="s">
        <v>1011</v>
      </c>
      <c r="F127" s="84">
        <v>145.41999999999999</v>
      </c>
      <c r="G127" s="73" t="s">
        <v>826</v>
      </c>
      <c r="H127" s="75"/>
      <c r="I127" s="75"/>
      <c r="J127" s="75"/>
      <c r="K127" s="75"/>
      <c r="L127" s="75"/>
      <c r="M127" s="75"/>
      <c r="N127" s="75"/>
      <c r="O127" s="75">
        <f>SUM(TABELA24[[#This Row],[T1]:[T7]])</f>
        <v>0</v>
      </c>
      <c r="P127" s="76">
        <f>TABELA24[[#This Row],[QTDE]]*TABELA24[[#This Row],[PREÇO]]</f>
        <v>0</v>
      </c>
    </row>
    <row r="128" spans="1:16" x14ac:dyDescent="0.2">
      <c r="A128" s="70" t="s">
        <v>1219</v>
      </c>
      <c r="B128" s="71" t="s">
        <v>1215</v>
      </c>
      <c r="C128" s="72" t="s">
        <v>1217</v>
      </c>
      <c r="D128" s="73" t="s">
        <v>1216</v>
      </c>
      <c r="E128" s="72" t="s">
        <v>1218</v>
      </c>
      <c r="F128" s="84">
        <v>191.25</v>
      </c>
      <c r="G128" s="73" t="s">
        <v>829</v>
      </c>
      <c r="H128" s="75"/>
      <c r="I128" s="75"/>
      <c r="J128" s="75"/>
      <c r="K128" s="75"/>
      <c r="L128" s="75"/>
      <c r="M128" s="75"/>
      <c r="N128" s="75"/>
      <c r="O128" s="75">
        <f>SUM(TABELA24[[#This Row],[T1]:[T7]])</f>
        <v>0</v>
      </c>
      <c r="P128" s="76">
        <f>TABELA24[[#This Row],[QTDE]]*TABELA24[[#This Row],[PREÇO]]</f>
        <v>0</v>
      </c>
    </row>
    <row r="129" spans="1:16" x14ac:dyDescent="0.2">
      <c r="A129" s="70" t="s">
        <v>1222</v>
      </c>
      <c r="B129" s="71" t="s">
        <v>1220</v>
      </c>
      <c r="C129" s="72" t="s">
        <v>1221</v>
      </c>
      <c r="D129" s="73" t="s">
        <v>1216</v>
      </c>
      <c r="E129" s="72" t="s">
        <v>1218</v>
      </c>
      <c r="F129" s="84">
        <v>270.42</v>
      </c>
      <c r="G129" s="73" t="s">
        <v>829</v>
      </c>
      <c r="H129" s="75"/>
      <c r="I129" s="75"/>
      <c r="J129" s="75"/>
      <c r="K129" s="75"/>
      <c r="L129" s="75"/>
      <c r="M129" s="75"/>
      <c r="N129" s="75"/>
      <c r="O129" s="75">
        <f>SUM(TABELA24[[#This Row],[T1]:[T7]])</f>
        <v>0</v>
      </c>
      <c r="P129" s="76">
        <f>TABELA24[[#This Row],[QTDE]]*TABELA24[[#This Row],[PREÇO]]</f>
        <v>0</v>
      </c>
    </row>
    <row r="130" spans="1:16" x14ac:dyDescent="0.2">
      <c r="A130" s="70" t="s">
        <v>1225</v>
      </c>
      <c r="B130" s="71" t="s">
        <v>1223</v>
      </c>
      <c r="C130" s="72" t="s">
        <v>1224</v>
      </c>
      <c r="D130" s="73" t="s">
        <v>32</v>
      </c>
      <c r="E130" s="72" t="s">
        <v>33</v>
      </c>
      <c r="F130" s="84">
        <v>137.08000000000001</v>
      </c>
      <c r="G130" s="73" t="s">
        <v>829</v>
      </c>
      <c r="H130" s="75"/>
      <c r="I130" s="75"/>
      <c r="J130" s="75"/>
      <c r="K130" s="75"/>
      <c r="L130" s="75"/>
      <c r="M130" s="75"/>
      <c r="N130" s="75"/>
      <c r="O130" s="75">
        <f>SUM(TABELA24[[#This Row],[T1]:[T7]])</f>
        <v>0</v>
      </c>
      <c r="P130" s="76">
        <f>TABELA24[[#This Row],[QTDE]]*TABELA24[[#This Row],[PREÇO]]</f>
        <v>0</v>
      </c>
    </row>
    <row r="131" spans="1:16" x14ac:dyDescent="0.2">
      <c r="A131" s="70" t="s">
        <v>1228</v>
      </c>
      <c r="B131" s="71" t="s">
        <v>1226</v>
      </c>
      <c r="C131" s="72" t="s">
        <v>1227</v>
      </c>
      <c r="D131" s="73" t="s">
        <v>1101</v>
      </c>
      <c r="E131" s="72" t="s">
        <v>1103</v>
      </c>
      <c r="F131" s="84">
        <v>82.92</v>
      </c>
      <c r="G131" s="73" t="s">
        <v>829</v>
      </c>
      <c r="H131" s="75"/>
      <c r="I131" s="75"/>
      <c r="J131" s="75"/>
      <c r="K131" s="75"/>
      <c r="L131" s="75"/>
      <c r="M131" s="75"/>
      <c r="N131" s="75"/>
      <c r="O131" s="75">
        <f>SUM(TABELA24[[#This Row],[T1]:[T7]])</f>
        <v>0</v>
      </c>
      <c r="P131" s="76">
        <f>TABELA24[[#This Row],[QTDE]]*TABELA24[[#This Row],[PREÇO]]</f>
        <v>0</v>
      </c>
    </row>
    <row r="132" spans="1:16" x14ac:dyDescent="0.2">
      <c r="A132" s="70" t="s">
        <v>1231</v>
      </c>
      <c r="B132" s="71" t="s">
        <v>1229</v>
      </c>
      <c r="C132" s="72" t="s">
        <v>1230</v>
      </c>
      <c r="D132" s="73" t="s">
        <v>1193</v>
      </c>
      <c r="E132" s="72" t="s">
        <v>1195</v>
      </c>
      <c r="F132" s="84">
        <v>249.58</v>
      </c>
      <c r="G132" s="73" t="s">
        <v>829</v>
      </c>
      <c r="H132" s="75"/>
      <c r="I132" s="75"/>
      <c r="J132" s="75"/>
      <c r="K132" s="75"/>
      <c r="L132" s="75"/>
      <c r="M132" s="75"/>
      <c r="N132" s="75"/>
      <c r="O132" s="75">
        <f>SUM(TABELA24[[#This Row],[T1]:[T7]])</f>
        <v>0</v>
      </c>
      <c r="P132" s="76">
        <f>TABELA24[[#This Row],[QTDE]]*TABELA24[[#This Row],[PREÇO]]</f>
        <v>0</v>
      </c>
    </row>
    <row r="133" spans="1:16" x14ac:dyDescent="0.2">
      <c r="A133" s="70" t="s">
        <v>1236</v>
      </c>
      <c r="B133" s="71" t="s">
        <v>1232</v>
      </c>
      <c r="C133" s="72" t="s">
        <v>1234</v>
      </c>
      <c r="D133" s="73" t="s">
        <v>1233</v>
      </c>
      <c r="E133" s="72" t="s">
        <v>1235</v>
      </c>
      <c r="F133" s="84">
        <v>220.42</v>
      </c>
      <c r="G133" s="73" t="s">
        <v>829</v>
      </c>
      <c r="H133" s="75"/>
      <c r="I133" s="75"/>
      <c r="J133" s="75"/>
      <c r="K133" s="75"/>
      <c r="L133" s="75"/>
      <c r="M133" s="75"/>
      <c r="N133" s="75"/>
      <c r="O133" s="75">
        <f>SUM(TABELA24[[#This Row],[T1]:[T7]])</f>
        <v>0</v>
      </c>
      <c r="P133" s="76">
        <f>TABELA24[[#This Row],[QTDE]]*TABELA24[[#This Row],[PREÇO]]</f>
        <v>0</v>
      </c>
    </row>
    <row r="134" spans="1:16" x14ac:dyDescent="0.2">
      <c r="A134" s="70" t="s">
        <v>1239</v>
      </c>
      <c r="B134" s="71" t="s">
        <v>1237</v>
      </c>
      <c r="C134" s="72" t="s">
        <v>1238</v>
      </c>
      <c r="D134" s="73" t="s">
        <v>32</v>
      </c>
      <c r="E134" s="72" t="s">
        <v>33</v>
      </c>
      <c r="F134" s="84">
        <v>174.58</v>
      </c>
      <c r="G134" s="73" t="s">
        <v>829</v>
      </c>
      <c r="H134" s="75"/>
      <c r="I134" s="75"/>
      <c r="J134" s="75"/>
      <c r="K134" s="75"/>
      <c r="L134" s="75"/>
      <c r="M134" s="75"/>
      <c r="N134" s="75"/>
      <c r="O134" s="75">
        <f>SUM(TABELA24[[#This Row],[T1]:[T7]])</f>
        <v>0</v>
      </c>
      <c r="P134" s="76">
        <f>TABELA24[[#This Row],[QTDE]]*TABELA24[[#This Row],[PREÇO]]</f>
        <v>0</v>
      </c>
    </row>
    <row r="135" spans="1:16" x14ac:dyDescent="0.2">
      <c r="A135" s="70" t="s">
        <v>1240</v>
      </c>
      <c r="B135" s="71" t="s">
        <v>1237</v>
      </c>
      <c r="C135" s="72" t="s">
        <v>1238</v>
      </c>
      <c r="D135" s="73" t="s">
        <v>1164</v>
      </c>
      <c r="E135" s="72" t="s">
        <v>1166</v>
      </c>
      <c r="F135" s="84">
        <v>174.58</v>
      </c>
      <c r="G135" s="73" t="s">
        <v>829</v>
      </c>
      <c r="H135" s="75"/>
      <c r="I135" s="75"/>
      <c r="J135" s="75"/>
      <c r="K135" s="75"/>
      <c r="L135" s="75"/>
      <c r="M135" s="75"/>
      <c r="N135" s="75"/>
      <c r="O135" s="75">
        <f>SUM(TABELA24[[#This Row],[T1]:[T7]])</f>
        <v>0</v>
      </c>
      <c r="P135" s="76">
        <f>TABELA24[[#This Row],[QTDE]]*TABELA24[[#This Row],[PREÇO]]</f>
        <v>0</v>
      </c>
    </row>
    <row r="136" spans="1:16" x14ac:dyDescent="0.2">
      <c r="A136" s="70" t="s">
        <v>1243</v>
      </c>
      <c r="B136" s="71" t="s">
        <v>1241</v>
      </c>
      <c r="C136" s="72" t="s">
        <v>1242</v>
      </c>
      <c r="D136" s="73" t="s">
        <v>1233</v>
      </c>
      <c r="E136" s="72" t="s">
        <v>1235</v>
      </c>
      <c r="F136" s="84">
        <v>187.08</v>
      </c>
      <c r="G136" s="73" t="s">
        <v>829</v>
      </c>
      <c r="H136" s="75"/>
      <c r="I136" s="75"/>
      <c r="J136" s="75"/>
      <c r="K136" s="75"/>
      <c r="L136" s="75"/>
      <c r="M136" s="75"/>
      <c r="N136" s="75"/>
      <c r="O136" s="75">
        <f>SUM(TABELA24[[#This Row],[T1]:[T7]])</f>
        <v>0</v>
      </c>
      <c r="P136" s="76">
        <f>TABELA24[[#This Row],[QTDE]]*TABELA24[[#This Row],[PREÇO]]</f>
        <v>0</v>
      </c>
    </row>
    <row r="137" spans="1:16" x14ac:dyDescent="0.2">
      <c r="A137" s="70" t="s">
        <v>1246</v>
      </c>
      <c r="B137" s="71" t="s">
        <v>1244</v>
      </c>
      <c r="C137" s="72" t="s">
        <v>1245</v>
      </c>
      <c r="D137" s="73" t="s">
        <v>1193</v>
      </c>
      <c r="E137" s="72" t="s">
        <v>1195</v>
      </c>
      <c r="F137" s="84">
        <v>141.25</v>
      </c>
      <c r="G137" s="73" t="s">
        <v>829</v>
      </c>
      <c r="H137" s="75"/>
      <c r="I137" s="75"/>
      <c r="J137" s="75"/>
      <c r="K137" s="75"/>
      <c r="L137" s="75"/>
      <c r="M137" s="75"/>
      <c r="N137" s="75"/>
      <c r="O137" s="75">
        <f>SUM(TABELA24[[#This Row],[T1]:[T7]])</f>
        <v>0</v>
      </c>
      <c r="P137" s="76">
        <f>TABELA24[[#This Row],[QTDE]]*TABELA24[[#This Row],[PREÇO]]</f>
        <v>0</v>
      </c>
    </row>
    <row r="138" spans="1:16" x14ac:dyDescent="0.2">
      <c r="A138" s="70" t="s">
        <v>1247</v>
      </c>
      <c r="B138" s="71" t="s">
        <v>1248</v>
      </c>
      <c r="C138" s="72" t="s">
        <v>1249</v>
      </c>
      <c r="D138" s="73" t="s">
        <v>819</v>
      </c>
      <c r="E138" s="72" t="s">
        <v>73</v>
      </c>
      <c r="F138" s="84">
        <v>82.92</v>
      </c>
      <c r="G138" s="73" t="s">
        <v>826</v>
      </c>
      <c r="H138" s="75"/>
      <c r="I138" s="75"/>
      <c r="J138" s="75"/>
      <c r="K138" s="75"/>
      <c r="L138" s="75"/>
      <c r="M138" s="75"/>
      <c r="N138" s="75"/>
      <c r="O138" s="75">
        <f>SUM(TABELA24[[#This Row],[T1]:[T7]])</f>
        <v>0</v>
      </c>
      <c r="P138" s="76">
        <f>TABELA24[[#This Row],[QTDE]]*TABELA24[[#This Row],[PREÇO]]</f>
        <v>0</v>
      </c>
    </row>
    <row r="139" spans="1:16" x14ac:dyDescent="0.2">
      <c r="A139" s="70" t="s">
        <v>1252</v>
      </c>
      <c r="B139" s="71" t="s">
        <v>1250</v>
      </c>
      <c r="C139" s="72" t="s">
        <v>1251</v>
      </c>
      <c r="D139" s="73" t="s">
        <v>830</v>
      </c>
      <c r="E139" s="72" t="s">
        <v>43</v>
      </c>
      <c r="F139" s="84">
        <v>145.41999999999999</v>
      </c>
      <c r="G139" s="73" t="s">
        <v>826</v>
      </c>
      <c r="H139" s="75"/>
      <c r="I139" s="75"/>
      <c r="J139" s="75"/>
      <c r="K139" s="75"/>
      <c r="L139" s="75"/>
      <c r="M139" s="75"/>
      <c r="N139" s="75"/>
      <c r="O139" s="75">
        <f>SUM(TABELA24[[#This Row],[T1]:[T7]])</f>
        <v>0</v>
      </c>
      <c r="P139" s="76">
        <f>TABELA24[[#This Row],[QTDE]]*TABELA24[[#This Row],[PREÇO]]</f>
        <v>0</v>
      </c>
    </row>
    <row r="140" spans="1:16" x14ac:dyDescent="0.2">
      <c r="A140" s="70" t="s">
        <v>1253</v>
      </c>
      <c r="B140" s="71" t="s">
        <v>1254</v>
      </c>
      <c r="C140" s="72" t="s">
        <v>1255</v>
      </c>
      <c r="D140" s="73" t="s">
        <v>32</v>
      </c>
      <c r="E140" s="72" t="s">
        <v>33</v>
      </c>
      <c r="F140" s="84">
        <v>124.58</v>
      </c>
      <c r="G140" s="73" t="s">
        <v>826</v>
      </c>
      <c r="H140" s="75"/>
      <c r="I140" s="75"/>
      <c r="J140" s="75"/>
      <c r="K140" s="75"/>
      <c r="L140" s="75"/>
      <c r="M140" s="75"/>
      <c r="N140" s="75"/>
      <c r="O140" s="75">
        <f>SUM(TABELA24[[#This Row],[T1]:[T7]])</f>
        <v>0</v>
      </c>
      <c r="P140" s="76">
        <f>TABELA24[[#This Row],[QTDE]]*TABELA24[[#This Row],[PREÇO]]</f>
        <v>0</v>
      </c>
    </row>
    <row r="141" spans="1:16" x14ac:dyDescent="0.2">
      <c r="A141" s="70" t="s">
        <v>1258</v>
      </c>
      <c r="B141" s="71" t="s">
        <v>1256</v>
      </c>
      <c r="C141" s="72" t="s">
        <v>1257</v>
      </c>
      <c r="D141" s="73" t="s">
        <v>32</v>
      </c>
      <c r="E141" s="72" t="s">
        <v>33</v>
      </c>
      <c r="F141" s="84">
        <v>207.92</v>
      </c>
      <c r="G141" s="73" t="s">
        <v>829</v>
      </c>
      <c r="H141" s="75"/>
      <c r="I141" s="75"/>
      <c r="J141" s="75"/>
      <c r="K141" s="75"/>
      <c r="L141" s="75"/>
      <c r="M141" s="75"/>
      <c r="N141" s="75"/>
      <c r="O141" s="75">
        <f>SUM(TABELA24[[#This Row],[T1]:[T7]])</f>
        <v>0</v>
      </c>
      <c r="P141" s="76">
        <f>TABELA24[[#This Row],[QTDE]]*TABELA24[[#This Row],[PREÇO]]</f>
        <v>0</v>
      </c>
    </row>
    <row r="142" spans="1:16" x14ac:dyDescent="0.2">
      <c r="A142" s="70" t="s">
        <v>1261</v>
      </c>
      <c r="B142" s="71" t="s">
        <v>1259</v>
      </c>
      <c r="C142" s="72" t="s">
        <v>1260</v>
      </c>
      <c r="D142" s="73" t="s">
        <v>1118</v>
      </c>
      <c r="E142" s="72" t="s">
        <v>1119</v>
      </c>
      <c r="F142" s="84">
        <v>220.42</v>
      </c>
      <c r="G142" s="73" t="s">
        <v>829</v>
      </c>
      <c r="H142" s="75"/>
      <c r="I142" s="75"/>
      <c r="J142" s="75"/>
      <c r="K142" s="75"/>
      <c r="L142" s="75"/>
      <c r="M142" s="75"/>
      <c r="N142" s="75"/>
      <c r="O142" s="75">
        <f>SUM(TABELA24[[#This Row],[T1]:[T7]])</f>
        <v>0</v>
      </c>
      <c r="P142" s="76">
        <f>TABELA24[[#This Row],[QTDE]]*TABELA24[[#This Row],[PREÇO]]</f>
        <v>0</v>
      </c>
    </row>
    <row r="143" spans="1:16" x14ac:dyDescent="0.2">
      <c r="A143" s="70" t="s">
        <v>1266</v>
      </c>
      <c r="B143" s="71" t="s">
        <v>1262</v>
      </c>
      <c r="C143" s="72" t="s">
        <v>1264</v>
      </c>
      <c r="D143" s="73" t="s">
        <v>1263</v>
      </c>
      <c r="E143" s="72" t="s">
        <v>1265</v>
      </c>
      <c r="F143" s="84">
        <v>187.08</v>
      </c>
      <c r="G143" s="73" t="s">
        <v>829</v>
      </c>
      <c r="H143" s="75"/>
      <c r="I143" s="75"/>
      <c r="J143" s="75"/>
      <c r="K143" s="75"/>
      <c r="L143" s="75"/>
      <c r="M143" s="75"/>
      <c r="N143" s="75"/>
      <c r="O143" s="75">
        <f>SUM(TABELA24[[#This Row],[T1]:[T7]])</f>
        <v>0</v>
      </c>
      <c r="P143" s="76">
        <f>TABELA24[[#This Row],[QTDE]]*TABELA24[[#This Row],[PREÇO]]</f>
        <v>0</v>
      </c>
    </row>
    <row r="144" spans="1:16" x14ac:dyDescent="0.2">
      <c r="A144" s="70" t="s">
        <v>1267</v>
      </c>
      <c r="B144" s="71" t="s">
        <v>1268</v>
      </c>
      <c r="C144" s="72" t="s">
        <v>1269</v>
      </c>
      <c r="D144" s="73" t="s">
        <v>32</v>
      </c>
      <c r="E144" s="72" t="s">
        <v>33</v>
      </c>
      <c r="F144" s="84">
        <v>345.42</v>
      </c>
      <c r="G144" s="73" t="s">
        <v>826</v>
      </c>
      <c r="H144" s="75"/>
      <c r="I144" s="75"/>
      <c r="J144" s="75"/>
      <c r="K144" s="75"/>
      <c r="L144" s="75"/>
      <c r="M144" s="75"/>
      <c r="N144" s="75"/>
      <c r="O144" s="75">
        <f>SUM(TABELA24[[#This Row],[T1]:[T7]])</f>
        <v>0</v>
      </c>
      <c r="P144" s="76">
        <f>TABELA24[[#This Row],[QTDE]]*TABELA24[[#This Row],[PREÇO]]</f>
        <v>0</v>
      </c>
    </row>
    <row r="145" spans="1:16" x14ac:dyDescent="0.2">
      <c r="A145" s="70" t="s">
        <v>1270</v>
      </c>
      <c r="B145" s="71" t="s">
        <v>1271</v>
      </c>
      <c r="C145" s="72" t="s">
        <v>1272</v>
      </c>
      <c r="D145" s="73" t="s">
        <v>32</v>
      </c>
      <c r="E145" s="72" t="s">
        <v>33</v>
      </c>
      <c r="F145" s="84">
        <v>157.91999999999999</v>
      </c>
      <c r="G145" s="73" t="s">
        <v>826</v>
      </c>
      <c r="H145" s="75"/>
      <c r="I145" s="75"/>
      <c r="J145" s="75"/>
      <c r="K145" s="75"/>
      <c r="L145" s="75"/>
      <c r="M145" s="75"/>
      <c r="N145" s="75"/>
      <c r="O145" s="75">
        <f>SUM(TABELA24[[#This Row],[T1]:[T7]])</f>
        <v>0</v>
      </c>
      <c r="P145" s="76">
        <f>TABELA24[[#This Row],[QTDE]]*TABELA24[[#This Row],[PREÇO]]</f>
        <v>0</v>
      </c>
    </row>
    <row r="146" spans="1:16" x14ac:dyDescent="0.2">
      <c r="A146" s="70" t="s">
        <v>1273</v>
      </c>
      <c r="B146" s="71" t="s">
        <v>1274</v>
      </c>
      <c r="C146" s="72" t="s">
        <v>2309</v>
      </c>
      <c r="D146" s="73" t="s">
        <v>32</v>
      </c>
      <c r="E146" s="72" t="s">
        <v>33</v>
      </c>
      <c r="F146" s="84">
        <v>99.58</v>
      </c>
      <c r="G146" s="73" t="s">
        <v>826</v>
      </c>
      <c r="H146" s="75"/>
      <c r="I146" s="75"/>
      <c r="J146" s="75"/>
      <c r="K146" s="75"/>
      <c r="L146" s="75"/>
      <c r="M146" s="75"/>
      <c r="N146" s="75"/>
      <c r="O146" s="75">
        <f>SUM(TABELA24[[#This Row],[T1]:[T7]])</f>
        <v>0</v>
      </c>
      <c r="P146" s="76">
        <f>TABELA24[[#This Row],[QTDE]]*TABELA24[[#This Row],[PREÇO]]</f>
        <v>0</v>
      </c>
    </row>
    <row r="147" spans="1:16" x14ac:dyDescent="0.2">
      <c r="A147" s="70" t="s">
        <v>1277</v>
      </c>
      <c r="B147" s="71" t="s">
        <v>1275</v>
      </c>
      <c r="C147" s="72" t="s">
        <v>1276</v>
      </c>
      <c r="D147" s="73" t="s">
        <v>32</v>
      </c>
      <c r="E147" s="72" t="s">
        <v>33</v>
      </c>
      <c r="F147" s="84">
        <v>207.92</v>
      </c>
      <c r="G147" s="73" t="s">
        <v>826</v>
      </c>
      <c r="H147" s="75"/>
      <c r="I147" s="75"/>
      <c r="J147" s="75"/>
      <c r="K147" s="75"/>
      <c r="L147" s="75"/>
      <c r="M147" s="75"/>
      <c r="N147" s="75"/>
      <c r="O147" s="75">
        <f>SUM(TABELA24[[#This Row],[T1]:[T7]])</f>
        <v>0</v>
      </c>
      <c r="P147" s="76">
        <f>TABELA24[[#This Row],[QTDE]]*TABELA24[[#This Row],[PREÇO]]</f>
        <v>0</v>
      </c>
    </row>
    <row r="148" spans="1:16" x14ac:dyDescent="0.2">
      <c r="A148" s="70" t="s">
        <v>1280</v>
      </c>
      <c r="B148" s="71" t="s">
        <v>1278</v>
      </c>
      <c r="C148" s="72" t="s">
        <v>1279</v>
      </c>
      <c r="D148" s="73" t="s">
        <v>830</v>
      </c>
      <c r="E148" s="72" t="s">
        <v>836</v>
      </c>
      <c r="F148" s="84">
        <v>116.25</v>
      </c>
      <c r="G148" s="73" t="s">
        <v>826</v>
      </c>
      <c r="H148" s="75"/>
      <c r="I148" s="75"/>
      <c r="J148" s="75"/>
      <c r="K148" s="75"/>
      <c r="L148" s="75"/>
      <c r="M148" s="75"/>
      <c r="N148" s="75"/>
      <c r="O148" s="75">
        <f>SUM(TABELA24[[#This Row],[T1]:[T7]])</f>
        <v>0</v>
      </c>
      <c r="P148" s="76">
        <f>TABELA24[[#This Row],[QTDE]]*TABELA24[[#This Row],[PREÇO]]</f>
        <v>0</v>
      </c>
    </row>
    <row r="149" spans="1:16" x14ac:dyDescent="0.2">
      <c r="A149" s="70" t="s">
        <v>1281</v>
      </c>
      <c r="B149" s="71" t="s">
        <v>1282</v>
      </c>
      <c r="C149" s="72" t="s">
        <v>1283</v>
      </c>
      <c r="D149" s="73" t="s">
        <v>803</v>
      </c>
      <c r="E149" s="72" t="s">
        <v>840</v>
      </c>
      <c r="F149" s="84">
        <v>120.42</v>
      </c>
      <c r="G149" s="73" t="s">
        <v>826</v>
      </c>
      <c r="H149" s="75"/>
      <c r="I149" s="75"/>
      <c r="J149" s="75"/>
      <c r="K149" s="75"/>
      <c r="L149" s="75"/>
      <c r="M149" s="75"/>
      <c r="N149" s="75"/>
      <c r="O149" s="75">
        <f>SUM(TABELA24[[#This Row],[T1]:[T7]])</f>
        <v>0</v>
      </c>
      <c r="P149" s="76">
        <f>TABELA24[[#This Row],[QTDE]]*TABELA24[[#This Row],[PREÇO]]</f>
        <v>0</v>
      </c>
    </row>
    <row r="150" spans="1:16" x14ac:dyDescent="0.2">
      <c r="A150" s="70" t="s">
        <v>1284</v>
      </c>
      <c r="B150" s="71" t="s">
        <v>1285</v>
      </c>
      <c r="C150" s="72" t="s">
        <v>2310</v>
      </c>
      <c r="D150" s="73" t="s">
        <v>32</v>
      </c>
      <c r="E150" s="72" t="s">
        <v>33</v>
      </c>
      <c r="F150" s="84">
        <v>107.92</v>
      </c>
      <c r="G150" s="73" t="s">
        <v>826</v>
      </c>
      <c r="H150" s="75"/>
      <c r="I150" s="75"/>
      <c r="J150" s="75"/>
      <c r="K150" s="75"/>
      <c r="L150" s="75"/>
      <c r="M150" s="75"/>
      <c r="N150" s="75"/>
      <c r="O150" s="75">
        <f>SUM(TABELA24[[#This Row],[T1]:[T7]])</f>
        <v>0</v>
      </c>
      <c r="P150" s="76">
        <f>TABELA24[[#This Row],[QTDE]]*TABELA24[[#This Row],[PREÇO]]</f>
        <v>0</v>
      </c>
    </row>
    <row r="151" spans="1:16" x14ac:dyDescent="0.2">
      <c r="A151" s="70" t="s">
        <v>1286</v>
      </c>
      <c r="B151" s="71" t="s">
        <v>1285</v>
      </c>
      <c r="C151" s="72" t="s">
        <v>2310</v>
      </c>
      <c r="D151" s="73" t="s">
        <v>830</v>
      </c>
      <c r="E151" s="72" t="s">
        <v>2316</v>
      </c>
      <c r="F151" s="84">
        <v>107.92</v>
      </c>
      <c r="G151" s="73" t="s">
        <v>826</v>
      </c>
      <c r="H151" s="75"/>
      <c r="I151" s="75"/>
      <c r="J151" s="75"/>
      <c r="K151" s="75"/>
      <c r="L151" s="75"/>
      <c r="M151" s="75"/>
      <c r="N151" s="75"/>
      <c r="O151" s="75">
        <f>SUM(TABELA24[[#This Row],[T1]:[T7]])</f>
        <v>0</v>
      </c>
      <c r="P151" s="76">
        <f>TABELA24[[#This Row],[QTDE]]*TABELA24[[#This Row],[PREÇO]]</f>
        <v>0</v>
      </c>
    </row>
    <row r="152" spans="1:16" x14ac:dyDescent="0.2">
      <c r="A152" s="70" t="s">
        <v>1287</v>
      </c>
      <c r="B152" s="71" t="s">
        <v>1288</v>
      </c>
      <c r="C152" s="72" t="s">
        <v>1289</v>
      </c>
      <c r="D152" s="73" t="s">
        <v>32</v>
      </c>
      <c r="E152" s="72" t="s">
        <v>33</v>
      </c>
      <c r="F152" s="84">
        <v>82.92</v>
      </c>
      <c r="G152" s="73" t="s">
        <v>826</v>
      </c>
      <c r="H152" s="75"/>
      <c r="I152" s="75"/>
      <c r="J152" s="75"/>
      <c r="K152" s="75"/>
      <c r="L152" s="75"/>
      <c r="M152" s="75"/>
      <c r="N152" s="75"/>
      <c r="O152" s="75">
        <f>SUM(TABELA24[[#This Row],[T1]:[T7]])</f>
        <v>0</v>
      </c>
      <c r="P152" s="76">
        <f>TABELA24[[#This Row],[QTDE]]*TABELA24[[#This Row],[PREÇO]]</f>
        <v>0</v>
      </c>
    </row>
    <row r="153" spans="1:16" x14ac:dyDescent="0.2">
      <c r="A153" s="70" t="s">
        <v>1290</v>
      </c>
      <c r="B153" s="71" t="s">
        <v>1291</v>
      </c>
      <c r="C153" s="72" t="s">
        <v>1292</v>
      </c>
      <c r="D153" s="73" t="s">
        <v>32</v>
      </c>
      <c r="E153" s="72" t="s">
        <v>33</v>
      </c>
      <c r="F153" s="84">
        <v>124.58</v>
      </c>
      <c r="G153" s="73" t="s">
        <v>826</v>
      </c>
      <c r="H153" s="75"/>
      <c r="I153" s="75"/>
      <c r="J153" s="75"/>
      <c r="K153" s="75"/>
      <c r="L153" s="75"/>
      <c r="M153" s="75"/>
      <c r="N153" s="75"/>
      <c r="O153" s="75">
        <f>SUM(TABELA24[[#This Row],[T1]:[T7]])</f>
        <v>0</v>
      </c>
      <c r="P153" s="76">
        <f>TABELA24[[#This Row],[QTDE]]*TABELA24[[#This Row],[PREÇO]]</f>
        <v>0</v>
      </c>
    </row>
    <row r="154" spans="1:16" x14ac:dyDescent="0.2">
      <c r="A154" s="70" t="s">
        <v>1293</v>
      </c>
      <c r="B154" s="71" t="s">
        <v>1294</v>
      </c>
      <c r="C154" s="72" t="s">
        <v>1295</v>
      </c>
      <c r="D154" s="73" t="s">
        <v>997</v>
      </c>
      <c r="E154" s="72" t="s">
        <v>43</v>
      </c>
      <c r="F154" s="84">
        <v>107.92</v>
      </c>
      <c r="G154" s="73" t="s">
        <v>826</v>
      </c>
      <c r="H154" s="75"/>
      <c r="I154" s="75"/>
      <c r="J154" s="75"/>
      <c r="K154" s="75"/>
      <c r="L154" s="75"/>
      <c r="M154" s="75"/>
      <c r="N154" s="75"/>
      <c r="O154" s="75">
        <f>SUM(TABELA24[[#This Row],[T1]:[T7]])</f>
        <v>0</v>
      </c>
      <c r="P154" s="76">
        <f>TABELA24[[#This Row],[QTDE]]*TABELA24[[#This Row],[PREÇO]]</f>
        <v>0</v>
      </c>
    </row>
    <row r="155" spans="1:16" x14ac:dyDescent="0.2">
      <c r="A155" s="70" t="s">
        <v>1296</v>
      </c>
      <c r="B155" s="71" t="s">
        <v>1297</v>
      </c>
      <c r="C155" s="72" t="s">
        <v>1298</v>
      </c>
      <c r="D155" s="73" t="s">
        <v>838</v>
      </c>
      <c r="E155" s="72" t="s">
        <v>765</v>
      </c>
      <c r="F155" s="84">
        <v>345.42</v>
      </c>
      <c r="G155" s="73" t="s">
        <v>826</v>
      </c>
      <c r="H155" s="75"/>
      <c r="I155" s="75"/>
      <c r="J155" s="75"/>
      <c r="K155" s="75"/>
      <c r="L155" s="75"/>
      <c r="M155" s="75"/>
      <c r="N155" s="75"/>
      <c r="O155" s="75">
        <f>SUM(TABELA24[[#This Row],[T1]:[T7]])</f>
        <v>0</v>
      </c>
      <c r="P155" s="76">
        <f>TABELA24[[#This Row],[QTDE]]*TABELA24[[#This Row],[PREÇO]]</f>
        <v>0</v>
      </c>
    </row>
    <row r="156" spans="1:16" x14ac:dyDescent="0.2">
      <c r="A156" s="70" t="s">
        <v>1299</v>
      </c>
      <c r="B156" s="71" t="s">
        <v>1300</v>
      </c>
      <c r="C156" s="72" t="s">
        <v>1301</v>
      </c>
      <c r="D156" s="73" t="s">
        <v>32</v>
      </c>
      <c r="E156" s="72" t="s">
        <v>33</v>
      </c>
      <c r="F156" s="84">
        <v>145.41999999999999</v>
      </c>
      <c r="G156" s="73" t="s">
        <v>826</v>
      </c>
      <c r="H156" s="75"/>
      <c r="I156" s="75"/>
      <c r="J156" s="75"/>
      <c r="K156" s="75"/>
      <c r="L156" s="75"/>
      <c r="M156" s="75"/>
      <c r="N156" s="75"/>
      <c r="O156" s="75">
        <f>SUM(TABELA24[[#This Row],[T1]:[T7]])</f>
        <v>0</v>
      </c>
      <c r="P156" s="76">
        <f>TABELA24[[#This Row],[QTDE]]*TABELA24[[#This Row],[PREÇO]]</f>
        <v>0</v>
      </c>
    </row>
    <row r="157" spans="1:16" x14ac:dyDescent="0.2">
      <c r="A157" s="70" t="s">
        <v>1302</v>
      </c>
      <c r="B157" s="71" t="s">
        <v>1303</v>
      </c>
      <c r="C157" s="72" t="s">
        <v>1304</v>
      </c>
      <c r="D157" s="73" t="s">
        <v>32</v>
      </c>
      <c r="E157" s="72" t="s">
        <v>33</v>
      </c>
      <c r="F157" s="84">
        <v>66.25</v>
      </c>
      <c r="G157" s="73" t="s">
        <v>826</v>
      </c>
      <c r="H157" s="75"/>
      <c r="I157" s="75"/>
      <c r="J157" s="75"/>
      <c r="K157" s="75"/>
      <c r="L157" s="75"/>
      <c r="M157" s="75"/>
      <c r="N157" s="75"/>
      <c r="O157" s="75">
        <f>SUM(TABELA24[[#This Row],[T1]:[T7]])</f>
        <v>0</v>
      </c>
      <c r="P157" s="76">
        <f>TABELA24[[#This Row],[QTDE]]*TABELA24[[#This Row],[PREÇO]]</f>
        <v>0</v>
      </c>
    </row>
    <row r="158" spans="1:16" x14ac:dyDescent="0.2">
      <c r="A158" s="70" t="s">
        <v>1305</v>
      </c>
      <c r="B158" s="71" t="s">
        <v>1303</v>
      </c>
      <c r="C158" s="72" t="s">
        <v>1304</v>
      </c>
      <c r="D158" s="73" t="s">
        <v>819</v>
      </c>
      <c r="E158" s="72" t="s">
        <v>73</v>
      </c>
      <c r="F158" s="84">
        <v>66.25</v>
      </c>
      <c r="G158" s="73" t="s">
        <v>826</v>
      </c>
      <c r="H158" s="75"/>
      <c r="I158" s="75"/>
      <c r="J158" s="75"/>
      <c r="K158" s="75"/>
      <c r="L158" s="75"/>
      <c r="M158" s="75"/>
      <c r="N158" s="75"/>
      <c r="O158" s="75">
        <f>SUM(TABELA24[[#This Row],[T1]:[T7]])</f>
        <v>0</v>
      </c>
      <c r="P158" s="76">
        <f>TABELA24[[#This Row],[QTDE]]*TABELA24[[#This Row],[PREÇO]]</f>
        <v>0</v>
      </c>
    </row>
    <row r="159" spans="1:16" x14ac:dyDescent="0.2">
      <c r="A159" s="70" t="s">
        <v>1308</v>
      </c>
      <c r="B159" s="71" t="s">
        <v>1309</v>
      </c>
      <c r="C159" s="72" t="s">
        <v>1310</v>
      </c>
      <c r="D159" s="73" t="s">
        <v>32</v>
      </c>
      <c r="E159" s="72" t="s">
        <v>33</v>
      </c>
      <c r="F159" s="84">
        <v>124.58</v>
      </c>
      <c r="G159" s="73" t="s">
        <v>826</v>
      </c>
      <c r="H159" s="75"/>
      <c r="I159" s="75"/>
      <c r="J159" s="75"/>
      <c r="K159" s="75"/>
      <c r="L159" s="75"/>
      <c r="M159" s="75"/>
      <c r="N159" s="75"/>
      <c r="O159" s="75">
        <f>SUM(TABELA24[[#This Row],[T1]:[T7]])</f>
        <v>0</v>
      </c>
      <c r="P159" s="76">
        <f>TABELA24[[#This Row],[QTDE]]*TABELA24[[#This Row],[PREÇO]]</f>
        <v>0</v>
      </c>
    </row>
    <row r="160" spans="1:16" x14ac:dyDescent="0.2">
      <c r="A160" s="70" t="s">
        <v>1312</v>
      </c>
      <c r="B160" s="71" t="s">
        <v>1313</v>
      </c>
      <c r="C160" s="72" t="s">
        <v>1314</v>
      </c>
      <c r="D160" s="73" t="s">
        <v>1004</v>
      </c>
      <c r="E160" s="72" t="s">
        <v>1307</v>
      </c>
      <c r="F160" s="84">
        <v>99.58</v>
      </c>
      <c r="G160" s="73" t="s">
        <v>826</v>
      </c>
      <c r="H160" s="75"/>
      <c r="I160" s="75"/>
      <c r="J160" s="75"/>
      <c r="K160" s="75"/>
      <c r="L160" s="75"/>
      <c r="M160" s="75"/>
      <c r="N160" s="75"/>
      <c r="O160" s="75">
        <f>SUM(TABELA24[[#This Row],[T1]:[T7]])</f>
        <v>0</v>
      </c>
      <c r="P160" s="76">
        <f>TABELA24[[#This Row],[QTDE]]*TABELA24[[#This Row],[PREÇO]]</f>
        <v>0</v>
      </c>
    </row>
    <row r="161" spans="1:16" x14ac:dyDescent="0.2">
      <c r="A161" s="70" t="s">
        <v>1315</v>
      </c>
      <c r="B161" s="71" t="s">
        <v>1313</v>
      </c>
      <c r="C161" s="72" t="s">
        <v>1314</v>
      </c>
      <c r="D161" s="73" t="s">
        <v>898</v>
      </c>
      <c r="E161" s="72" t="s">
        <v>900</v>
      </c>
      <c r="F161" s="84">
        <v>99.58</v>
      </c>
      <c r="G161" s="73" t="s">
        <v>826</v>
      </c>
      <c r="H161" s="75"/>
      <c r="I161" s="75"/>
      <c r="J161" s="75"/>
      <c r="K161" s="75"/>
      <c r="L161" s="75"/>
      <c r="M161" s="75"/>
      <c r="N161" s="75"/>
      <c r="O161" s="75">
        <f>SUM(TABELA24[[#This Row],[T1]:[T7]])</f>
        <v>0</v>
      </c>
      <c r="P161" s="76">
        <f>TABELA24[[#This Row],[QTDE]]*TABELA24[[#This Row],[PREÇO]]</f>
        <v>0</v>
      </c>
    </row>
    <row r="162" spans="1:16" x14ac:dyDescent="0.2">
      <c r="A162" s="70" t="s">
        <v>1320</v>
      </c>
      <c r="B162" s="71" t="s">
        <v>1316</v>
      </c>
      <c r="C162" s="72" t="s">
        <v>1318</v>
      </c>
      <c r="D162" s="73" t="s">
        <v>1317</v>
      </c>
      <c r="E162" s="72" t="s">
        <v>1319</v>
      </c>
      <c r="F162" s="84">
        <v>95.42</v>
      </c>
      <c r="G162" s="73" t="s">
        <v>826</v>
      </c>
      <c r="H162" s="75"/>
      <c r="I162" s="75"/>
      <c r="J162" s="75"/>
      <c r="K162" s="75"/>
      <c r="L162" s="75"/>
      <c r="M162" s="75"/>
      <c r="N162" s="75"/>
      <c r="O162" s="75">
        <f>SUM(TABELA24[[#This Row],[T1]:[T7]])</f>
        <v>0</v>
      </c>
      <c r="P162" s="76">
        <f>TABELA24[[#This Row],[QTDE]]*TABELA24[[#This Row],[PREÇO]]</f>
        <v>0</v>
      </c>
    </row>
    <row r="163" spans="1:16" x14ac:dyDescent="0.2">
      <c r="A163" s="70" t="s">
        <v>1321</v>
      </c>
      <c r="B163" s="71" t="s">
        <v>1322</v>
      </c>
      <c r="C163" s="72" t="s">
        <v>1323</v>
      </c>
      <c r="D163" s="73" t="s">
        <v>882</v>
      </c>
      <c r="E163" s="72" t="s">
        <v>817</v>
      </c>
      <c r="F163" s="84">
        <v>103.75</v>
      </c>
      <c r="G163" s="73" t="s">
        <v>826</v>
      </c>
      <c r="H163" s="75"/>
      <c r="I163" s="75"/>
      <c r="J163" s="75"/>
      <c r="K163" s="75"/>
      <c r="L163" s="75"/>
      <c r="M163" s="75"/>
      <c r="N163" s="75"/>
      <c r="O163" s="75">
        <f>SUM(TABELA24[[#This Row],[T1]:[T7]])</f>
        <v>0</v>
      </c>
      <c r="P163" s="76">
        <f>TABELA24[[#This Row],[QTDE]]*TABELA24[[#This Row],[PREÇO]]</f>
        <v>0</v>
      </c>
    </row>
    <row r="164" spans="1:16" x14ac:dyDescent="0.2">
      <c r="A164" s="70" t="s">
        <v>1326</v>
      </c>
      <c r="B164" s="71" t="s">
        <v>1324</v>
      </c>
      <c r="C164" s="72" t="s">
        <v>1318</v>
      </c>
      <c r="D164" s="73" t="s">
        <v>888</v>
      </c>
      <c r="E164" s="72" t="s">
        <v>890</v>
      </c>
      <c r="F164" s="84">
        <v>95.42</v>
      </c>
      <c r="G164" s="73" t="s">
        <v>826</v>
      </c>
      <c r="H164" s="75"/>
      <c r="I164" s="75"/>
      <c r="J164" s="75"/>
      <c r="K164" s="75"/>
      <c r="L164" s="75"/>
      <c r="M164" s="75"/>
      <c r="N164" s="75"/>
      <c r="O164" s="75">
        <f>SUM(TABELA24[[#This Row],[T1]:[T7]])</f>
        <v>0</v>
      </c>
      <c r="P164" s="76">
        <f>TABELA24[[#This Row],[QTDE]]*TABELA24[[#This Row],[PREÇO]]</f>
        <v>0</v>
      </c>
    </row>
    <row r="165" spans="1:16" x14ac:dyDescent="0.2">
      <c r="A165" s="70" t="s">
        <v>1325</v>
      </c>
      <c r="B165" s="71" t="s">
        <v>1324</v>
      </c>
      <c r="C165" s="72" t="s">
        <v>1318</v>
      </c>
      <c r="D165" s="73" t="s">
        <v>830</v>
      </c>
      <c r="E165" s="72" t="s">
        <v>2316</v>
      </c>
      <c r="F165" s="84">
        <v>95.42</v>
      </c>
      <c r="G165" s="73" t="s">
        <v>826</v>
      </c>
      <c r="H165" s="75"/>
      <c r="I165" s="75"/>
      <c r="J165" s="75"/>
      <c r="K165" s="75"/>
      <c r="L165" s="75"/>
      <c r="M165" s="75"/>
      <c r="N165" s="75"/>
      <c r="O165" s="75">
        <f>SUM(TABELA24[[#This Row],[T1]:[T7]])</f>
        <v>0</v>
      </c>
      <c r="P165" s="76">
        <f>TABELA24[[#This Row],[QTDE]]*TABELA24[[#This Row],[PREÇO]]</f>
        <v>0</v>
      </c>
    </row>
    <row r="166" spans="1:16" x14ac:dyDescent="0.2">
      <c r="A166" s="70" t="s">
        <v>1327</v>
      </c>
      <c r="B166" s="71" t="s">
        <v>1328</v>
      </c>
      <c r="C166" s="72" t="s">
        <v>1329</v>
      </c>
      <c r="D166" s="73" t="s">
        <v>819</v>
      </c>
      <c r="E166" s="72" t="s">
        <v>73</v>
      </c>
      <c r="F166" s="84">
        <v>116.25</v>
      </c>
      <c r="G166" s="73" t="s">
        <v>826</v>
      </c>
      <c r="H166" s="75"/>
      <c r="I166" s="75"/>
      <c r="J166" s="75"/>
      <c r="K166" s="75"/>
      <c r="L166" s="75"/>
      <c r="M166" s="75"/>
      <c r="N166" s="75"/>
      <c r="O166" s="75">
        <f>SUM(TABELA24[[#This Row],[T1]:[T7]])</f>
        <v>0</v>
      </c>
      <c r="P166" s="76">
        <f>TABELA24[[#This Row],[QTDE]]*TABELA24[[#This Row],[PREÇO]]</f>
        <v>0</v>
      </c>
    </row>
    <row r="167" spans="1:16" x14ac:dyDescent="0.2">
      <c r="A167" s="70" t="s">
        <v>1331</v>
      </c>
      <c r="B167" s="71" t="s">
        <v>1330</v>
      </c>
      <c r="C167" s="72" t="s">
        <v>839</v>
      </c>
      <c r="D167" s="73" t="s">
        <v>32</v>
      </c>
      <c r="E167" s="72" t="s">
        <v>33</v>
      </c>
      <c r="F167" s="84">
        <v>74.58</v>
      </c>
      <c r="G167" s="73" t="s">
        <v>826</v>
      </c>
      <c r="H167" s="75"/>
      <c r="I167" s="75"/>
      <c r="J167" s="75"/>
      <c r="K167" s="75"/>
      <c r="L167" s="75"/>
      <c r="M167" s="75"/>
      <c r="N167" s="75"/>
      <c r="O167" s="75">
        <f>SUM(TABELA24[[#This Row],[T1]:[T7]])</f>
        <v>0</v>
      </c>
      <c r="P167" s="76">
        <f>TABELA24[[#This Row],[QTDE]]*TABELA24[[#This Row],[PREÇO]]</f>
        <v>0</v>
      </c>
    </row>
    <row r="168" spans="1:16" x14ac:dyDescent="0.2">
      <c r="A168" s="70" t="s">
        <v>1332</v>
      </c>
      <c r="B168" s="71" t="s">
        <v>1330</v>
      </c>
      <c r="C168" s="72" t="s">
        <v>839</v>
      </c>
      <c r="D168" s="73" t="s">
        <v>830</v>
      </c>
      <c r="E168" s="72" t="s">
        <v>2316</v>
      </c>
      <c r="F168" s="84">
        <v>74.58</v>
      </c>
      <c r="G168" s="73" t="s">
        <v>826</v>
      </c>
      <c r="H168" s="75"/>
      <c r="I168" s="75"/>
      <c r="J168" s="75"/>
      <c r="K168" s="75"/>
      <c r="L168" s="75"/>
      <c r="M168" s="75"/>
      <c r="N168" s="75"/>
      <c r="O168" s="75">
        <f>SUM(TABELA24[[#This Row],[T1]:[T7]])</f>
        <v>0</v>
      </c>
      <c r="P168" s="76">
        <f>TABELA24[[#This Row],[QTDE]]*TABELA24[[#This Row],[PREÇO]]</f>
        <v>0</v>
      </c>
    </row>
    <row r="169" spans="1:16" x14ac:dyDescent="0.2">
      <c r="A169" s="70" t="s">
        <v>1335</v>
      </c>
      <c r="B169" s="71" t="s">
        <v>1333</v>
      </c>
      <c r="C169" s="72" t="s">
        <v>1334</v>
      </c>
      <c r="D169" s="73" t="s">
        <v>1118</v>
      </c>
      <c r="E169" s="72" t="s">
        <v>1119</v>
      </c>
      <c r="F169" s="84">
        <v>353.75</v>
      </c>
      <c r="G169" s="73" t="s">
        <v>829</v>
      </c>
      <c r="H169" s="75"/>
      <c r="I169" s="75"/>
      <c r="J169" s="75"/>
      <c r="K169" s="75"/>
      <c r="L169" s="75"/>
      <c r="M169" s="75"/>
      <c r="N169" s="75"/>
      <c r="O169" s="75">
        <f>SUM(TABELA24[[#This Row],[T1]:[T7]])</f>
        <v>0</v>
      </c>
      <c r="P169" s="76">
        <f>TABELA24[[#This Row],[QTDE]]*TABELA24[[#This Row],[PREÇO]]</f>
        <v>0</v>
      </c>
    </row>
    <row r="170" spans="1:16" x14ac:dyDescent="0.2">
      <c r="A170" s="70" t="s">
        <v>1336</v>
      </c>
      <c r="B170" s="71" t="s">
        <v>1337</v>
      </c>
      <c r="C170" s="72" t="s">
        <v>1338</v>
      </c>
      <c r="D170" s="73" t="s">
        <v>992</v>
      </c>
      <c r="E170" s="72" t="s">
        <v>994</v>
      </c>
      <c r="F170" s="84">
        <v>82.92</v>
      </c>
      <c r="G170" s="73" t="s">
        <v>826</v>
      </c>
      <c r="H170" s="75"/>
      <c r="I170" s="75"/>
      <c r="J170" s="75"/>
      <c r="K170" s="75"/>
      <c r="L170" s="75"/>
      <c r="M170" s="75"/>
      <c r="N170" s="75"/>
      <c r="O170" s="75">
        <f>SUM(TABELA24[[#This Row],[T1]:[T7]])</f>
        <v>0</v>
      </c>
      <c r="P170" s="76">
        <f>TABELA24[[#This Row],[QTDE]]*TABELA24[[#This Row],[PREÇO]]</f>
        <v>0</v>
      </c>
    </row>
    <row r="171" spans="1:16" x14ac:dyDescent="0.2">
      <c r="A171" s="70" t="s">
        <v>1341</v>
      </c>
      <c r="B171" s="71" t="s">
        <v>1339</v>
      </c>
      <c r="C171" s="72" t="s">
        <v>1340</v>
      </c>
      <c r="D171" s="73" t="s">
        <v>821</v>
      </c>
      <c r="E171" s="72" t="s">
        <v>822</v>
      </c>
      <c r="F171" s="84">
        <v>149.58000000000001</v>
      </c>
      <c r="G171" s="73" t="s">
        <v>829</v>
      </c>
      <c r="H171" s="75"/>
      <c r="I171" s="75"/>
      <c r="J171" s="75"/>
      <c r="K171" s="75"/>
      <c r="L171" s="75"/>
      <c r="M171" s="75"/>
      <c r="N171" s="75"/>
      <c r="O171" s="75">
        <f>SUM(TABELA24[[#This Row],[T1]:[T7]])</f>
        <v>0</v>
      </c>
      <c r="P171" s="76">
        <f>TABELA24[[#This Row],[QTDE]]*TABELA24[[#This Row],[PREÇO]]</f>
        <v>0</v>
      </c>
    </row>
    <row r="172" spans="1:16" x14ac:dyDescent="0.2">
      <c r="A172" s="70" t="s">
        <v>1344</v>
      </c>
      <c r="B172" s="71" t="s">
        <v>1342</v>
      </c>
      <c r="C172" s="72" t="s">
        <v>1343</v>
      </c>
      <c r="D172" s="73" t="s">
        <v>821</v>
      </c>
      <c r="E172" s="72" t="s">
        <v>822</v>
      </c>
      <c r="F172" s="84">
        <v>282.92</v>
      </c>
      <c r="G172" s="73" t="s">
        <v>17</v>
      </c>
      <c r="H172" s="75"/>
      <c r="I172" s="75"/>
      <c r="J172" s="75"/>
      <c r="K172" s="75"/>
      <c r="L172" s="75"/>
      <c r="M172" s="75"/>
      <c r="N172" s="75"/>
      <c r="O172" s="75">
        <f>SUM(TABELA24[[#This Row],[T1]:[T7]])</f>
        <v>0</v>
      </c>
      <c r="P172" s="76">
        <f>TABELA24[[#This Row],[QTDE]]*TABELA24[[#This Row],[PREÇO]]</f>
        <v>0</v>
      </c>
    </row>
    <row r="173" spans="1:16" x14ac:dyDescent="0.2">
      <c r="A173" s="70" t="s">
        <v>1347</v>
      </c>
      <c r="B173" s="71" t="s">
        <v>1345</v>
      </c>
      <c r="C173" s="72" t="s">
        <v>1346</v>
      </c>
      <c r="D173" s="73" t="s">
        <v>815</v>
      </c>
      <c r="E173" s="72" t="s">
        <v>816</v>
      </c>
      <c r="F173" s="84">
        <v>149.58000000000001</v>
      </c>
      <c r="G173" s="73" t="s">
        <v>826</v>
      </c>
      <c r="H173" s="75"/>
      <c r="I173" s="75"/>
      <c r="J173" s="75"/>
      <c r="K173" s="75"/>
      <c r="L173" s="75"/>
      <c r="M173" s="75"/>
      <c r="N173" s="75"/>
      <c r="O173" s="75">
        <f>SUM(TABELA24[[#This Row],[T1]:[T7]])</f>
        <v>0</v>
      </c>
      <c r="P173" s="76">
        <f>TABELA24[[#This Row],[QTDE]]*TABELA24[[#This Row],[PREÇO]]</f>
        <v>0</v>
      </c>
    </row>
    <row r="174" spans="1:16" x14ac:dyDescent="0.2">
      <c r="A174" s="70" t="s">
        <v>1350</v>
      </c>
      <c r="B174" s="71" t="s">
        <v>1348</v>
      </c>
      <c r="C174" s="72" t="s">
        <v>1349</v>
      </c>
      <c r="D174" s="73" t="s">
        <v>821</v>
      </c>
      <c r="E174" s="72" t="s">
        <v>822</v>
      </c>
      <c r="F174" s="84">
        <v>249.58</v>
      </c>
      <c r="G174" s="73" t="s">
        <v>829</v>
      </c>
      <c r="H174" s="75"/>
      <c r="I174" s="75"/>
      <c r="J174" s="75"/>
      <c r="K174" s="75"/>
      <c r="L174" s="75"/>
      <c r="M174" s="75"/>
      <c r="N174" s="75"/>
      <c r="O174" s="75">
        <f>SUM(TABELA24[[#This Row],[T1]:[T7]])</f>
        <v>0</v>
      </c>
      <c r="P174" s="76">
        <f>TABELA24[[#This Row],[QTDE]]*TABELA24[[#This Row],[PREÇO]]</f>
        <v>0</v>
      </c>
    </row>
    <row r="175" spans="1:16" x14ac:dyDescent="0.2">
      <c r="A175" s="70" t="s">
        <v>1353</v>
      </c>
      <c r="B175" s="71" t="s">
        <v>1351</v>
      </c>
      <c r="C175" s="72" t="s">
        <v>1352</v>
      </c>
      <c r="D175" s="73" t="s">
        <v>898</v>
      </c>
      <c r="E175" s="72" t="s">
        <v>900</v>
      </c>
      <c r="F175" s="84">
        <v>82.92</v>
      </c>
      <c r="G175" s="73" t="s">
        <v>17</v>
      </c>
      <c r="H175" s="75"/>
      <c r="I175" s="75"/>
      <c r="J175" s="75"/>
      <c r="K175" s="75"/>
      <c r="L175" s="75"/>
      <c r="M175" s="75"/>
      <c r="N175" s="75"/>
      <c r="O175" s="75">
        <f>SUM(TABELA24[[#This Row],[T1]:[T7]])</f>
        <v>0</v>
      </c>
      <c r="P175" s="76">
        <f>TABELA24[[#This Row],[QTDE]]*TABELA24[[#This Row],[PREÇO]]</f>
        <v>0</v>
      </c>
    </row>
    <row r="176" spans="1:16" x14ac:dyDescent="0.2">
      <c r="A176" s="70" t="s">
        <v>1358</v>
      </c>
      <c r="B176" s="71" t="s">
        <v>1356</v>
      </c>
      <c r="C176" s="72" t="s">
        <v>1357</v>
      </c>
      <c r="D176" s="73" t="s">
        <v>823</v>
      </c>
      <c r="E176" s="72" t="s">
        <v>820</v>
      </c>
      <c r="F176" s="84">
        <v>287.08</v>
      </c>
      <c r="G176" s="73" t="s">
        <v>828</v>
      </c>
      <c r="H176" s="75"/>
      <c r="I176" s="75"/>
      <c r="J176" s="75"/>
      <c r="K176" s="75"/>
      <c r="L176" s="75"/>
      <c r="M176" s="75"/>
      <c r="N176" s="75"/>
      <c r="O176" s="75">
        <f>SUM(TABELA24[[#This Row],[T1]:[T7]])</f>
        <v>0</v>
      </c>
      <c r="P176" s="76">
        <f>TABELA24[[#This Row],[QTDE]]*TABELA24[[#This Row],[PREÇO]]</f>
        <v>0</v>
      </c>
    </row>
    <row r="177" spans="1:16" x14ac:dyDescent="0.2">
      <c r="A177" s="70" t="s">
        <v>1361</v>
      </c>
      <c r="B177" s="71" t="s">
        <v>1359</v>
      </c>
      <c r="C177" s="72" t="s">
        <v>1360</v>
      </c>
      <c r="D177" s="73" t="s">
        <v>823</v>
      </c>
      <c r="E177" s="72" t="s">
        <v>820</v>
      </c>
      <c r="F177" s="84">
        <v>191.25</v>
      </c>
      <c r="G177" s="73" t="s">
        <v>828</v>
      </c>
      <c r="H177" s="75"/>
      <c r="I177" s="75"/>
      <c r="J177" s="75"/>
      <c r="K177" s="75"/>
      <c r="L177" s="75"/>
      <c r="M177" s="75"/>
      <c r="N177" s="75"/>
      <c r="O177" s="75">
        <f>SUM(TABELA24[[#This Row],[T1]:[T7]])</f>
        <v>0</v>
      </c>
      <c r="P177" s="76">
        <f>TABELA24[[#This Row],[QTDE]]*TABELA24[[#This Row],[PREÇO]]</f>
        <v>0</v>
      </c>
    </row>
    <row r="178" spans="1:16" x14ac:dyDescent="0.2">
      <c r="A178" s="70" t="s">
        <v>1362</v>
      </c>
      <c r="B178" s="71" t="s">
        <v>1363</v>
      </c>
      <c r="C178" s="72" t="s">
        <v>1365</v>
      </c>
      <c r="D178" s="73" t="s">
        <v>1364</v>
      </c>
      <c r="E178" s="72" t="s">
        <v>1366</v>
      </c>
      <c r="F178" s="84">
        <v>232.92</v>
      </c>
      <c r="G178" s="73" t="s">
        <v>826</v>
      </c>
      <c r="H178" s="75"/>
      <c r="I178" s="75"/>
      <c r="J178" s="75"/>
      <c r="K178" s="75"/>
      <c r="L178" s="75"/>
      <c r="M178" s="75"/>
      <c r="N178" s="75"/>
      <c r="O178" s="75">
        <f>SUM(TABELA24[[#This Row],[T1]:[T7]])</f>
        <v>0</v>
      </c>
      <c r="P178" s="76">
        <f>TABELA24[[#This Row],[QTDE]]*TABELA24[[#This Row],[PREÇO]]</f>
        <v>0</v>
      </c>
    </row>
    <row r="179" spans="1:16" x14ac:dyDescent="0.2">
      <c r="A179" s="70" t="s">
        <v>1367</v>
      </c>
      <c r="B179" s="71" t="s">
        <v>1368</v>
      </c>
      <c r="C179" s="72" t="s">
        <v>1369</v>
      </c>
      <c r="D179" s="73" t="s">
        <v>823</v>
      </c>
      <c r="E179" s="72" t="s">
        <v>820</v>
      </c>
      <c r="F179" s="84">
        <v>312.08</v>
      </c>
      <c r="G179" s="73" t="s">
        <v>826</v>
      </c>
      <c r="H179" s="75"/>
      <c r="I179" s="75"/>
      <c r="J179" s="75"/>
      <c r="K179" s="75"/>
      <c r="L179" s="75"/>
      <c r="M179" s="75"/>
      <c r="N179" s="75"/>
      <c r="O179" s="75">
        <f>SUM(TABELA24[[#This Row],[T1]:[T7]])</f>
        <v>0</v>
      </c>
      <c r="P179" s="76">
        <f>TABELA24[[#This Row],[QTDE]]*TABELA24[[#This Row],[PREÇO]]</f>
        <v>0</v>
      </c>
    </row>
    <row r="180" spans="1:16" x14ac:dyDescent="0.2">
      <c r="A180" s="70" t="s">
        <v>1374</v>
      </c>
      <c r="B180" s="71" t="s">
        <v>1370</v>
      </c>
      <c r="C180" s="72" t="s">
        <v>1372</v>
      </c>
      <c r="D180" s="73" t="s">
        <v>1371</v>
      </c>
      <c r="E180" s="72" t="s">
        <v>1373</v>
      </c>
      <c r="F180" s="84">
        <v>153.75</v>
      </c>
      <c r="G180" s="73" t="s">
        <v>828</v>
      </c>
      <c r="H180" s="75"/>
      <c r="I180" s="75"/>
      <c r="J180" s="75"/>
      <c r="K180" s="75"/>
      <c r="L180" s="75"/>
      <c r="M180" s="75"/>
      <c r="N180" s="75"/>
      <c r="O180" s="75">
        <f>SUM(TABELA24[[#This Row],[T1]:[T7]])</f>
        <v>0</v>
      </c>
      <c r="P180" s="76">
        <f>TABELA24[[#This Row],[QTDE]]*TABELA24[[#This Row],[PREÇO]]</f>
        <v>0</v>
      </c>
    </row>
    <row r="181" spans="1:16" x14ac:dyDescent="0.2">
      <c r="A181" s="70" t="s">
        <v>1375</v>
      </c>
      <c r="B181" s="71" t="s">
        <v>1376</v>
      </c>
      <c r="C181" s="72" t="s">
        <v>837</v>
      </c>
      <c r="D181" s="73" t="s">
        <v>823</v>
      </c>
      <c r="E181" s="72" t="s">
        <v>820</v>
      </c>
      <c r="F181" s="84">
        <v>274.58</v>
      </c>
      <c r="G181" s="73" t="s">
        <v>826</v>
      </c>
      <c r="H181" s="75"/>
      <c r="I181" s="75"/>
      <c r="J181" s="75"/>
      <c r="K181" s="75"/>
      <c r="L181" s="75"/>
      <c r="M181" s="75"/>
      <c r="N181" s="75"/>
      <c r="O181" s="75">
        <f>SUM(TABELA24[[#This Row],[T1]:[T7]])</f>
        <v>0</v>
      </c>
      <c r="P181" s="76">
        <f>TABELA24[[#This Row],[QTDE]]*TABELA24[[#This Row],[PREÇO]]</f>
        <v>0</v>
      </c>
    </row>
    <row r="182" spans="1:16" x14ac:dyDescent="0.2">
      <c r="A182" s="70" t="s">
        <v>1379</v>
      </c>
      <c r="B182" s="71" t="s">
        <v>1377</v>
      </c>
      <c r="C182" s="72" t="s">
        <v>1378</v>
      </c>
      <c r="D182" s="73" t="s">
        <v>32</v>
      </c>
      <c r="E182" s="72" t="s">
        <v>33</v>
      </c>
      <c r="F182" s="84">
        <v>137.08000000000001</v>
      </c>
      <c r="G182" s="73" t="s">
        <v>828</v>
      </c>
      <c r="H182" s="75"/>
      <c r="I182" s="75"/>
      <c r="J182" s="75"/>
      <c r="K182" s="75"/>
      <c r="L182" s="75"/>
      <c r="M182" s="75"/>
      <c r="N182" s="75"/>
      <c r="O182" s="75">
        <f>SUM(TABELA24[[#This Row],[T1]:[T7]])</f>
        <v>0</v>
      </c>
      <c r="P182" s="76">
        <f>TABELA24[[#This Row],[QTDE]]*TABELA24[[#This Row],[PREÇO]]</f>
        <v>0</v>
      </c>
    </row>
    <row r="183" spans="1:16" x14ac:dyDescent="0.2">
      <c r="A183" s="70" t="s">
        <v>1380</v>
      </c>
      <c r="B183" s="71" t="s">
        <v>1377</v>
      </c>
      <c r="C183" s="72" t="s">
        <v>1378</v>
      </c>
      <c r="D183" s="73" t="s">
        <v>888</v>
      </c>
      <c r="E183" s="72" t="s">
        <v>890</v>
      </c>
      <c r="F183" s="84">
        <v>137.08000000000001</v>
      </c>
      <c r="G183" s="73" t="s">
        <v>828</v>
      </c>
      <c r="H183" s="75"/>
      <c r="I183" s="75"/>
      <c r="J183" s="75"/>
      <c r="K183" s="75"/>
      <c r="L183" s="75"/>
      <c r="M183" s="75"/>
      <c r="N183" s="75"/>
      <c r="O183" s="75">
        <f>SUM(TABELA24[[#This Row],[T1]:[T7]])</f>
        <v>0</v>
      </c>
      <c r="P183" s="76">
        <f>TABELA24[[#This Row],[QTDE]]*TABELA24[[#This Row],[PREÇO]]</f>
        <v>0</v>
      </c>
    </row>
    <row r="184" spans="1:16" x14ac:dyDescent="0.2">
      <c r="A184" s="70" t="s">
        <v>1381</v>
      </c>
      <c r="B184" s="71" t="s">
        <v>1377</v>
      </c>
      <c r="C184" s="72" t="s">
        <v>1378</v>
      </c>
      <c r="D184" s="73" t="s">
        <v>1317</v>
      </c>
      <c r="E184" s="72" t="s">
        <v>1571</v>
      </c>
      <c r="F184" s="84">
        <v>137.08000000000001</v>
      </c>
      <c r="G184" s="73" t="s">
        <v>828</v>
      </c>
      <c r="H184" s="75"/>
      <c r="I184" s="75"/>
      <c r="J184" s="75"/>
      <c r="K184" s="75"/>
      <c r="L184" s="75"/>
      <c r="M184" s="75"/>
      <c r="N184" s="75"/>
      <c r="O184" s="75">
        <f>SUM(TABELA24[[#This Row],[T1]:[T7]])</f>
        <v>0</v>
      </c>
      <c r="P184" s="76">
        <f>TABELA24[[#This Row],[QTDE]]*TABELA24[[#This Row],[PREÇO]]</f>
        <v>0</v>
      </c>
    </row>
    <row r="185" spans="1:16" x14ac:dyDescent="0.2">
      <c r="A185" s="70" t="s">
        <v>1382</v>
      </c>
      <c r="B185" s="71" t="s">
        <v>1383</v>
      </c>
      <c r="C185" s="72" t="s">
        <v>1385</v>
      </c>
      <c r="D185" s="73" t="s">
        <v>1384</v>
      </c>
      <c r="E185" s="72" t="s">
        <v>1386</v>
      </c>
      <c r="F185" s="84">
        <v>220.42</v>
      </c>
      <c r="G185" s="73" t="s">
        <v>826</v>
      </c>
      <c r="H185" s="75"/>
      <c r="I185" s="75"/>
      <c r="J185" s="75"/>
      <c r="K185" s="75"/>
      <c r="L185" s="75"/>
      <c r="M185" s="75"/>
      <c r="N185" s="75"/>
      <c r="O185" s="75">
        <f>SUM(TABELA24[[#This Row],[T1]:[T7]])</f>
        <v>0</v>
      </c>
      <c r="P185" s="76">
        <f>TABELA24[[#This Row],[QTDE]]*TABELA24[[#This Row],[PREÇO]]</f>
        <v>0</v>
      </c>
    </row>
    <row r="186" spans="1:16" x14ac:dyDescent="0.2">
      <c r="A186" s="70" t="s">
        <v>1387</v>
      </c>
      <c r="B186" s="71" t="s">
        <v>1388</v>
      </c>
      <c r="C186" s="72" t="s">
        <v>1389</v>
      </c>
      <c r="D186" s="73" t="s">
        <v>823</v>
      </c>
      <c r="E186" s="72" t="s">
        <v>820</v>
      </c>
      <c r="F186" s="84">
        <v>228.75</v>
      </c>
      <c r="G186" s="73" t="s">
        <v>826</v>
      </c>
      <c r="H186" s="75"/>
      <c r="I186" s="75"/>
      <c r="J186" s="75"/>
      <c r="K186" s="75"/>
      <c r="L186" s="75"/>
      <c r="M186" s="75"/>
      <c r="N186" s="75"/>
      <c r="O186" s="75">
        <f>SUM(TABELA24[[#This Row],[T1]:[T7]])</f>
        <v>0</v>
      </c>
      <c r="P186" s="76">
        <f>TABELA24[[#This Row],[QTDE]]*TABELA24[[#This Row],[PREÇO]]</f>
        <v>0</v>
      </c>
    </row>
    <row r="187" spans="1:16" x14ac:dyDescent="0.2">
      <c r="A187" s="70" t="s">
        <v>1390</v>
      </c>
      <c r="B187" s="71" t="s">
        <v>1391</v>
      </c>
      <c r="C187" s="72" t="s">
        <v>1392</v>
      </c>
      <c r="D187" s="73" t="s">
        <v>32</v>
      </c>
      <c r="E187" s="72" t="s">
        <v>33</v>
      </c>
      <c r="F187" s="84">
        <v>145.41999999999999</v>
      </c>
      <c r="G187" s="73" t="s">
        <v>826</v>
      </c>
      <c r="H187" s="75"/>
      <c r="I187" s="75"/>
      <c r="J187" s="75"/>
      <c r="K187" s="75"/>
      <c r="L187" s="75"/>
      <c r="M187" s="75"/>
      <c r="N187" s="75"/>
      <c r="O187" s="75">
        <f>SUM(TABELA24[[#This Row],[T1]:[T7]])</f>
        <v>0</v>
      </c>
      <c r="P187" s="76">
        <f>TABELA24[[#This Row],[QTDE]]*TABELA24[[#This Row],[PREÇO]]</f>
        <v>0</v>
      </c>
    </row>
    <row r="188" spans="1:16" x14ac:dyDescent="0.2">
      <c r="A188" s="70" t="s">
        <v>1393</v>
      </c>
      <c r="B188" s="71" t="s">
        <v>1391</v>
      </c>
      <c r="C188" s="72" t="s">
        <v>1392</v>
      </c>
      <c r="D188" s="73" t="s">
        <v>888</v>
      </c>
      <c r="E188" s="72" t="s">
        <v>890</v>
      </c>
      <c r="F188" s="84">
        <v>145.41999999999999</v>
      </c>
      <c r="G188" s="73" t="s">
        <v>826</v>
      </c>
      <c r="H188" s="75"/>
      <c r="I188" s="75"/>
      <c r="J188" s="75"/>
      <c r="K188" s="75"/>
      <c r="L188" s="75"/>
      <c r="M188" s="75"/>
      <c r="N188" s="75"/>
      <c r="O188" s="75">
        <f>SUM(TABELA24[[#This Row],[T1]:[T7]])</f>
        <v>0</v>
      </c>
      <c r="P188" s="76">
        <f>TABELA24[[#This Row],[QTDE]]*TABELA24[[#This Row],[PREÇO]]</f>
        <v>0</v>
      </c>
    </row>
    <row r="189" spans="1:16" x14ac:dyDescent="0.2">
      <c r="A189" s="70" t="s">
        <v>1394</v>
      </c>
      <c r="B189" s="71" t="s">
        <v>1391</v>
      </c>
      <c r="C189" s="72" t="s">
        <v>1392</v>
      </c>
      <c r="D189" s="73" t="s">
        <v>1317</v>
      </c>
      <c r="E189" s="72" t="s">
        <v>1571</v>
      </c>
      <c r="F189" s="84">
        <v>145.41999999999999</v>
      </c>
      <c r="G189" s="73" t="s">
        <v>826</v>
      </c>
      <c r="H189" s="75"/>
      <c r="I189" s="75"/>
      <c r="J189" s="75"/>
      <c r="K189" s="75"/>
      <c r="L189" s="75"/>
      <c r="M189" s="75"/>
      <c r="N189" s="75"/>
      <c r="O189" s="75">
        <f>SUM(TABELA24[[#This Row],[T1]:[T7]])</f>
        <v>0</v>
      </c>
      <c r="P189" s="76">
        <f>TABELA24[[#This Row],[QTDE]]*TABELA24[[#This Row],[PREÇO]]</f>
        <v>0</v>
      </c>
    </row>
    <row r="190" spans="1:16" x14ac:dyDescent="0.2">
      <c r="A190" s="70" t="s">
        <v>1397</v>
      </c>
      <c r="B190" s="71" t="s">
        <v>1395</v>
      </c>
      <c r="C190" s="72" t="s">
        <v>1396</v>
      </c>
      <c r="D190" s="73" t="s">
        <v>1384</v>
      </c>
      <c r="E190" s="72" t="s">
        <v>1386</v>
      </c>
      <c r="F190" s="84">
        <v>145.41999999999999</v>
      </c>
      <c r="G190" s="73" t="s">
        <v>828</v>
      </c>
      <c r="H190" s="75"/>
      <c r="I190" s="75"/>
      <c r="J190" s="75"/>
      <c r="K190" s="75"/>
      <c r="L190" s="75"/>
      <c r="M190" s="75"/>
      <c r="N190" s="75"/>
      <c r="O190" s="75">
        <f>SUM(TABELA24[[#This Row],[T1]:[T7]])</f>
        <v>0</v>
      </c>
      <c r="P190" s="76">
        <f>TABELA24[[#This Row],[QTDE]]*TABELA24[[#This Row],[PREÇO]]</f>
        <v>0</v>
      </c>
    </row>
    <row r="191" spans="1:16" x14ac:dyDescent="0.2">
      <c r="A191" s="70" t="s">
        <v>1398</v>
      </c>
      <c r="B191" s="71" t="s">
        <v>1399</v>
      </c>
      <c r="C191" s="72" t="s">
        <v>1400</v>
      </c>
      <c r="D191" s="73" t="s">
        <v>1371</v>
      </c>
      <c r="E191" s="72" t="s">
        <v>1373</v>
      </c>
      <c r="F191" s="84">
        <v>245.42</v>
      </c>
      <c r="G191" s="73" t="s">
        <v>826</v>
      </c>
      <c r="H191" s="75"/>
      <c r="I191" s="75"/>
      <c r="J191" s="75"/>
      <c r="K191" s="75"/>
      <c r="L191" s="75"/>
      <c r="M191" s="75"/>
      <c r="N191" s="75"/>
      <c r="O191" s="75">
        <f>SUM(TABELA24[[#This Row],[T1]:[T7]])</f>
        <v>0</v>
      </c>
      <c r="P191" s="76">
        <f>TABELA24[[#This Row],[QTDE]]*TABELA24[[#This Row],[PREÇO]]</f>
        <v>0</v>
      </c>
    </row>
    <row r="192" spans="1:16" x14ac:dyDescent="0.2">
      <c r="A192" s="70" t="s">
        <v>1403</v>
      </c>
      <c r="B192" s="71" t="s">
        <v>1401</v>
      </c>
      <c r="C192" s="72" t="s">
        <v>1402</v>
      </c>
      <c r="D192" s="73" t="s">
        <v>32</v>
      </c>
      <c r="E192" s="72" t="s">
        <v>33</v>
      </c>
      <c r="F192" s="84">
        <v>228.75</v>
      </c>
      <c r="G192" s="73" t="s">
        <v>829</v>
      </c>
      <c r="H192" s="75"/>
      <c r="I192" s="75"/>
      <c r="J192" s="75"/>
      <c r="K192" s="75"/>
      <c r="L192" s="75"/>
      <c r="M192" s="75"/>
      <c r="N192" s="75"/>
      <c r="O192" s="75">
        <f>SUM(TABELA24[[#This Row],[T1]:[T7]])</f>
        <v>0</v>
      </c>
      <c r="P192" s="76">
        <f>TABELA24[[#This Row],[QTDE]]*TABELA24[[#This Row],[PREÇO]]</f>
        <v>0</v>
      </c>
    </row>
    <row r="193" spans="1:16" x14ac:dyDescent="0.2">
      <c r="A193" s="70" t="s">
        <v>1406</v>
      </c>
      <c r="B193" s="71" t="s">
        <v>1404</v>
      </c>
      <c r="C193" s="72" t="s">
        <v>1405</v>
      </c>
      <c r="D193" s="73" t="s">
        <v>32</v>
      </c>
      <c r="E193" s="72" t="s">
        <v>33</v>
      </c>
      <c r="F193" s="84">
        <v>332.92</v>
      </c>
      <c r="G193" s="73" t="s">
        <v>829</v>
      </c>
      <c r="H193" s="75"/>
      <c r="I193" s="75"/>
      <c r="J193" s="75"/>
      <c r="K193" s="75"/>
      <c r="L193" s="75"/>
      <c r="M193" s="75"/>
      <c r="N193" s="75"/>
      <c r="O193" s="75">
        <f>SUM(TABELA24[[#This Row],[T1]:[T7]])</f>
        <v>0</v>
      </c>
      <c r="P193" s="76">
        <f>TABELA24[[#This Row],[QTDE]]*TABELA24[[#This Row],[PREÇO]]</f>
        <v>0</v>
      </c>
    </row>
    <row r="194" spans="1:16" x14ac:dyDescent="0.2">
      <c r="A194" s="70" t="s">
        <v>1409</v>
      </c>
      <c r="B194" s="71" t="s">
        <v>1407</v>
      </c>
      <c r="C194" s="72" t="s">
        <v>1408</v>
      </c>
      <c r="D194" s="73" t="s">
        <v>821</v>
      </c>
      <c r="E194" s="72" t="s">
        <v>822</v>
      </c>
      <c r="F194" s="84">
        <v>207.92</v>
      </c>
      <c r="G194" s="73" t="s">
        <v>829</v>
      </c>
      <c r="H194" s="75"/>
      <c r="I194" s="75"/>
      <c r="J194" s="75"/>
      <c r="K194" s="75"/>
      <c r="L194" s="75"/>
      <c r="M194" s="75"/>
      <c r="N194" s="75"/>
      <c r="O194" s="75">
        <f>SUM(TABELA24[[#This Row],[T1]:[T7]])</f>
        <v>0</v>
      </c>
      <c r="P194" s="76">
        <f>TABELA24[[#This Row],[QTDE]]*TABELA24[[#This Row],[PREÇO]]</f>
        <v>0</v>
      </c>
    </row>
    <row r="195" spans="1:16" x14ac:dyDescent="0.2">
      <c r="A195" s="70" t="s">
        <v>1412</v>
      </c>
      <c r="B195" s="71" t="s">
        <v>1410</v>
      </c>
      <c r="C195" s="72" t="s">
        <v>1411</v>
      </c>
      <c r="D195" s="73" t="s">
        <v>32</v>
      </c>
      <c r="E195" s="72" t="s">
        <v>33</v>
      </c>
      <c r="F195" s="84">
        <v>232.92</v>
      </c>
      <c r="G195" s="73" t="s">
        <v>829</v>
      </c>
      <c r="H195" s="75"/>
      <c r="I195" s="75"/>
      <c r="J195" s="75"/>
      <c r="K195" s="75"/>
      <c r="L195" s="75"/>
      <c r="M195" s="75"/>
      <c r="N195" s="75"/>
      <c r="O195" s="75">
        <f>SUM(TABELA24[[#This Row],[T1]:[T7]])</f>
        <v>0</v>
      </c>
      <c r="P195" s="76">
        <f>TABELA24[[#This Row],[QTDE]]*TABELA24[[#This Row],[PREÇO]]</f>
        <v>0</v>
      </c>
    </row>
    <row r="196" spans="1:16" x14ac:dyDescent="0.2">
      <c r="A196" s="70" t="s">
        <v>1415</v>
      </c>
      <c r="B196" s="71" t="s">
        <v>1413</v>
      </c>
      <c r="C196" s="72" t="s">
        <v>1414</v>
      </c>
      <c r="D196" s="73" t="s">
        <v>821</v>
      </c>
      <c r="E196" s="72" t="s">
        <v>822</v>
      </c>
      <c r="F196" s="84">
        <v>103.75</v>
      </c>
      <c r="G196" s="73" t="s">
        <v>2319</v>
      </c>
      <c r="H196" s="75"/>
      <c r="I196" s="75"/>
      <c r="J196" s="75"/>
      <c r="K196" s="75"/>
      <c r="L196" s="75"/>
      <c r="M196" s="75"/>
      <c r="N196" s="75"/>
      <c r="O196" s="75">
        <f>SUM(TABELA24[[#This Row],[T1]:[T7]])</f>
        <v>0</v>
      </c>
      <c r="P196" s="76">
        <f>TABELA24[[#This Row],[QTDE]]*TABELA24[[#This Row],[PREÇO]]</f>
        <v>0</v>
      </c>
    </row>
    <row r="197" spans="1:16" x14ac:dyDescent="0.2">
      <c r="A197" s="70" t="s">
        <v>1420</v>
      </c>
      <c r="B197" s="71" t="s">
        <v>1416</v>
      </c>
      <c r="C197" s="72" t="s">
        <v>1418</v>
      </c>
      <c r="D197" s="73" t="s">
        <v>1417</v>
      </c>
      <c r="E197" s="72" t="s">
        <v>1419</v>
      </c>
      <c r="F197" s="84">
        <v>137.08000000000001</v>
      </c>
      <c r="G197" s="73" t="s">
        <v>829</v>
      </c>
      <c r="H197" s="75"/>
      <c r="I197" s="75"/>
      <c r="J197" s="75"/>
      <c r="K197" s="75"/>
      <c r="L197" s="75"/>
      <c r="M197" s="75"/>
      <c r="N197" s="75"/>
      <c r="O197" s="75">
        <f>SUM(TABELA24[[#This Row],[T1]:[T7]])</f>
        <v>0</v>
      </c>
      <c r="P197" s="76">
        <f>TABELA24[[#This Row],[QTDE]]*TABELA24[[#This Row],[PREÇO]]</f>
        <v>0</v>
      </c>
    </row>
    <row r="198" spans="1:16" x14ac:dyDescent="0.2">
      <c r="A198" s="70" t="s">
        <v>1422</v>
      </c>
      <c r="B198" s="71" t="s">
        <v>1421</v>
      </c>
      <c r="C198" s="72" t="s">
        <v>2311</v>
      </c>
      <c r="D198" s="73" t="s">
        <v>32</v>
      </c>
      <c r="E198" s="72" t="s">
        <v>33</v>
      </c>
      <c r="F198" s="84">
        <v>166.25</v>
      </c>
      <c r="G198" s="73" t="s">
        <v>829</v>
      </c>
      <c r="H198" s="75"/>
      <c r="I198" s="75"/>
      <c r="J198" s="75"/>
      <c r="K198" s="75"/>
      <c r="L198" s="75"/>
      <c r="M198" s="75"/>
      <c r="N198" s="75"/>
      <c r="O198" s="75">
        <f>SUM(TABELA24[[#This Row],[T1]:[T7]])</f>
        <v>0</v>
      </c>
      <c r="P198" s="76">
        <f>TABELA24[[#This Row],[QTDE]]*TABELA24[[#This Row],[PREÇO]]</f>
        <v>0</v>
      </c>
    </row>
    <row r="199" spans="1:16" x14ac:dyDescent="0.2">
      <c r="A199" s="70" t="s">
        <v>1425</v>
      </c>
      <c r="B199" s="71" t="s">
        <v>1423</v>
      </c>
      <c r="C199" s="72" t="s">
        <v>1424</v>
      </c>
      <c r="D199" s="73" t="s">
        <v>32</v>
      </c>
      <c r="E199" s="72" t="s">
        <v>33</v>
      </c>
      <c r="F199" s="84">
        <v>291.25</v>
      </c>
      <c r="G199" s="73" t="s">
        <v>829</v>
      </c>
      <c r="H199" s="75"/>
      <c r="I199" s="75"/>
      <c r="J199" s="75"/>
      <c r="K199" s="75"/>
      <c r="L199" s="75"/>
      <c r="M199" s="75"/>
      <c r="N199" s="75"/>
      <c r="O199" s="75">
        <f>SUM(TABELA24[[#This Row],[T1]:[T7]])</f>
        <v>0</v>
      </c>
      <c r="P199" s="76">
        <f>TABELA24[[#This Row],[QTDE]]*TABELA24[[#This Row],[PREÇO]]</f>
        <v>0</v>
      </c>
    </row>
    <row r="200" spans="1:16" x14ac:dyDescent="0.2">
      <c r="A200" s="70" t="s">
        <v>1426</v>
      </c>
      <c r="B200" s="71" t="s">
        <v>1423</v>
      </c>
      <c r="C200" s="72" t="s">
        <v>1424</v>
      </c>
      <c r="D200" s="73" t="s">
        <v>1317</v>
      </c>
      <c r="E200" s="72" t="s">
        <v>1319</v>
      </c>
      <c r="F200" s="84">
        <v>291.25</v>
      </c>
      <c r="G200" s="73" t="s">
        <v>829</v>
      </c>
      <c r="H200" s="75"/>
      <c r="I200" s="75"/>
      <c r="J200" s="75"/>
      <c r="K200" s="75"/>
      <c r="L200" s="75"/>
      <c r="M200" s="75"/>
      <c r="N200" s="75"/>
      <c r="O200" s="75">
        <f>SUM(TABELA24[[#This Row],[T1]:[T7]])</f>
        <v>0</v>
      </c>
      <c r="P200" s="76">
        <f>TABELA24[[#This Row],[QTDE]]*TABELA24[[#This Row],[PREÇO]]</f>
        <v>0</v>
      </c>
    </row>
    <row r="201" spans="1:16" x14ac:dyDescent="0.2">
      <c r="A201" s="70" t="s">
        <v>1429</v>
      </c>
      <c r="B201" s="71" t="s">
        <v>1427</v>
      </c>
      <c r="C201" s="72" t="s">
        <v>1428</v>
      </c>
      <c r="D201" s="73" t="s">
        <v>1263</v>
      </c>
      <c r="E201" s="72" t="s">
        <v>1265</v>
      </c>
      <c r="F201" s="84">
        <v>207.92</v>
      </c>
      <c r="G201" s="73" t="s">
        <v>829</v>
      </c>
      <c r="H201" s="75"/>
      <c r="I201" s="75"/>
      <c r="J201" s="75"/>
      <c r="K201" s="75"/>
      <c r="L201" s="75"/>
      <c r="M201" s="75"/>
      <c r="N201" s="75"/>
      <c r="O201" s="75">
        <f>SUM(TABELA24[[#This Row],[T1]:[T7]])</f>
        <v>0</v>
      </c>
      <c r="P201" s="76">
        <f>TABELA24[[#This Row],[QTDE]]*TABELA24[[#This Row],[PREÇO]]</f>
        <v>0</v>
      </c>
    </row>
    <row r="202" spans="1:16" x14ac:dyDescent="0.2">
      <c r="A202" s="70" t="s">
        <v>1432</v>
      </c>
      <c r="B202" s="71" t="s">
        <v>1430</v>
      </c>
      <c r="C202" s="72" t="s">
        <v>1431</v>
      </c>
      <c r="D202" s="73" t="s">
        <v>1371</v>
      </c>
      <c r="E202" s="72" t="s">
        <v>1373</v>
      </c>
      <c r="F202" s="84">
        <v>166.25</v>
      </c>
      <c r="G202" s="73" t="s">
        <v>829</v>
      </c>
      <c r="H202" s="75"/>
      <c r="I202" s="75"/>
      <c r="J202" s="75"/>
      <c r="K202" s="75"/>
      <c r="L202" s="75"/>
      <c r="M202" s="75"/>
      <c r="N202" s="75"/>
      <c r="O202" s="75">
        <f>SUM(TABELA24[[#This Row],[T1]:[T7]])</f>
        <v>0</v>
      </c>
      <c r="P202" s="76">
        <f>TABELA24[[#This Row],[QTDE]]*TABELA24[[#This Row],[PREÇO]]</f>
        <v>0</v>
      </c>
    </row>
    <row r="203" spans="1:16" x14ac:dyDescent="0.2">
      <c r="A203" s="70" t="s">
        <v>1437</v>
      </c>
      <c r="B203" s="71" t="s">
        <v>1435</v>
      </c>
      <c r="C203" s="72" t="s">
        <v>1436</v>
      </c>
      <c r="D203" s="73" t="s">
        <v>823</v>
      </c>
      <c r="E203" s="72" t="s">
        <v>820</v>
      </c>
      <c r="F203" s="84">
        <v>199.58</v>
      </c>
      <c r="G203" s="73" t="s">
        <v>828</v>
      </c>
      <c r="H203" s="75"/>
      <c r="I203" s="75"/>
      <c r="J203" s="75"/>
      <c r="K203" s="75"/>
      <c r="L203" s="75"/>
      <c r="M203" s="75"/>
      <c r="N203" s="75"/>
      <c r="O203" s="75">
        <f>SUM(TABELA24[[#This Row],[T1]:[T7]])</f>
        <v>0</v>
      </c>
      <c r="P203" s="76">
        <f>TABELA24[[#This Row],[QTDE]]*TABELA24[[#This Row],[PREÇO]]</f>
        <v>0</v>
      </c>
    </row>
    <row r="204" spans="1:16" x14ac:dyDescent="0.2">
      <c r="A204" s="70" t="s">
        <v>1440</v>
      </c>
      <c r="B204" s="71" t="s">
        <v>1438</v>
      </c>
      <c r="C204" s="72" t="s">
        <v>1439</v>
      </c>
      <c r="D204" s="73" t="s">
        <v>823</v>
      </c>
      <c r="E204" s="72" t="s">
        <v>820</v>
      </c>
      <c r="F204" s="84">
        <v>191.25</v>
      </c>
      <c r="G204" s="73" t="s">
        <v>828</v>
      </c>
      <c r="H204" s="75"/>
      <c r="I204" s="75"/>
      <c r="J204" s="75"/>
      <c r="K204" s="75"/>
      <c r="L204" s="75"/>
      <c r="M204" s="75"/>
      <c r="N204" s="75"/>
      <c r="O204" s="75">
        <f>SUM(TABELA24[[#This Row],[T1]:[T7]])</f>
        <v>0</v>
      </c>
      <c r="P204" s="76">
        <f>TABELA24[[#This Row],[QTDE]]*TABELA24[[#This Row],[PREÇO]]</f>
        <v>0</v>
      </c>
    </row>
    <row r="205" spans="1:16" x14ac:dyDescent="0.2">
      <c r="A205" s="70" t="s">
        <v>1441</v>
      </c>
      <c r="B205" s="71" t="s">
        <v>1442</v>
      </c>
      <c r="C205" s="72" t="s">
        <v>1443</v>
      </c>
      <c r="D205" s="73" t="s">
        <v>823</v>
      </c>
      <c r="E205" s="72" t="s">
        <v>820</v>
      </c>
      <c r="F205" s="84">
        <v>245.42</v>
      </c>
      <c r="G205" s="73" t="s">
        <v>826</v>
      </c>
      <c r="H205" s="75"/>
      <c r="I205" s="75"/>
      <c r="J205" s="75"/>
      <c r="K205" s="75"/>
      <c r="L205" s="75"/>
      <c r="M205" s="75"/>
      <c r="N205" s="75"/>
      <c r="O205" s="75">
        <f>SUM(TABELA24[[#This Row],[T1]:[T7]])</f>
        <v>0</v>
      </c>
      <c r="P205" s="76">
        <f>TABELA24[[#This Row],[QTDE]]*TABELA24[[#This Row],[PREÇO]]</f>
        <v>0</v>
      </c>
    </row>
    <row r="206" spans="1:16" x14ac:dyDescent="0.2">
      <c r="A206" s="70" t="s">
        <v>1446</v>
      </c>
      <c r="B206" s="71" t="s">
        <v>1444</v>
      </c>
      <c r="C206" s="72" t="s">
        <v>1445</v>
      </c>
      <c r="D206" s="73" t="s">
        <v>1317</v>
      </c>
      <c r="E206" s="72" t="s">
        <v>1319</v>
      </c>
      <c r="F206" s="84">
        <v>332.92</v>
      </c>
      <c r="G206" s="73" t="s">
        <v>828</v>
      </c>
      <c r="H206" s="75"/>
      <c r="I206" s="75"/>
      <c r="J206" s="75"/>
      <c r="K206" s="75"/>
      <c r="L206" s="75"/>
      <c r="M206" s="75"/>
      <c r="N206" s="75"/>
      <c r="O206" s="75">
        <f>SUM(TABELA24[[#This Row],[T1]:[T7]])</f>
        <v>0</v>
      </c>
      <c r="P206" s="76">
        <f>TABELA24[[#This Row],[QTDE]]*TABELA24[[#This Row],[PREÇO]]</f>
        <v>0</v>
      </c>
    </row>
    <row r="207" spans="1:16" x14ac:dyDescent="0.2">
      <c r="A207" s="70" t="s">
        <v>1451</v>
      </c>
      <c r="B207" s="71" t="s">
        <v>1447</v>
      </c>
      <c r="C207" s="72" t="s">
        <v>1449</v>
      </c>
      <c r="D207" s="73" t="s">
        <v>1448</v>
      </c>
      <c r="E207" s="72" t="s">
        <v>1450</v>
      </c>
      <c r="F207" s="84">
        <v>291.25</v>
      </c>
      <c r="G207" s="73" t="s">
        <v>828</v>
      </c>
      <c r="H207" s="75"/>
      <c r="I207" s="75"/>
      <c r="J207" s="75"/>
      <c r="K207" s="75"/>
      <c r="L207" s="75"/>
      <c r="M207" s="75"/>
      <c r="N207" s="75"/>
      <c r="O207" s="75">
        <f>SUM(TABELA24[[#This Row],[T1]:[T7]])</f>
        <v>0</v>
      </c>
      <c r="P207" s="76">
        <f>TABELA24[[#This Row],[QTDE]]*TABELA24[[#This Row],[PREÇO]]</f>
        <v>0</v>
      </c>
    </row>
    <row r="208" spans="1:16" x14ac:dyDescent="0.2">
      <c r="A208" s="70" t="s">
        <v>1453</v>
      </c>
      <c r="B208" s="71" t="s">
        <v>1452</v>
      </c>
      <c r="C208" s="72" t="s">
        <v>2312</v>
      </c>
      <c r="D208" s="73" t="s">
        <v>924</v>
      </c>
      <c r="E208" s="72" t="s">
        <v>926</v>
      </c>
      <c r="F208" s="84">
        <v>407.92</v>
      </c>
      <c r="G208" s="73" t="s">
        <v>2319</v>
      </c>
      <c r="H208" s="75"/>
      <c r="I208" s="75"/>
      <c r="J208" s="75"/>
      <c r="K208" s="75"/>
      <c r="L208" s="75"/>
      <c r="M208" s="75"/>
      <c r="N208" s="75"/>
      <c r="O208" s="75">
        <f>SUM(TABELA24[[#This Row],[T1]:[T7]])</f>
        <v>0</v>
      </c>
      <c r="P208" s="76">
        <f>TABELA24[[#This Row],[QTDE]]*TABELA24[[#This Row],[PREÇO]]</f>
        <v>0</v>
      </c>
    </row>
    <row r="209" spans="1:16" x14ac:dyDescent="0.2">
      <c r="A209" s="70" t="s">
        <v>1457</v>
      </c>
      <c r="B209" s="71" t="s">
        <v>1454</v>
      </c>
      <c r="C209" s="72" t="s">
        <v>1455</v>
      </c>
      <c r="D209" s="73" t="s">
        <v>1456</v>
      </c>
      <c r="E209" s="72" t="s">
        <v>820</v>
      </c>
      <c r="F209" s="84">
        <v>166.25</v>
      </c>
      <c r="G209" s="73" t="s">
        <v>828</v>
      </c>
      <c r="H209" s="75"/>
      <c r="I209" s="75"/>
      <c r="J209" s="75"/>
      <c r="K209" s="75"/>
      <c r="L209" s="75"/>
      <c r="M209" s="75"/>
      <c r="N209" s="75"/>
      <c r="O209" s="75">
        <f>SUM(TABELA24[[#This Row],[T1]:[T7]])</f>
        <v>0</v>
      </c>
      <c r="P209" s="76">
        <f>TABELA24[[#This Row],[QTDE]]*TABELA24[[#This Row],[PREÇO]]</f>
        <v>0</v>
      </c>
    </row>
    <row r="210" spans="1:16" x14ac:dyDescent="0.2">
      <c r="A210" s="70" t="s">
        <v>1458</v>
      </c>
      <c r="B210" s="71" t="s">
        <v>1459</v>
      </c>
      <c r="C210" s="72" t="s">
        <v>1460</v>
      </c>
      <c r="D210" s="73" t="s">
        <v>1317</v>
      </c>
      <c r="E210" s="72" t="s">
        <v>1319</v>
      </c>
      <c r="F210" s="84">
        <v>262.08</v>
      </c>
      <c r="G210" s="73" t="s">
        <v>826</v>
      </c>
      <c r="H210" s="75"/>
      <c r="I210" s="75"/>
      <c r="J210" s="75"/>
      <c r="K210" s="75"/>
      <c r="L210" s="75"/>
      <c r="M210" s="75"/>
      <c r="N210" s="75"/>
      <c r="O210" s="75">
        <f>SUM(TABELA24[[#This Row],[T1]:[T7]])</f>
        <v>0</v>
      </c>
      <c r="P210" s="76">
        <f>TABELA24[[#This Row],[QTDE]]*TABELA24[[#This Row],[PREÇO]]</f>
        <v>0</v>
      </c>
    </row>
    <row r="211" spans="1:16" x14ac:dyDescent="0.2">
      <c r="A211" s="70" t="s">
        <v>1463</v>
      </c>
      <c r="B211" s="71" t="s">
        <v>1461</v>
      </c>
      <c r="C211" s="72" t="s">
        <v>1462</v>
      </c>
      <c r="D211" s="73" t="s">
        <v>1456</v>
      </c>
      <c r="E211" s="72" t="s">
        <v>820</v>
      </c>
      <c r="F211" s="84">
        <v>282.92</v>
      </c>
      <c r="G211" s="73" t="s">
        <v>826</v>
      </c>
      <c r="H211" s="75"/>
      <c r="I211" s="75"/>
      <c r="J211" s="75"/>
      <c r="K211" s="75"/>
      <c r="L211" s="75"/>
      <c r="M211" s="75"/>
      <c r="N211" s="75"/>
      <c r="O211" s="75">
        <f>SUM(TABELA24[[#This Row],[T1]:[T7]])</f>
        <v>0</v>
      </c>
      <c r="P211" s="76">
        <f>TABELA24[[#This Row],[QTDE]]*TABELA24[[#This Row],[PREÇO]]</f>
        <v>0</v>
      </c>
    </row>
    <row r="212" spans="1:16" x14ac:dyDescent="0.2">
      <c r="A212" s="70" t="s">
        <v>1470</v>
      </c>
      <c r="B212" s="71" t="s">
        <v>1467</v>
      </c>
      <c r="C212" s="72" t="s">
        <v>1468</v>
      </c>
      <c r="D212" s="73" t="s">
        <v>1184</v>
      </c>
      <c r="E212" s="72" t="s">
        <v>1469</v>
      </c>
      <c r="F212" s="84">
        <v>374.58</v>
      </c>
      <c r="G212" s="73" t="s">
        <v>829</v>
      </c>
      <c r="H212" s="75"/>
      <c r="I212" s="75"/>
      <c r="J212" s="75"/>
      <c r="K212" s="75"/>
      <c r="L212" s="75"/>
      <c r="M212" s="75"/>
      <c r="N212" s="75"/>
      <c r="O212" s="75">
        <f>SUM(TABELA24[[#This Row],[T1]:[T7]])</f>
        <v>0</v>
      </c>
      <c r="P212" s="76">
        <f>TABELA24[[#This Row],[QTDE]]*TABELA24[[#This Row],[PREÇO]]</f>
        <v>0</v>
      </c>
    </row>
    <row r="213" spans="1:16" x14ac:dyDescent="0.2">
      <c r="A213" s="70" t="s">
        <v>1473</v>
      </c>
      <c r="B213" s="71" t="s">
        <v>1471</v>
      </c>
      <c r="C213" s="72" t="s">
        <v>1472</v>
      </c>
      <c r="D213" s="73" t="s">
        <v>1371</v>
      </c>
      <c r="E213" s="72" t="s">
        <v>1373</v>
      </c>
      <c r="F213" s="84">
        <v>374.58</v>
      </c>
      <c r="G213" s="73" t="s">
        <v>826</v>
      </c>
      <c r="H213" s="75"/>
      <c r="I213" s="75"/>
      <c r="J213" s="75"/>
      <c r="K213" s="75"/>
      <c r="L213" s="75"/>
      <c r="M213" s="75"/>
      <c r="N213" s="75"/>
      <c r="O213" s="75">
        <f>SUM(TABELA24[[#This Row],[T1]:[T7]])</f>
        <v>0</v>
      </c>
      <c r="P213" s="76">
        <f>TABELA24[[#This Row],[QTDE]]*TABELA24[[#This Row],[PREÇO]]</f>
        <v>0</v>
      </c>
    </row>
    <row r="214" spans="1:16" x14ac:dyDescent="0.2">
      <c r="A214" s="70" t="s">
        <v>1478</v>
      </c>
      <c r="B214" s="71" t="s">
        <v>1476</v>
      </c>
      <c r="C214" s="72" t="s">
        <v>1477</v>
      </c>
      <c r="D214" s="73" t="s">
        <v>1433</v>
      </c>
      <c r="E214" s="72" t="s">
        <v>1434</v>
      </c>
      <c r="F214" s="84">
        <v>374.58</v>
      </c>
      <c r="G214" s="73" t="s">
        <v>829</v>
      </c>
      <c r="H214" s="75"/>
      <c r="I214" s="75"/>
      <c r="J214" s="75"/>
      <c r="K214" s="75"/>
      <c r="L214" s="75"/>
      <c r="M214" s="75"/>
      <c r="N214" s="75"/>
      <c r="O214" s="75">
        <f>SUM(TABELA24[[#This Row],[T1]:[T7]])</f>
        <v>0</v>
      </c>
      <c r="P214" s="76">
        <f>TABELA24[[#This Row],[QTDE]]*TABELA24[[#This Row],[PREÇO]]</f>
        <v>0</v>
      </c>
    </row>
    <row r="215" spans="1:16" x14ac:dyDescent="0.2">
      <c r="A215" s="70" t="s">
        <v>1483</v>
      </c>
      <c r="B215" s="71" t="s">
        <v>1479</v>
      </c>
      <c r="C215" s="72" t="s">
        <v>1481</v>
      </c>
      <c r="D215" s="73" t="s">
        <v>1480</v>
      </c>
      <c r="E215" s="72" t="s">
        <v>1482</v>
      </c>
      <c r="F215" s="84">
        <v>457.92</v>
      </c>
      <c r="G215" s="73" t="s">
        <v>829</v>
      </c>
      <c r="H215" s="75"/>
      <c r="I215" s="75"/>
      <c r="J215" s="75"/>
      <c r="K215" s="75"/>
      <c r="L215" s="75"/>
      <c r="M215" s="75"/>
      <c r="N215" s="75"/>
      <c r="O215" s="75">
        <f>SUM(TABELA24[[#This Row],[T1]:[T7]])</f>
        <v>0</v>
      </c>
      <c r="P215" s="76">
        <f>TABELA24[[#This Row],[QTDE]]*TABELA24[[#This Row],[PREÇO]]</f>
        <v>0</v>
      </c>
    </row>
    <row r="216" spans="1:16" x14ac:dyDescent="0.2">
      <c r="A216" s="70" t="s">
        <v>1486</v>
      </c>
      <c r="B216" s="71" t="s">
        <v>1484</v>
      </c>
      <c r="C216" s="72" t="s">
        <v>1485</v>
      </c>
      <c r="D216" s="73" t="s">
        <v>1317</v>
      </c>
      <c r="E216" s="72" t="s">
        <v>1319</v>
      </c>
      <c r="F216" s="84">
        <v>124.58</v>
      </c>
      <c r="G216" s="73" t="s">
        <v>829</v>
      </c>
      <c r="H216" s="75"/>
      <c r="I216" s="75"/>
      <c r="J216" s="75"/>
      <c r="K216" s="75"/>
      <c r="L216" s="75"/>
      <c r="M216" s="75"/>
      <c r="N216" s="75"/>
      <c r="O216" s="75">
        <f>SUM(TABELA24[[#This Row],[T1]:[T7]])</f>
        <v>0</v>
      </c>
      <c r="P216" s="76">
        <f>TABELA24[[#This Row],[QTDE]]*TABELA24[[#This Row],[PREÇO]]</f>
        <v>0</v>
      </c>
    </row>
    <row r="217" spans="1:16" x14ac:dyDescent="0.2">
      <c r="A217" s="70" t="s">
        <v>1491</v>
      </c>
      <c r="B217" s="71" t="s">
        <v>1487</v>
      </c>
      <c r="C217" s="72" t="s">
        <v>1489</v>
      </c>
      <c r="D217" s="73" t="s">
        <v>1488</v>
      </c>
      <c r="E217" s="72" t="s">
        <v>1490</v>
      </c>
      <c r="F217" s="84">
        <v>116.25</v>
      </c>
      <c r="G217" s="73" t="s">
        <v>829</v>
      </c>
      <c r="H217" s="75"/>
      <c r="I217" s="75"/>
      <c r="J217" s="75"/>
      <c r="K217" s="75"/>
      <c r="L217" s="75"/>
      <c r="M217" s="75"/>
      <c r="N217" s="75"/>
      <c r="O217" s="75">
        <f>SUM(TABELA24[[#This Row],[T1]:[T7]])</f>
        <v>0</v>
      </c>
      <c r="P217" s="76">
        <f>TABELA24[[#This Row],[QTDE]]*TABELA24[[#This Row],[PREÇO]]</f>
        <v>0</v>
      </c>
    </row>
    <row r="218" spans="1:16" x14ac:dyDescent="0.2">
      <c r="A218" s="70" t="s">
        <v>1494</v>
      </c>
      <c r="B218" s="71" t="s">
        <v>1492</v>
      </c>
      <c r="C218" s="72" t="s">
        <v>1493</v>
      </c>
      <c r="D218" s="73" t="s">
        <v>1317</v>
      </c>
      <c r="E218" s="72" t="s">
        <v>1319</v>
      </c>
      <c r="F218" s="84">
        <v>207.92</v>
      </c>
      <c r="G218" s="73" t="s">
        <v>829</v>
      </c>
      <c r="H218" s="75"/>
      <c r="I218" s="75"/>
      <c r="J218" s="75"/>
      <c r="K218" s="75"/>
      <c r="L218" s="75"/>
      <c r="M218" s="75"/>
      <c r="N218" s="75"/>
      <c r="O218" s="75">
        <f>SUM(TABELA24[[#This Row],[T1]:[T7]])</f>
        <v>0</v>
      </c>
      <c r="P218" s="76">
        <f>TABELA24[[#This Row],[QTDE]]*TABELA24[[#This Row],[PREÇO]]</f>
        <v>0</v>
      </c>
    </row>
    <row r="219" spans="1:16" x14ac:dyDescent="0.2">
      <c r="A219" s="70" t="s">
        <v>1497</v>
      </c>
      <c r="B219" s="71" t="s">
        <v>1495</v>
      </c>
      <c r="C219" s="72" t="s">
        <v>1496</v>
      </c>
      <c r="D219" s="73" t="s">
        <v>910</v>
      </c>
      <c r="E219" s="72" t="s">
        <v>912</v>
      </c>
      <c r="F219" s="84">
        <v>145.41999999999999</v>
      </c>
      <c r="G219" s="73" t="s">
        <v>829</v>
      </c>
      <c r="H219" s="75"/>
      <c r="I219" s="75"/>
      <c r="J219" s="75"/>
      <c r="K219" s="75"/>
      <c r="L219" s="75"/>
      <c r="M219" s="75"/>
      <c r="N219" s="75"/>
      <c r="O219" s="75">
        <f>SUM(TABELA24[[#This Row],[T1]:[T7]])</f>
        <v>0</v>
      </c>
      <c r="P219" s="76">
        <f>TABELA24[[#This Row],[QTDE]]*TABELA24[[#This Row],[PREÇO]]</f>
        <v>0</v>
      </c>
    </row>
    <row r="220" spans="1:16" x14ac:dyDescent="0.2">
      <c r="A220" s="70" t="s">
        <v>1500</v>
      </c>
      <c r="B220" s="71" t="s">
        <v>1498</v>
      </c>
      <c r="C220" s="72" t="s">
        <v>1499</v>
      </c>
      <c r="D220" s="73" t="s">
        <v>1474</v>
      </c>
      <c r="E220" s="72" t="s">
        <v>1475</v>
      </c>
      <c r="F220" s="84">
        <v>249.58</v>
      </c>
      <c r="G220" s="73" t="s">
        <v>829</v>
      </c>
      <c r="H220" s="75"/>
      <c r="I220" s="75"/>
      <c r="J220" s="75"/>
      <c r="K220" s="75"/>
      <c r="L220" s="75"/>
      <c r="M220" s="75"/>
      <c r="N220" s="75"/>
      <c r="O220" s="75">
        <f>SUM(TABELA24[[#This Row],[T1]:[T7]])</f>
        <v>0</v>
      </c>
      <c r="P220" s="76">
        <f>TABELA24[[#This Row],[QTDE]]*TABELA24[[#This Row],[PREÇO]]</f>
        <v>0</v>
      </c>
    </row>
    <row r="221" spans="1:16" x14ac:dyDescent="0.2">
      <c r="A221" s="70" t="s">
        <v>1503</v>
      </c>
      <c r="B221" s="71" t="s">
        <v>1501</v>
      </c>
      <c r="C221" s="72" t="s">
        <v>1502</v>
      </c>
      <c r="D221" s="73" t="s">
        <v>1488</v>
      </c>
      <c r="E221" s="72" t="s">
        <v>1490</v>
      </c>
      <c r="F221" s="84">
        <v>228.75</v>
      </c>
      <c r="G221" s="73" t="s">
        <v>2319</v>
      </c>
      <c r="H221" s="75"/>
      <c r="I221" s="75"/>
      <c r="J221" s="75"/>
      <c r="K221" s="75"/>
      <c r="L221" s="75"/>
      <c r="M221" s="75"/>
      <c r="N221" s="75"/>
      <c r="O221" s="75">
        <f>SUM(TABELA24[[#This Row],[T1]:[T7]])</f>
        <v>0</v>
      </c>
      <c r="P221" s="76">
        <f>TABELA24[[#This Row],[QTDE]]*TABELA24[[#This Row],[PREÇO]]</f>
        <v>0</v>
      </c>
    </row>
    <row r="222" spans="1:16" x14ac:dyDescent="0.2">
      <c r="A222" s="70" t="s">
        <v>1506</v>
      </c>
      <c r="B222" s="71" t="s">
        <v>1504</v>
      </c>
      <c r="C222" s="72" t="s">
        <v>1505</v>
      </c>
      <c r="D222" s="73" t="s">
        <v>1474</v>
      </c>
      <c r="E222" s="72" t="s">
        <v>1475</v>
      </c>
      <c r="F222" s="84">
        <v>220.42</v>
      </c>
      <c r="G222" s="73" t="s">
        <v>829</v>
      </c>
      <c r="H222" s="75"/>
      <c r="I222" s="75"/>
      <c r="J222" s="75"/>
      <c r="K222" s="75"/>
      <c r="L222" s="75"/>
      <c r="M222" s="75"/>
      <c r="N222" s="75"/>
      <c r="O222" s="75">
        <f>SUM(TABELA24[[#This Row],[T1]:[T7]])</f>
        <v>0</v>
      </c>
      <c r="P222" s="76">
        <f>TABELA24[[#This Row],[QTDE]]*TABELA24[[#This Row],[PREÇO]]</f>
        <v>0</v>
      </c>
    </row>
    <row r="223" spans="1:16" x14ac:dyDescent="0.2">
      <c r="A223" s="70" t="s">
        <v>1509</v>
      </c>
      <c r="B223" s="71" t="s">
        <v>1507</v>
      </c>
      <c r="C223" s="72" t="s">
        <v>1508</v>
      </c>
      <c r="D223" s="73" t="s">
        <v>1317</v>
      </c>
      <c r="E223" s="72" t="s">
        <v>1319</v>
      </c>
      <c r="F223" s="84">
        <v>332.92</v>
      </c>
      <c r="G223" s="73" t="s">
        <v>829</v>
      </c>
      <c r="H223" s="75"/>
      <c r="I223" s="75"/>
      <c r="J223" s="75"/>
      <c r="K223" s="75"/>
      <c r="L223" s="75"/>
      <c r="M223" s="75"/>
      <c r="N223" s="75"/>
      <c r="O223" s="75">
        <f>SUM(TABELA24[[#This Row],[T1]:[T7]])</f>
        <v>0</v>
      </c>
      <c r="P223" s="76">
        <f>TABELA24[[#This Row],[QTDE]]*TABELA24[[#This Row],[PREÇO]]</f>
        <v>0</v>
      </c>
    </row>
    <row r="224" spans="1:16" x14ac:dyDescent="0.2">
      <c r="A224" s="70" t="s">
        <v>1512</v>
      </c>
      <c r="B224" s="71" t="s">
        <v>1510</v>
      </c>
      <c r="C224" s="72" t="s">
        <v>1511</v>
      </c>
      <c r="D224" s="73" t="s">
        <v>1488</v>
      </c>
      <c r="E224" s="72" t="s">
        <v>1490</v>
      </c>
      <c r="F224" s="84">
        <v>374.58</v>
      </c>
      <c r="G224" s="73" t="s">
        <v>829</v>
      </c>
      <c r="H224" s="75"/>
      <c r="I224" s="75"/>
      <c r="J224" s="75"/>
      <c r="K224" s="75"/>
      <c r="L224" s="75"/>
      <c r="M224" s="75"/>
      <c r="N224" s="75"/>
      <c r="O224" s="75">
        <f>SUM(TABELA24[[#This Row],[T1]:[T7]])</f>
        <v>0</v>
      </c>
      <c r="P224" s="76">
        <f>TABELA24[[#This Row],[QTDE]]*TABELA24[[#This Row],[PREÇO]]</f>
        <v>0</v>
      </c>
    </row>
    <row r="225" spans="1:16" x14ac:dyDescent="0.2">
      <c r="A225" s="70" t="s">
        <v>1517</v>
      </c>
      <c r="B225" s="71" t="s">
        <v>1513</v>
      </c>
      <c r="C225" s="72" t="s">
        <v>1515</v>
      </c>
      <c r="D225" s="73" t="s">
        <v>1514</v>
      </c>
      <c r="E225" s="72" t="s">
        <v>1516</v>
      </c>
      <c r="F225" s="84">
        <v>145.41999999999999</v>
      </c>
      <c r="G225" s="73" t="s">
        <v>828</v>
      </c>
      <c r="H225" s="75"/>
      <c r="I225" s="75"/>
      <c r="J225" s="75"/>
      <c r="K225" s="75"/>
      <c r="L225" s="75"/>
      <c r="M225" s="75"/>
      <c r="N225" s="75"/>
      <c r="O225" s="75">
        <f>SUM(TABELA24[[#This Row],[T1]:[T7]])</f>
        <v>0</v>
      </c>
      <c r="P225" s="76">
        <f>TABELA24[[#This Row],[QTDE]]*TABELA24[[#This Row],[PREÇO]]</f>
        <v>0</v>
      </c>
    </row>
    <row r="226" spans="1:16" x14ac:dyDescent="0.2">
      <c r="A226" s="70" t="s">
        <v>1520</v>
      </c>
      <c r="B226" s="71" t="s">
        <v>1518</v>
      </c>
      <c r="C226" s="72" t="s">
        <v>1519</v>
      </c>
      <c r="D226" s="73" t="s">
        <v>830</v>
      </c>
      <c r="E226" s="72" t="s">
        <v>43</v>
      </c>
      <c r="F226" s="84">
        <v>137.08000000000001</v>
      </c>
      <c r="G226" s="73" t="s">
        <v>828</v>
      </c>
      <c r="H226" s="75"/>
      <c r="I226" s="75"/>
      <c r="J226" s="75"/>
      <c r="K226" s="75"/>
      <c r="L226" s="75"/>
      <c r="M226" s="75"/>
      <c r="N226" s="75"/>
      <c r="O226" s="75">
        <f>SUM(TABELA24[[#This Row],[T1]:[T7]])</f>
        <v>0</v>
      </c>
      <c r="P226" s="76">
        <f>TABELA24[[#This Row],[QTDE]]*TABELA24[[#This Row],[PREÇO]]</f>
        <v>0</v>
      </c>
    </row>
    <row r="227" spans="1:16" x14ac:dyDescent="0.2">
      <c r="A227" s="70" t="s">
        <v>1527</v>
      </c>
      <c r="B227" s="71" t="s">
        <v>1521</v>
      </c>
      <c r="C227" s="72" t="s">
        <v>1523</v>
      </c>
      <c r="D227" s="73" t="s">
        <v>1525</v>
      </c>
      <c r="E227" s="72" t="s">
        <v>1526</v>
      </c>
      <c r="F227" s="84">
        <v>249.58</v>
      </c>
      <c r="G227" s="73" t="s">
        <v>2320</v>
      </c>
      <c r="H227" s="75"/>
      <c r="I227" s="75"/>
      <c r="J227" s="75"/>
      <c r="K227" s="75"/>
      <c r="L227" s="75"/>
      <c r="M227" s="75"/>
      <c r="N227" s="75"/>
      <c r="O227" s="75">
        <f>SUM(TABELA24[[#This Row],[T1]:[T7]])</f>
        <v>0</v>
      </c>
      <c r="P227" s="76">
        <f>TABELA24[[#This Row],[QTDE]]*TABELA24[[#This Row],[PREÇO]]</f>
        <v>0</v>
      </c>
    </row>
    <row r="228" spans="1:16" x14ac:dyDescent="0.2">
      <c r="A228" s="70" t="s">
        <v>1530</v>
      </c>
      <c r="B228" s="71" t="s">
        <v>1528</v>
      </c>
      <c r="C228" s="72" t="s">
        <v>1529</v>
      </c>
      <c r="D228" s="73" t="s">
        <v>1317</v>
      </c>
      <c r="E228" s="72" t="s">
        <v>1319</v>
      </c>
      <c r="F228" s="84">
        <v>395.42</v>
      </c>
      <c r="G228" s="73" t="s">
        <v>829</v>
      </c>
      <c r="H228" s="75"/>
      <c r="I228" s="75"/>
      <c r="J228" s="75"/>
      <c r="K228" s="75"/>
      <c r="L228" s="75"/>
      <c r="M228" s="75"/>
      <c r="N228" s="75"/>
      <c r="O228" s="75">
        <f>SUM(TABELA24[[#This Row],[T1]:[T7]])</f>
        <v>0</v>
      </c>
      <c r="P228" s="76">
        <f>TABELA24[[#This Row],[QTDE]]*TABELA24[[#This Row],[PREÇO]]</f>
        <v>0</v>
      </c>
    </row>
    <row r="229" spans="1:16" x14ac:dyDescent="0.2">
      <c r="A229" s="70" t="s">
        <v>1533</v>
      </c>
      <c r="B229" s="71" t="s">
        <v>1531</v>
      </c>
      <c r="C229" s="72" t="s">
        <v>1532</v>
      </c>
      <c r="D229" s="73" t="s">
        <v>895</v>
      </c>
      <c r="E229" s="72" t="s">
        <v>896</v>
      </c>
      <c r="F229" s="84">
        <v>457.92</v>
      </c>
      <c r="G229" s="73" t="s">
        <v>829</v>
      </c>
      <c r="H229" s="75"/>
      <c r="I229" s="75"/>
      <c r="J229" s="75"/>
      <c r="K229" s="75"/>
      <c r="L229" s="75"/>
      <c r="M229" s="75"/>
      <c r="N229" s="75"/>
      <c r="O229" s="75">
        <f>SUM(TABELA24[[#This Row],[T1]:[T7]])</f>
        <v>0</v>
      </c>
      <c r="P229" s="76">
        <f>TABELA24[[#This Row],[QTDE]]*TABELA24[[#This Row],[PREÇO]]</f>
        <v>0</v>
      </c>
    </row>
    <row r="230" spans="1:16" x14ac:dyDescent="0.2">
      <c r="A230" s="70" t="s">
        <v>1537</v>
      </c>
      <c r="B230" s="71" t="s">
        <v>1534</v>
      </c>
      <c r="C230" s="72" t="s">
        <v>1535</v>
      </c>
      <c r="D230" s="73" t="s">
        <v>1024</v>
      </c>
      <c r="E230" s="72" t="s">
        <v>1536</v>
      </c>
      <c r="F230" s="84">
        <v>407.92</v>
      </c>
      <c r="G230" s="73" t="s">
        <v>2319</v>
      </c>
      <c r="H230" s="75"/>
      <c r="I230" s="75"/>
      <c r="J230" s="75"/>
      <c r="K230" s="75"/>
      <c r="L230" s="75"/>
      <c r="M230" s="75"/>
      <c r="N230" s="75"/>
      <c r="O230" s="75">
        <f>SUM(TABELA24[[#This Row],[T1]:[T7]])</f>
        <v>0</v>
      </c>
      <c r="P230" s="76">
        <f>TABELA24[[#This Row],[QTDE]]*TABELA24[[#This Row],[PREÇO]]</f>
        <v>0</v>
      </c>
    </row>
    <row r="231" spans="1:16" x14ac:dyDescent="0.2">
      <c r="A231" s="70" t="s">
        <v>1540</v>
      </c>
      <c r="B231" s="71" t="s">
        <v>1538</v>
      </c>
      <c r="C231" s="72" t="s">
        <v>1539</v>
      </c>
      <c r="D231" s="73" t="s">
        <v>823</v>
      </c>
      <c r="E231" s="72" t="s">
        <v>820</v>
      </c>
      <c r="F231" s="84">
        <v>153.75</v>
      </c>
      <c r="G231" s="73" t="s">
        <v>828</v>
      </c>
      <c r="H231" s="75"/>
      <c r="I231" s="75"/>
      <c r="J231" s="75"/>
      <c r="K231" s="75"/>
      <c r="L231" s="75"/>
      <c r="M231" s="75"/>
      <c r="N231" s="75"/>
      <c r="O231" s="75">
        <f>SUM(TABELA24[[#This Row],[T1]:[T7]])</f>
        <v>0</v>
      </c>
      <c r="P231" s="76">
        <f>TABELA24[[#This Row],[QTDE]]*TABELA24[[#This Row],[PREÇO]]</f>
        <v>0</v>
      </c>
    </row>
    <row r="232" spans="1:16" x14ac:dyDescent="0.2">
      <c r="A232" s="70" t="s">
        <v>1543</v>
      </c>
      <c r="B232" s="71" t="s">
        <v>1541</v>
      </c>
      <c r="C232" s="72" t="s">
        <v>1542</v>
      </c>
      <c r="D232" s="73" t="s">
        <v>823</v>
      </c>
      <c r="E232" s="72" t="s">
        <v>820</v>
      </c>
      <c r="F232" s="84">
        <v>166.25</v>
      </c>
      <c r="G232" s="73" t="s">
        <v>828</v>
      </c>
      <c r="H232" s="75"/>
      <c r="I232" s="75"/>
      <c r="J232" s="75"/>
      <c r="K232" s="75"/>
      <c r="L232" s="75"/>
      <c r="M232" s="75"/>
      <c r="N232" s="75"/>
      <c r="O232" s="75">
        <f>SUM(TABELA24[[#This Row],[T1]:[T7]])</f>
        <v>0</v>
      </c>
      <c r="P232" s="76">
        <f>TABELA24[[#This Row],[QTDE]]*TABELA24[[#This Row],[PREÇO]]</f>
        <v>0</v>
      </c>
    </row>
    <row r="233" spans="1:16" x14ac:dyDescent="0.2">
      <c r="A233" s="70" t="s">
        <v>1546</v>
      </c>
      <c r="B233" s="71" t="s">
        <v>1544</v>
      </c>
      <c r="C233" s="72" t="s">
        <v>1545</v>
      </c>
      <c r="D233" s="73" t="s">
        <v>823</v>
      </c>
      <c r="E233" s="72" t="s">
        <v>820</v>
      </c>
      <c r="F233" s="84">
        <v>153.75</v>
      </c>
      <c r="G233" s="73" t="s">
        <v>828</v>
      </c>
      <c r="H233" s="75"/>
      <c r="I233" s="75"/>
      <c r="J233" s="75"/>
      <c r="K233" s="75"/>
      <c r="L233" s="75"/>
      <c r="M233" s="75"/>
      <c r="N233" s="75"/>
      <c r="O233" s="75">
        <f>SUM(TABELA24[[#This Row],[T1]:[T7]])</f>
        <v>0</v>
      </c>
      <c r="P233" s="76">
        <f>TABELA24[[#This Row],[QTDE]]*TABELA24[[#This Row],[PREÇO]]</f>
        <v>0</v>
      </c>
    </row>
    <row r="234" spans="1:16" x14ac:dyDescent="0.2">
      <c r="A234" s="70" t="s">
        <v>1549</v>
      </c>
      <c r="B234" s="71" t="s">
        <v>1547</v>
      </c>
      <c r="C234" s="72" t="s">
        <v>1548</v>
      </c>
      <c r="D234" s="73" t="s">
        <v>1364</v>
      </c>
      <c r="E234" s="72" t="s">
        <v>1366</v>
      </c>
      <c r="F234" s="84">
        <v>153.75</v>
      </c>
      <c r="G234" s="73" t="s">
        <v>828</v>
      </c>
      <c r="H234" s="75"/>
      <c r="I234" s="75"/>
      <c r="J234" s="75"/>
      <c r="K234" s="75"/>
      <c r="L234" s="75"/>
      <c r="M234" s="75"/>
      <c r="N234" s="75"/>
      <c r="O234" s="75">
        <f>SUM(TABELA24[[#This Row],[T1]:[T7]])</f>
        <v>0</v>
      </c>
      <c r="P234" s="76">
        <f>TABELA24[[#This Row],[QTDE]]*TABELA24[[#This Row],[PREÇO]]</f>
        <v>0</v>
      </c>
    </row>
    <row r="235" spans="1:16" x14ac:dyDescent="0.2">
      <c r="A235" s="70" t="s">
        <v>1552</v>
      </c>
      <c r="B235" s="71" t="s">
        <v>1550</v>
      </c>
      <c r="C235" s="72" t="s">
        <v>1551</v>
      </c>
      <c r="D235" s="73" t="s">
        <v>823</v>
      </c>
      <c r="E235" s="72" t="s">
        <v>820</v>
      </c>
      <c r="F235" s="84">
        <v>153.75</v>
      </c>
      <c r="G235" s="73" t="s">
        <v>828</v>
      </c>
      <c r="H235" s="75"/>
      <c r="I235" s="75"/>
      <c r="J235" s="75"/>
      <c r="K235" s="75"/>
      <c r="L235" s="75"/>
      <c r="M235" s="75"/>
      <c r="N235" s="75"/>
      <c r="O235" s="75">
        <f>SUM(TABELA24[[#This Row],[T1]:[T7]])</f>
        <v>0</v>
      </c>
      <c r="P235" s="76">
        <f>TABELA24[[#This Row],[QTDE]]*TABELA24[[#This Row],[PREÇO]]</f>
        <v>0</v>
      </c>
    </row>
    <row r="236" spans="1:16" x14ac:dyDescent="0.2">
      <c r="A236" s="70" t="s">
        <v>1555</v>
      </c>
      <c r="B236" s="71" t="s">
        <v>1553</v>
      </c>
      <c r="C236" s="72" t="s">
        <v>1554</v>
      </c>
      <c r="D236" s="73" t="s">
        <v>938</v>
      </c>
      <c r="E236" s="72" t="s">
        <v>940</v>
      </c>
      <c r="F236" s="84">
        <v>124.58</v>
      </c>
      <c r="G236" s="73" t="s">
        <v>828</v>
      </c>
      <c r="H236" s="75"/>
      <c r="I236" s="75"/>
      <c r="J236" s="75"/>
      <c r="K236" s="75"/>
      <c r="L236" s="75"/>
      <c r="M236" s="75"/>
      <c r="N236" s="75"/>
      <c r="O236" s="75">
        <f>SUM(TABELA24[[#This Row],[T1]:[T7]])</f>
        <v>0</v>
      </c>
      <c r="P236" s="76">
        <f>TABELA24[[#This Row],[QTDE]]*TABELA24[[#This Row],[PREÇO]]</f>
        <v>0</v>
      </c>
    </row>
    <row r="237" spans="1:16" x14ac:dyDescent="0.2">
      <c r="A237" s="70" t="s">
        <v>1562</v>
      </c>
      <c r="B237" s="71" t="s">
        <v>1560</v>
      </c>
      <c r="C237" s="72" t="s">
        <v>1561</v>
      </c>
      <c r="D237" s="73" t="s">
        <v>1184</v>
      </c>
      <c r="E237" s="72" t="s">
        <v>1469</v>
      </c>
      <c r="F237" s="84">
        <v>145.41999999999999</v>
      </c>
      <c r="G237" s="73" t="s">
        <v>829</v>
      </c>
      <c r="H237" s="75"/>
      <c r="I237" s="75"/>
      <c r="J237" s="75"/>
      <c r="K237" s="75"/>
      <c r="L237" s="75"/>
      <c r="M237" s="75"/>
      <c r="N237" s="75"/>
      <c r="O237" s="75">
        <f>SUM(TABELA24[[#This Row],[T1]:[T7]])</f>
        <v>0</v>
      </c>
      <c r="P237" s="76">
        <f>TABELA24[[#This Row],[QTDE]]*TABELA24[[#This Row],[PREÇO]]</f>
        <v>0</v>
      </c>
    </row>
    <row r="238" spans="1:16" x14ac:dyDescent="0.2">
      <c r="A238" s="70" t="s">
        <v>1565</v>
      </c>
      <c r="B238" s="71" t="s">
        <v>1563</v>
      </c>
      <c r="C238" s="72" t="s">
        <v>1564</v>
      </c>
      <c r="D238" s="73" t="s">
        <v>1263</v>
      </c>
      <c r="E238" s="72" t="s">
        <v>1265</v>
      </c>
      <c r="F238" s="84">
        <v>207.92</v>
      </c>
      <c r="G238" s="73" t="s">
        <v>829</v>
      </c>
      <c r="H238" s="75"/>
      <c r="I238" s="75"/>
      <c r="J238" s="75"/>
      <c r="K238" s="75"/>
      <c r="L238" s="75"/>
      <c r="M238" s="75"/>
      <c r="N238" s="75"/>
      <c r="O238" s="75">
        <f>SUM(TABELA24[[#This Row],[T1]:[T7]])</f>
        <v>0</v>
      </c>
      <c r="P238" s="76">
        <f>TABELA24[[#This Row],[QTDE]]*TABELA24[[#This Row],[PREÇO]]</f>
        <v>0</v>
      </c>
    </row>
    <row r="239" spans="1:16" x14ac:dyDescent="0.2">
      <c r="A239" s="70" t="s">
        <v>1566</v>
      </c>
      <c r="B239" s="71" t="s">
        <v>1567</v>
      </c>
      <c r="C239" s="72" t="s">
        <v>1568</v>
      </c>
      <c r="D239" s="73" t="s">
        <v>938</v>
      </c>
      <c r="E239" s="72" t="s">
        <v>940</v>
      </c>
      <c r="F239" s="84">
        <v>207.92</v>
      </c>
      <c r="G239" s="73" t="s">
        <v>826</v>
      </c>
      <c r="H239" s="75"/>
      <c r="I239" s="75"/>
      <c r="J239" s="75"/>
      <c r="K239" s="75"/>
      <c r="L239" s="75"/>
      <c r="M239" s="75"/>
      <c r="N239" s="75"/>
      <c r="O239" s="75">
        <f>SUM(TABELA24[[#This Row],[T1]:[T7]])</f>
        <v>0</v>
      </c>
      <c r="P239" s="76">
        <f>TABELA24[[#This Row],[QTDE]]*TABELA24[[#This Row],[PREÇO]]</f>
        <v>0</v>
      </c>
    </row>
    <row r="240" spans="1:16" x14ac:dyDescent="0.2">
      <c r="A240" s="70" t="s">
        <v>1572</v>
      </c>
      <c r="B240" s="71" t="s">
        <v>1569</v>
      </c>
      <c r="C240" s="72" t="s">
        <v>1570</v>
      </c>
      <c r="D240" s="73" t="s">
        <v>821</v>
      </c>
      <c r="E240" s="72" t="s">
        <v>822</v>
      </c>
      <c r="F240" s="84">
        <v>178.75</v>
      </c>
      <c r="G240" s="73" t="s">
        <v>826</v>
      </c>
      <c r="H240" s="75"/>
      <c r="I240" s="75"/>
      <c r="J240" s="75"/>
      <c r="K240" s="75"/>
      <c r="L240" s="75"/>
      <c r="M240" s="75"/>
      <c r="N240" s="75"/>
      <c r="O240" s="75">
        <f>SUM(TABELA24[[#This Row],[T1]:[T7]])</f>
        <v>0</v>
      </c>
      <c r="P240" s="76">
        <f>TABELA24[[#This Row],[QTDE]]*TABELA24[[#This Row],[PREÇO]]</f>
        <v>0</v>
      </c>
    </row>
    <row r="241" spans="1:16" x14ac:dyDescent="0.2">
      <c r="A241" s="70" t="s">
        <v>1575</v>
      </c>
      <c r="B241" s="71" t="s">
        <v>1573</v>
      </c>
      <c r="C241" s="72" t="s">
        <v>1574</v>
      </c>
      <c r="D241" s="73" t="s">
        <v>821</v>
      </c>
      <c r="E241" s="72" t="s">
        <v>822</v>
      </c>
      <c r="F241" s="84">
        <v>124.58</v>
      </c>
      <c r="G241" s="73" t="s">
        <v>828</v>
      </c>
      <c r="H241" s="75"/>
      <c r="I241" s="75"/>
      <c r="J241" s="75"/>
      <c r="K241" s="75"/>
      <c r="L241" s="75"/>
      <c r="M241" s="75"/>
      <c r="N241" s="75"/>
      <c r="O241" s="75">
        <f>SUM(TABELA24[[#This Row],[T1]:[T7]])</f>
        <v>0</v>
      </c>
      <c r="P241" s="76">
        <f>TABELA24[[#This Row],[QTDE]]*TABELA24[[#This Row],[PREÇO]]</f>
        <v>0</v>
      </c>
    </row>
    <row r="242" spans="1:16" x14ac:dyDescent="0.2">
      <c r="A242" s="70" t="s">
        <v>1578</v>
      </c>
      <c r="B242" s="71" t="s">
        <v>1576</v>
      </c>
      <c r="C242" s="72" t="s">
        <v>1577</v>
      </c>
      <c r="D242" s="73" t="s">
        <v>1024</v>
      </c>
      <c r="E242" s="72" t="s">
        <v>1037</v>
      </c>
      <c r="F242" s="84">
        <v>207.92</v>
      </c>
      <c r="G242" s="73" t="s">
        <v>829</v>
      </c>
      <c r="H242" s="75"/>
      <c r="I242" s="75"/>
      <c r="J242" s="75"/>
      <c r="K242" s="75"/>
      <c r="L242" s="75"/>
      <c r="M242" s="75"/>
      <c r="N242" s="75"/>
      <c r="O242" s="75">
        <f>SUM(TABELA24[[#This Row],[T1]:[T7]])</f>
        <v>0</v>
      </c>
      <c r="P242" s="76">
        <f>TABELA24[[#This Row],[QTDE]]*TABELA24[[#This Row],[PREÇO]]</f>
        <v>0</v>
      </c>
    </row>
    <row r="243" spans="1:16" x14ac:dyDescent="0.2">
      <c r="A243" s="70" t="s">
        <v>1581</v>
      </c>
      <c r="B243" s="71" t="s">
        <v>1579</v>
      </c>
      <c r="C243" s="72" t="s">
        <v>1580</v>
      </c>
      <c r="D243" s="73" t="s">
        <v>823</v>
      </c>
      <c r="E243" s="72" t="s">
        <v>820</v>
      </c>
      <c r="F243" s="84">
        <v>124.58</v>
      </c>
      <c r="G243" s="73" t="s">
        <v>828</v>
      </c>
      <c r="H243" s="75"/>
      <c r="I243" s="75"/>
      <c r="J243" s="75"/>
      <c r="K243" s="75"/>
      <c r="L243" s="75"/>
      <c r="M243" s="75"/>
      <c r="N243" s="75"/>
      <c r="O243" s="75">
        <f>SUM(TABELA24[[#This Row],[T1]:[T7]])</f>
        <v>0</v>
      </c>
      <c r="P243" s="76">
        <f>TABELA24[[#This Row],[QTDE]]*TABELA24[[#This Row],[PREÇO]]</f>
        <v>0</v>
      </c>
    </row>
    <row r="244" spans="1:16" x14ac:dyDescent="0.2">
      <c r="A244" s="70" t="s">
        <v>1584</v>
      </c>
      <c r="B244" s="71" t="s">
        <v>1582</v>
      </c>
      <c r="C244" s="72" t="s">
        <v>1583</v>
      </c>
      <c r="D244" s="73" t="s">
        <v>823</v>
      </c>
      <c r="E244" s="72" t="s">
        <v>820</v>
      </c>
      <c r="F244" s="84">
        <v>137.08000000000001</v>
      </c>
      <c r="G244" s="73" t="s">
        <v>828</v>
      </c>
      <c r="H244" s="75"/>
      <c r="I244" s="75"/>
      <c r="J244" s="75"/>
      <c r="K244" s="75"/>
      <c r="L244" s="75"/>
      <c r="M244" s="75"/>
      <c r="N244" s="75"/>
      <c r="O244" s="75">
        <f>SUM(TABELA24[[#This Row],[T1]:[T7]])</f>
        <v>0</v>
      </c>
      <c r="P244" s="76">
        <f>TABELA24[[#This Row],[QTDE]]*TABELA24[[#This Row],[PREÇO]]</f>
        <v>0</v>
      </c>
    </row>
    <row r="245" spans="1:16" x14ac:dyDescent="0.2">
      <c r="A245" s="70" t="s">
        <v>1587</v>
      </c>
      <c r="B245" s="71" t="s">
        <v>1585</v>
      </c>
      <c r="C245" s="72" t="s">
        <v>1586</v>
      </c>
      <c r="D245" s="73" t="s">
        <v>1263</v>
      </c>
      <c r="E245" s="72" t="s">
        <v>1265</v>
      </c>
      <c r="F245" s="84">
        <v>303.75</v>
      </c>
      <c r="G245" s="73" t="s">
        <v>828</v>
      </c>
      <c r="H245" s="75"/>
      <c r="I245" s="75"/>
      <c r="J245" s="75"/>
      <c r="K245" s="75"/>
      <c r="L245" s="75"/>
      <c r="M245" s="75"/>
      <c r="N245" s="75"/>
      <c r="O245" s="75">
        <f>SUM(TABELA24[[#This Row],[T1]:[T7]])</f>
        <v>0</v>
      </c>
      <c r="P245" s="76">
        <f>TABELA24[[#This Row],[QTDE]]*TABELA24[[#This Row],[PREÇO]]</f>
        <v>0</v>
      </c>
    </row>
    <row r="246" spans="1:16" x14ac:dyDescent="0.2">
      <c r="A246" s="70" t="s">
        <v>1590</v>
      </c>
      <c r="B246" s="71" t="s">
        <v>1588</v>
      </c>
      <c r="C246" s="72" t="s">
        <v>1589</v>
      </c>
      <c r="D246" s="73" t="s">
        <v>32</v>
      </c>
      <c r="E246" s="72" t="s">
        <v>33</v>
      </c>
      <c r="F246" s="84">
        <v>374.58</v>
      </c>
      <c r="G246" s="73" t="s">
        <v>828</v>
      </c>
      <c r="H246" s="75"/>
      <c r="I246" s="75"/>
      <c r="J246" s="75"/>
      <c r="K246" s="75"/>
      <c r="L246" s="75"/>
      <c r="M246" s="75"/>
      <c r="N246" s="75"/>
      <c r="O246" s="75">
        <f>SUM(TABELA24[[#This Row],[T1]:[T7]])</f>
        <v>0</v>
      </c>
      <c r="P246" s="76">
        <f>TABELA24[[#This Row],[QTDE]]*TABELA24[[#This Row],[PREÇO]]</f>
        <v>0</v>
      </c>
    </row>
    <row r="247" spans="1:16" x14ac:dyDescent="0.2">
      <c r="A247" s="70" t="s">
        <v>1591</v>
      </c>
      <c r="B247" s="71" t="s">
        <v>1592</v>
      </c>
      <c r="C247" s="72" t="s">
        <v>1593</v>
      </c>
      <c r="D247" s="73" t="s">
        <v>895</v>
      </c>
      <c r="E247" s="72" t="s">
        <v>896</v>
      </c>
      <c r="F247" s="84">
        <v>137.08000000000001</v>
      </c>
      <c r="G247" s="73" t="s">
        <v>826</v>
      </c>
      <c r="H247" s="75"/>
      <c r="I247" s="75"/>
      <c r="J247" s="75"/>
      <c r="K247" s="75"/>
      <c r="L247" s="75"/>
      <c r="M247" s="75"/>
      <c r="N247" s="75"/>
      <c r="O247" s="75">
        <f>SUM(TABELA24[[#This Row],[T1]:[T7]])</f>
        <v>0</v>
      </c>
      <c r="P247" s="76">
        <f>TABELA24[[#This Row],[QTDE]]*TABELA24[[#This Row],[PREÇO]]</f>
        <v>0</v>
      </c>
    </row>
    <row r="248" spans="1:16" x14ac:dyDescent="0.2">
      <c r="A248" s="70" t="s">
        <v>1596</v>
      </c>
      <c r="B248" s="71" t="s">
        <v>1594</v>
      </c>
      <c r="C248" s="72" t="s">
        <v>1595</v>
      </c>
      <c r="D248" s="73" t="s">
        <v>32</v>
      </c>
      <c r="E248" s="72" t="s">
        <v>33</v>
      </c>
      <c r="F248" s="84">
        <v>412.08</v>
      </c>
      <c r="G248" s="73" t="s">
        <v>828</v>
      </c>
      <c r="H248" s="75"/>
      <c r="I248" s="75"/>
      <c r="J248" s="75"/>
      <c r="K248" s="75"/>
      <c r="L248" s="75"/>
      <c r="M248" s="75"/>
      <c r="N248" s="75"/>
      <c r="O248" s="75">
        <f>SUM(TABELA24[[#This Row],[T1]:[T7]])</f>
        <v>0</v>
      </c>
      <c r="P248" s="76">
        <f>TABELA24[[#This Row],[QTDE]]*TABELA24[[#This Row],[PREÇO]]</f>
        <v>0</v>
      </c>
    </row>
    <row r="249" spans="1:16" x14ac:dyDescent="0.2">
      <c r="A249" s="70" t="s">
        <v>1598</v>
      </c>
      <c r="B249" s="71" t="s">
        <v>1597</v>
      </c>
      <c r="C249" s="72" t="s">
        <v>2313</v>
      </c>
      <c r="D249" s="73" t="s">
        <v>1024</v>
      </c>
      <c r="E249" s="72" t="s">
        <v>1037</v>
      </c>
      <c r="F249" s="84">
        <v>353.75</v>
      </c>
      <c r="G249" s="73" t="s">
        <v>828</v>
      </c>
      <c r="H249" s="75"/>
      <c r="I249" s="75"/>
      <c r="J249" s="75"/>
      <c r="K249" s="75"/>
      <c r="L249" s="75"/>
      <c r="M249" s="75"/>
      <c r="N249" s="75"/>
      <c r="O249" s="75">
        <f>SUM(TABELA24[[#This Row],[T1]:[T7]])</f>
        <v>0</v>
      </c>
      <c r="P249" s="76">
        <f>TABELA24[[#This Row],[QTDE]]*TABELA24[[#This Row],[PREÇO]]</f>
        <v>0</v>
      </c>
    </row>
    <row r="250" spans="1:16" x14ac:dyDescent="0.2">
      <c r="A250" s="70" t="s">
        <v>1599</v>
      </c>
      <c r="B250" s="71" t="s">
        <v>1600</v>
      </c>
      <c r="C250" s="72" t="s">
        <v>818</v>
      </c>
      <c r="D250" s="73" t="s">
        <v>32</v>
      </c>
      <c r="E250" s="72" t="s">
        <v>33</v>
      </c>
      <c r="F250" s="84">
        <v>153.75</v>
      </c>
      <c r="G250" s="73" t="s">
        <v>826</v>
      </c>
      <c r="H250" s="75"/>
      <c r="I250" s="75"/>
      <c r="J250" s="75"/>
      <c r="K250" s="75"/>
      <c r="L250" s="75"/>
      <c r="M250" s="75"/>
      <c r="N250" s="75"/>
      <c r="O250" s="75">
        <f>SUM(TABELA24[[#This Row],[T1]:[T7]])</f>
        <v>0</v>
      </c>
      <c r="P250" s="76">
        <f>TABELA24[[#This Row],[QTDE]]*TABELA24[[#This Row],[PREÇO]]</f>
        <v>0</v>
      </c>
    </row>
    <row r="251" spans="1:16" x14ac:dyDescent="0.2">
      <c r="A251" s="70" t="s">
        <v>1601</v>
      </c>
      <c r="B251" s="71" t="s">
        <v>1602</v>
      </c>
      <c r="C251" s="72" t="s">
        <v>1603</v>
      </c>
      <c r="D251" s="73" t="s">
        <v>32</v>
      </c>
      <c r="E251" s="72" t="s">
        <v>33</v>
      </c>
      <c r="F251" s="84">
        <v>266.25</v>
      </c>
      <c r="G251" s="73" t="s">
        <v>826</v>
      </c>
      <c r="H251" s="75"/>
      <c r="I251" s="75"/>
      <c r="J251" s="75"/>
      <c r="K251" s="75"/>
      <c r="L251" s="75"/>
      <c r="M251" s="75"/>
      <c r="N251" s="75"/>
      <c r="O251" s="75">
        <f>SUM(TABELA24[[#This Row],[T1]:[T7]])</f>
        <v>0</v>
      </c>
      <c r="P251" s="76">
        <f>TABELA24[[#This Row],[QTDE]]*TABELA24[[#This Row],[PREÇO]]</f>
        <v>0</v>
      </c>
    </row>
    <row r="252" spans="1:16" x14ac:dyDescent="0.2">
      <c r="A252" s="70" t="s">
        <v>1605</v>
      </c>
      <c r="B252" s="71" t="s">
        <v>1606</v>
      </c>
      <c r="C252" s="72" t="s">
        <v>1607</v>
      </c>
      <c r="D252" s="73" t="s">
        <v>938</v>
      </c>
      <c r="E252" s="72" t="s">
        <v>940</v>
      </c>
      <c r="F252" s="84">
        <v>249.58</v>
      </c>
      <c r="G252" s="73" t="s">
        <v>826</v>
      </c>
      <c r="H252" s="75"/>
      <c r="I252" s="75"/>
      <c r="J252" s="75"/>
      <c r="K252" s="75"/>
      <c r="L252" s="75"/>
      <c r="M252" s="75"/>
      <c r="N252" s="75"/>
      <c r="O252" s="75">
        <f>SUM(TABELA24[[#This Row],[T1]:[T7]])</f>
        <v>0</v>
      </c>
      <c r="P252" s="76">
        <f>TABELA24[[#This Row],[QTDE]]*TABELA24[[#This Row],[PREÇO]]</f>
        <v>0</v>
      </c>
    </row>
    <row r="253" spans="1:16" x14ac:dyDescent="0.2">
      <c r="A253" s="70" t="s">
        <v>1610</v>
      </c>
      <c r="B253" s="71" t="s">
        <v>1608</v>
      </c>
      <c r="C253" s="72" t="s">
        <v>1609</v>
      </c>
      <c r="D253" s="73" t="s">
        <v>1433</v>
      </c>
      <c r="E253" s="72" t="s">
        <v>1434</v>
      </c>
      <c r="F253" s="84">
        <v>228.75</v>
      </c>
      <c r="G253" s="73" t="s">
        <v>828</v>
      </c>
      <c r="H253" s="75"/>
      <c r="I253" s="75"/>
      <c r="J253" s="75"/>
      <c r="K253" s="75"/>
      <c r="L253" s="75"/>
      <c r="M253" s="75"/>
      <c r="N253" s="75"/>
      <c r="O253" s="75">
        <f>SUM(TABELA24[[#This Row],[T1]:[T7]])</f>
        <v>0</v>
      </c>
      <c r="P253" s="76">
        <f>TABELA24[[#This Row],[QTDE]]*TABELA24[[#This Row],[PREÇO]]</f>
        <v>0</v>
      </c>
    </row>
    <row r="254" spans="1:16" x14ac:dyDescent="0.2">
      <c r="A254" s="70" t="s">
        <v>1611</v>
      </c>
      <c r="B254" s="71" t="s">
        <v>1612</v>
      </c>
      <c r="C254" s="72" t="s">
        <v>1613</v>
      </c>
      <c r="D254" s="73" t="s">
        <v>32</v>
      </c>
      <c r="E254" s="72" t="s">
        <v>33</v>
      </c>
      <c r="F254" s="84">
        <v>199.58</v>
      </c>
      <c r="G254" s="73" t="s">
        <v>826</v>
      </c>
      <c r="H254" s="75"/>
      <c r="I254" s="75"/>
      <c r="J254" s="75"/>
      <c r="K254" s="75"/>
      <c r="L254" s="75"/>
      <c r="M254" s="75"/>
      <c r="N254" s="75"/>
      <c r="O254" s="75">
        <f>SUM(TABELA24[[#This Row],[T1]:[T7]])</f>
        <v>0</v>
      </c>
      <c r="P254" s="76">
        <f>TABELA24[[#This Row],[QTDE]]*TABELA24[[#This Row],[PREÇO]]</f>
        <v>0</v>
      </c>
    </row>
    <row r="255" spans="1:16" x14ac:dyDescent="0.2">
      <c r="A255" s="70" t="s">
        <v>1614</v>
      </c>
      <c r="B255" s="71" t="s">
        <v>1612</v>
      </c>
      <c r="C255" s="72" t="s">
        <v>1613</v>
      </c>
      <c r="D255" s="73" t="s">
        <v>1184</v>
      </c>
      <c r="E255" s="72" t="s">
        <v>1469</v>
      </c>
      <c r="F255" s="84">
        <v>199.58</v>
      </c>
      <c r="G255" s="73" t="s">
        <v>826</v>
      </c>
      <c r="H255" s="75"/>
      <c r="I255" s="75"/>
      <c r="J255" s="75"/>
      <c r="K255" s="75"/>
      <c r="L255" s="75"/>
      <c r="M255" s="75"/>
      <c r="N255" s="75"/>
      <c r="O255" s="75">
        <f>SUM(TABELA24[[#This Row],[T1]:[T7]])</f>
        <v>0</v>
      </c>
      <c r="P255" s="76">
        <f>TABELA24[[#This Row],[QTDE]]*TABELA24[[#This Row],[PREÇO]]</f>
        <v>0</v>
      </c>
    </row>
    <row r="256" spans="1:16" x14ac:dyDescent="0.2">
      <c r="A256" s="70" t="s">
        <v>1617</v>
      </c>
      <c r="B256" s="71" t="s">
        <v>1615</v>
      </c>
      <c r="C256" s="72" t="s">
        <v>1616</v>
      </c>
      <c r="D256" s="73" t="s">
        <v>1433</v>
      </c>
      <c r="E256" s="72" t="s">
        <v>1434</v>
      </c>
      <c r="F256" s="84">
        <v>332.92</v>
      </c>
      <c r="G256" s="73" t="s">
        <v>826</v>
      </c>
      <c r="H256" s="75"/>
      <c r="I256" s="75"/>
      <c r="J256" s="75"/>
      <c r="K256" s="75"/>
      <c r="L256" s="75"/>
      <c r="M256" s="75"/>
      <c r="N256" s="75"/>
      <c r="O256" s="75">
        <f>SUM(TABELA24[[#This Row],[T1]:[T7]])</f>
        <v>0</v>
      </c>
      <c r="P256" s="76">
        <f>TABELA24[[#This Row],[QTDE]]*TABELA24[[#This Row],[PREÇO]]</f>
        <v>0</v>
      </c>
    </row>
    <row r="257" spans="1:16" x14ac:dyDescent="0.2">
      <c r="A257" s="70" t="s">
        <v>1618</v>
      </c>
      <c r="B257" s="71" t="s">
        <v>1619</v>
      </c>
      <c r="C257" s="72" t="s">
        <v>1620</v>
      </c>
      <c r="D257" s="73" t="s">
        <v>1184</v>
      </c>
      <c r="E257" s="72" t="s">
        <v>1469</v>
      </c>
      <c r="F257" s="84">
        <v>262.08</v>
      </c>
      <c r="G257" s="73" t="s">
        <v>826</v>
      </c>
      <c r="H257" s="75"/>
      <c r="I257" s="75"/>
      <c r="J257" s="75"/>
      <c r="K257" s="75"/>
      <c r="L257" s="75"/>
      <c r="M257" s="75"/>
      <c r="N257" s="75"/>
      <c r="O257" s="75">
        <f>SUM(TABELA24[[#This Row],[T1]:[T7]])</f>
        <v>0</v>
      </c>
      <c r="P257" s="76">
        <f>TABELA24[[#This Row],[QTDE]]*TABELA24[[#This Row],[PREÇO]]</f>
        <v>0</v>
      </c>
    </row>
    <row r="258" spans="1:16" x14ac:dyDescent="0.2">
      <c r="A258" s="70" t="s">
        <v>1623</v>
      </c>
      <c r="B258" s="71" t="s">
        <v>1621</v>
      </c>
      <c r="C258" s="72" t="s">
        <v>1622</v>
      </c>
      <c r="D258" s="73" t="s">
        <v>1448</v>
      </c>
      <c r="E258" s="72" t="s">
        <v>1450</v>
      </c>
      <c r="F258" s="84">
        <v>457.92</v>
      </c>
      <c r="G258" s="73" t="s">
        <v>829</v>
      </c>
      <c r="H258" s="75"/>
      <c r="I258" s="75"/>
      <c r="J258" s="75"/>
      <c r="K258" s="75"/>
      <c r="L258" s="75"/>
      <c r="M258" s="75"/>
      <c r="N258" s="75"/>
      <c r="O258" s="75">
        <f>SUM(TABELA24[[#This Row],[T1]:[T7]])</f>
        <v>0</v>
      </c>
      <c r="P258" s="76">
        <f>TABELA24[[#This Row],[QTDE]]*TABELA24[[#This Row],[PREÇO]]</f>
        <v>0</v>
      </c>
    </row>
    <row r="259" spans="1:16" x14ac:dyDescent="0.2">
      <c r="A259" s="70" t="s">
        <v>1626</v>
      </c>
      <c r="B259" s="71" t="s">
        <v>1624</v>
      </c>
      <c r="C259" s="72" t="s">
        <v>1625</v>
      </c>
      <c r="D259" s="73" t="s">
        <v>1417</v>
      </c>
      <c r="E259" s="72" t="s">
        <v>1419</v>
      </c>
      <c r="F259" s="84">
        <v>499.58</v>
      </c>
      <c r="G259" s="73" t="s">
        <v>829</v>
      </c>
      <c r="H259" s="75"/>
      <c r="I259" s="75"/>
      <c r="J259" s="75"/>
      <c r="K259" s="75"/>
      <c r="L259" s="75"/>
      <c r="M259" s="75"/>
      <c r="N259" s="75"/>
      <c r="O259" s="75">
        <f>SUM(TABELA24[[#This Row],[T1]:[T7]])</f>
        <v>0</v>
      </c>
      <c r="P259" s="76">
        <f>TABELA24[[#This Row],[QTDE]]*TABELA24[[#This Row],[PREÇO]]</f>
        <v>0</v>
      </c>
    </row>
    <row r="260" spans="1:16" x14ac:dyDescent="0.2">
      <c r="A260" s="70" t="s">
        <v>1627</v>
      </c>
      <c r="B260" s="71" t="s">
        <v>1628</v>
      </c>
      <c r="C260" s="72" t="s">
        <v>1629</v>
      </c>
      <c r="D260" s="73" t="s">
        <v>32</v>
      </c>
      <c r="E260" s="72" t="s">
        <v>33</v>
      </c>
      <c r="F260" s="84">
        <v>137.08000000000001</v>
      </c>
      <c r="G260" s="73" t="s">
        <v>826</v>
      </c>
      <c r="H260" s="75"/>
      <c r="I260" s="75"/>
      <c r="J260" s="75"/>
      <c r="K260" s="75"/>
      <c r="L260" s="75"/>
      <c r="M260" s="75"/>
      <c r="N260" s="75"/>
      <c r="O260" s="75">
        <f>SUM(TABELA24[[#This Row],[T1]:[T7]])</f>
        <v>0</v>
      </c>
      <c r="P260" s="76">
        <f>TABELA24[[#This Row],[QTDE]]*TABELA24[[#This Row],[PREÇO]]</f>
        <v>0</v>
      </c>
    </row>
    <row r="261" spans="1:16" x14ac:dyDescent="0.2">
      <c r="A261" s="70" t="s">
        <v>1630</v>
      </c>
      <c r="B261" s="71" t="s">
        <v>1628</v>
      </c>
      <c r="C261" s="72" t="s">
        <v>1629</v>
      </c>
      <c r="D261" s="73" t="s">
        <v>821</v>
      </c>
      <c r="E261" s="72" t="s">
        <v>822</v>
      </c>
      <c r="F261" s="84">
        <v>137.08000000000001</v>
      </c>
      <c r="G261" s="73" t="s">
        <v>826</v>
      </c>
      <c r="H261" s="75"/>
      <c r="I261" s="75"/>
      <c r="J261" s="75"/>
      <c r="K261" s="75"/>
      <c r="L261" s="75"/>
      <c r="M261" s="75"/>
      <c r="N261" s="75"/>
      <c r="O261" s="75">
        <f>SUM(TABELA24[[#This Row],[T1]:[T7]])</f>
        <v>0</v>
      </c>
      <c r="P261" s="76">
        <f>TABELA24[[#This Row],[QTDE]]*TABELA24[[#This Row],[PREÇO]]</f>
        <v>0</v>
      </c>
    </row>
    <row r="262" spans="1:16" x14ac:dyDescent="0.2">
      <c r="A262" s="70" t="s">
        <v>1631</v>
      </c>
      <c r="B262" s="71" t="s">
        <v>1632</v>
      </c>
      <c r="C262" s="72" t="s">
        <v>1633</v>
      </c>
      <c r="D262" s="73" t="s">
        <v>32</v>
      </c>
      <c r="E262" s="72" t="s">
        <v>33</v>
      </c>
      <c r="F262" s="84">
        <v>162.08000000000001</v>
      </c>
      <c r="G262" s="73" t="s">
        <v>826</v>
      </c>
      <c r="H262" s="75"/>
      <c r="I262" s="75"/>
      <c r="J262" s="75"/>
      <c r="K262" s="75"/>
      <c r="L262" s="75"/>
      <c r="M262" s="75"/>
      <c r="N262" s="75"/>
      <c r="O262" s="75">
        <f>SUM(TABELA24[[#This Row],[T1]:[T7]])</f>
        <v>0</v>
      </c>
      <c r="P262" s="76">
        <f>TABELA24[[#This Row],[QTDE]]*TABELA24[[#This Row],[PREÇO]]</f>
        <v>0</v>
      </c>
    </row>
    <row r="263" spans="1:16" x14ac:dyDescent="0.2">
      <c r="A263" s="70" t="s">
        <v>1634</v>
      </c>
      <c r="B263" s="71" t="s">
        <v>1632</v>
      </c>
      <c r="C263" s="72" t="s">
        <v>1633</v>
      </c>
      <c r="D263" s="73" t="s">
        <v>1635</v>
      </c>
      <c r="E263" s="72" t="s">
        <v>1636</v>
      </c>
      <c r="F263" s="84">
        <v>162.08000000000001</v>
      </c>
      <c r="G263" s="73" t="s">
        <v>826</v>
      </c>
      <c r="H263" s="75"/>
      <c r="I263" s="75"/>
      <c r="J263" s="75"/>
      <c r="K263" s="75"/>
      <c r="L263" s="75"/>
      <c r="M263" s="75"/>
      <c r="N263" s="75"/>
      <c r="O263" s="75">
        <f>SUM(TABELA24[[#This Row],[T1]:[T7]])</f>
        <v>0</v>
      </c>
      <c r="P263" s="76">
        <f>TABELA24[[#This Row],[QTDE]]*TABELA24[[#This Row],[PREÇO]]</f>
        <v>0</v>
      </c>
    </row>
    <row r="264" spans="1:16" x14ac:dyDescent="0.2">
      <c r="A264" s="70" t="s">
        <v>1637</v>
      </c>
      <c r="B264" s="71" t="s">
        <v>1638</v>
      </c>
      <c r="C264" s="72" t="s">
        <v>1639</v>
      </c>
      <c r="D264" s="73" t="s">
        <v>32</v>
      </c>
      <c r="E264" s="72" t="s">
        <v>33</v>
      </c>
      <c r="F264" s="84">
        <v>262.08</v>
      </c>
      <c r="G264" s="73" t="s">
        <v>826</v>
      </c>
      <c r="H264" s="75"/>
      <c r="I264" s="75"/>
      <c r="J264" s="75"/>
      <c r="K264" s="75"/>
      <c r="L264" s="75"/>
      <c r="M264" s="75"/>
      <c r="N264" s="75"/>
      <c r="O264" s="75">
        <f>SUM(TABELA24[[#This Row],[T1]:[T7]])</f>
        <v>0</v>
      </c>
      <c r="P264" s="76">
        <f>TABELA24[[#This Row],[QTDE]]*TABELA24[[#This Row],[PREÇO]]</f>
        <v>0</v>
      </c>
    </row>
    <row r="265" spans="1:16" x14ac:dyDescent="0.2">
      <c r="A265" s="70" t="s">
        <v>1640</v>
      </c>
      <c r="B265" s="71" t="s">
        <v>1638</v>
      </c>
      <c r="C265" s="72" t="s">
        <v>1639</v>
      </c>
      <c r="D265" s="73" t="s">
        <v>830</v>
      </c>
      <c r="E265" s="72" t="s">
        <v>43</v>
      </c>
      <c r="F265" s="84">
        <v>262.08</v>
      </c>
      <c r="G265" s="73" t="s">
        <v>826</v>
      </c>
      <c r="H265" s="75"/>
      <c r="I265" s="75"/>
      <c r="J265" s="75"/>
      <c r="K265" s="75"/>
      <c r="L265" s="75"/>
      <c r="M265" s="75"/>
      <c r="N265" s="75"/>
      <c r="O265" s="75">
        <f>SUM(TABELA24[[#This Row],[T1]:[T7]])</f>
        <v>0</v>
      </c>
      <c r="P265" s="76">
        <f>TABELA24[[#This Row],[QTDE]]*TABELA24[[#This Row],[PREÇO]]</f>
        <v>0</v>
      </c>
    </row>
    <row r="266" spans="1:16" x14ac:dyDescent="0.2">
      <c r="A266" s="70" t="s">
        <v>1641</v>
      </c>
      <c r="B266" s="71" t="s">
        <v>1642</v>
      </c>
      <c r="C266" s="72" t="s">
        <v>1644</v>
      </c>
      <c r="D266" s="73" t="s">
        <v>1643</v>
      </c>
      <c r="E266" s="72" t="s">
        <v>64</v>
      </c>
      <c r="F266" s="84">
        <v>157.91999999999999</v>
      </c>
      <c r="G266" s="73" t="s">
        <v>826</v>
      </c>
      <c r="H266" s="75"/>
      <c r="I266" s="75"/>
      <c r="J266" s="75"/>
      <c r="K266" s="75"/>
      <c r="L266" s="75"/>
      <c r="M266" s="75"/>
      <c r="N266" s="75"/>
      <c r="O266" s="75">
        <f>SUM(TABELA24[[#This Row],[T1]:[T7]])</f>
        <v>0</v>
      </c>
      <c r="P266" s="76">
        <f>TABELA24[[#This Row],[QTDE]]*TABELA24[[#This Row],[PREÇO]]</f>
        <v>0</v>
      </c>
    </row>
    <row r="267" spans="1:16" x14ac:dyDescent="0.2">
      <c r="A267" s="70" t="s">
        <v>1645</v>
      </c>
      <c r="B267" s="71" t="s">
        <v>1646</v>
      </c>
      <c r="C267" s="72" t="s">
        <v>1647</v>
      </c>
      <c r="D267" s="73" t="s">
        <v>1009</v>
      </c>
      <c r="E267" s="72" t="s">
        <v>1011</v>
      </c>
      <c r="F267" s="84">
        <v>274.58</v>
      </c>
      <c r="G267" s="73" t="s">
        <v>826</v>
      </c>
      <c r="H267" s="75"/>
      <c r="I267" s="75"/>
      <c r="J267" s="75"/>
      <c r="K267" s="75"/>
      <c r="L267" s="75"/>
      <c r="M267" s="75"/>
      <c r="N267" s="75"/>
      <c r="O267" s="75">
        <f>SUM(TABELA24[[#This Row],[T1]:[T7]])</f>
        <v>0</v>
      </c>
      <c r="P267" s="76">
        <f>TABELA24[[#This Row],[QTDE]]*TABELA24[[#This Row],[PREÇO]]</f>
        <v>0</v>
      </c>
    </row>
    <row r="268" spans="1:16" x14ac:dyDescent="0.2">
      <c r="A268" s="70" t="s">
        <v>1648</v>
      </c>
      <c r="B268" s="71" t="s">
        <v>1649</v>
      </c>
      <c r="C268" s="72" t="s">
        <v>1650</v>
      </c>
      <c r="D268" s="73" t="s">
        <v>32</v>
      </c>
      <c r="E268" s="72" t="s">
        <v>33</v>
      </c>
      <c r="F268" s="84">
        <v>187.08</v>
      </c>
      <c r="G268" s="73" t="s">
        <v>2321</v>
      </c>
      <c r="H268" s="75"/>
      <c r="I268" s="75"/>
      <c r="J268" s="75"/>
      <c r="K268" s="75"/>
      <c r="L268" s="75"/>
      <c r="M268" s="75"/>
      <c r="N268" s="75"/>
      <c r="O268" s="75">
        <f>SUM(TABELA24[[#This Row],[T1]:[T7]])</f>
        <v>0</v>
      </c>
      <c r="P268" s="76">
        <f>TABELA24[[#This Row],[QTDE]]*TABELA24[[#This Row],[PREÇO]]</f>
        <v>0</v>
      </c>
    </row>
    <row r="269" spans="1:16" x14ac:dyDescent="0.2">
      <c r="A269" s="70" t="s">
        <v>1651</v>
      </c>
      <c r="B269" s="71" t="s">
        <v>1649</v>
      </c>
      <c r="C269" s="72" t="s">
        <v>1650</v>
      </c>
      <c r="D269" s="73" t="s">
        <v>830</v>
      </c>
      <c r="E269" s="72" t="s">
        <v>43</v>
      </c>
      <c r="F269" s="84">
        <v>187.08</v>
      </c>
      <c r="G269" s="73" t="s">
        <v>2321</v>
      </c>
      <c r="H269" s="75"/>
      <c r="I269" s="75"/>
      <c r="J269" s="75"/>
      <c r="K269" s="75"/>
      <c r="L269" s="75"/>
      <c r="M269" s="75"/>
      <c r="N269" s="75"/>
      <c r="O269" s="75">
        <f>SUM(TABELA24[[#This Row],[T1]:[T7]])</f>
        <v>0</v>
      </c>
      <c r="P269" s="76">
        <f>TABELA24[[#This Row],[QTDE]]*TABELA24[[#This Row],[PREÇO]]</f>
        <v>0</v>
      </c>
    </row>
    <row r="270" spans="1:16" x14ac:dyDescent="0.2">
      <c r="A270" s="70" t="s">
        <v>1652</v>
      </c>
      <c r="B270" s="71" t="s">
        <v>1653</v>
      </c>
      <c r="C270" s="72" t="s">
        <v>1654</v>
      </c>
      <c r="D270" s="73" t="s">
        <v>1635</v>
      </c>
      <c r="E270" s="72" t="s">
        <v>1636</v>
      </c>
      <c r="F270" s="84">
        <v>224.58</v>
      </c>
      <c r="G270" s="73" t="s">
        <v>826</v>
      </c>
      <c r="H270" s="75"/>
      <c r="I270" s="75"/>
      <c r="J270" s="75"/>
      <c r="K270" s="75"/>
      <c r="L270" s="75"/>
      <c r="M270" s="75"/>
      <c r="N270" s="75"/>
      <c r="O270" s="75">
        <f>SUM(TABELA24[[#This Row],[T1]:[T7]])</f>
        <v>0</v>
      </c>
      <c r="P270" s="76">
        <f>TABELA24[[#This Row],[QTDE]]*TABELA24[[#This Row],[PREÇO]]</f>
        <v>0</v>
      </c>
    </row>
    <row r="271" spans="1:16" x14ac:dyDescent="0.2">
      <c r="A271" s="70" t="s">
        <v>1655</v>
      </c>
      <c r="B271" s="71" t="s">
        <v>1656</v>
      </c>
      <c r="C271" s="72" t="s">
        <v>1657</v>
      </c>
      <c r="D271" s="73" t="s">
        <v>1635</v>
      </c>
      <c r="E271" s="72" t="s">
        <v>1636</v>
      </c>
      <c r="F271" s="84">
        <v>241.25</v>
      </c>
      <c r="G271" s="73" t="s">
        <v>826</v>
      </c>
      <c r="H271" s="75"/>
      <c r="I271" s="75"/>
      <c r="J271" s="75"/>
      <c r="K271" s="75"/>
      <c r="L271" s="75"/>
      <c r="M271" s="75"/>
      <c r="N271" s="75"/>
      <c r="O271" s="75">
        <f>SUM(TABELA24[[#This Row],[T1]:[T7]])</f>
        <v>0</v>
      </c>
      <c r="P271" s="76">
        <f>TABELA24[[#This Row],[QTDE]]*TABELA24[[#This Row],[PREÇO]]</f>
        <v>0</v>
      </c>
    </row>
    <row r="272" spans="1:16" x14ac:dyDescent="0.2">
      <c r="A272" s="70" t="s">
        <v>1658</v>
      </c>
      <c r="B272" s="71" t="s">
        <v>1659</v>
      </c>
      <c r="C272" s="72" t="s">
        <v>1660</v>
      </c>
      <c r="D272" s="73" t="s">
        <v>32</v>
      </c>
      <c r="E272" s="72" t="s">
        <v>33</v>
      </c>
      <c r="F272" s="84">
        <v>278.75</v>
      </c>
      <c r="G272" s="73" t="s">
        <v>826</v>
      </c>
      <c r="H272" s="75"/>
      <c r="I272" s="75"/>
      <c r="J272" s="75"/>
      <c r="K272" s="75"/>
      <c r="L272" s="75"/>
      <c r="M272" s="75"/>
      <c r="N272" s="75"/>
      <c r="O272" s="75">
        <f>SUM(TABELA24[[#This Row],[T1]:[T7]])</f>
        <v>0</v>
      </c>
      <c r="P272" s="76">
        <f>TABELA24[[#This Row],[QTDE]]*TABELA24[[#This Row],[PREÇO]]</f>
        <v>0</v>
      </c>
    </row>
    <row r="273" spans="1:16" x14ac:dyDescent="0.2">
      <c r="A273" s="70" t="s">
        <v>1661</v>
      </c>
      <c r="B273" s="71" t="s">
        <v>1659</v>
      </c>
      <c r="C273" s="72" t="s">
        <v>1660</v>
      </c>
      <c r="D273" s="73" t="s">
        <v>1662</v>
      </c>
      <c r="E273" s="72" t="s">
        <v>1663</v>
      </c>
      <c r="F273" s="84">
        <v>278.75</v>
      </c>
      <c r="G273" s="73" t="s">
        <v>826</v>
      </c>
      <c r="H273" s="75"/>
      <c r="I273" s="75"/>
      <c r="J273" s="75"/>
      <c r="K273" s="75"/>
      <c r="L273" s="75"/>
      <c r="M273" s="75"/>
      <c r="N273" s="75"/>
      <c r="O273" s="75">
        <f>SUM(TABELA24[[#This Row],[T1]:[T7]])</f>
        <v>0</v>
      </c>
      <c r="P273" s="76">
        <f>TABELA24[[#This Row],[QTDE]]*TABELA24[[#This Row],[PREÇO]]</f>
        <v>0</v>
      </c>
    </row>
    <row r="274" spans="1:16" x14ac:dyDescent="0.2">
      <c r="A274" s="70" t="s">
        <v>1664</v>
      </c>
      <c r="B274" s="71" t="s">
        <v>1665</v>
      </c>
      <c r="C274" s="72" t="s">
        <v>1666</v>
      </c>
      <c r="D274" s="73" t="s">
        <v>1384</v>
      </c>
      <c r="E274" s="72" t="s">
        <v>1386</v>
      </c>
      <c r="F274" s="84">
        <v>307.92</v>
      </c>
      <c r="G274" s="73" t="s">
        <v>826</v>
      </c>
      <c r="H274" s="75"/>
      <c r="I274" s="75"/>
      <c r="J274" s="75"/>
      <c r="K274" s="75"/>
      <c r="L274" s="75"/>
      <c r="M274" s="75"/>
      <c r="N274" s="75"/>
      <c r="O274" s="75">
        <f>SUM(TABELA24[[#This Row],[T1]:[T7]])</f>
        <v>0</v>
      </c>
      <c r="P274" s="76">
        <f>TABELA24[[#This Row],[QTDE]]*TABELA24[[#This Row],[PREÇO]]</f>
        <v>0</v>
      </c>
    </row>
    <row r="275" spans="1:16" x14ac:dyDescent="0.2">
      <c r="A275" s="70" t="s">
        <v>1667</v>
      </c>
      <c r="B275" s="71" t="s">
        <v>1668</v>
      </c>
      <c r="C275" s="72" t="s">
        <v>1669</v>
      </c>
      <c r="D275" s="73" t="s">
        <v>1635</v>
      </c>
      <c r="E275" s="72" t="s">
        <v>1636</v>
      </c>
      <c r="F275" s="84">
        <v>182.92</v>
      </c>
      <c r="G275" s="73" t="s">
        <v>826</v>
      </c>
      <c r="H275" s="75"/>
      <c r="I275" s="75"/>
      <c r="J275" s="75"/>
      <c r="K275" s="75"/>
      <c r="L275" s="75"/>
      <c r="M275" s="75"/>
      <c r="N275" s="75"/>
      <c r="O275" s="75">
        <f>SUM(TABELA24[[#This Row],[T1]:[T7]])</f>
        <v>0</v>
      </c>
      <c r="P275" s="76">
        <f>TABELA24[[#This Row],[QTDE]]*TABELA24[[#This Row],[PREÇO]]</f>
        <v>0</v>
      </c>
    </row>
    <row r="276" spans="1:16" x14ac:dyDescent="0.2">
      <c r="A276" s="70" t="s">
        <v>1673</v>
      </c>
      <c r="B276" s="71" t="s">
        <v>1671</v>
      </c>
      <c r="C276" s="72" t="s">
        <v>1672</v>
      </c>
      <c r="D276" s="73" t="s">
        <v>830</v>
      </c>
      <c r="E276" s="72" t="s">
        <v>43</v>
      </c>
      <c r="F276" s="84">
        <v>162.08000000000001</v>
      </c>
      <c r="G276" s="73" t="s">
        <v>826</v>
      </c>
      <c r="H276" s="75"/>
      <c r="I276" s="75"/>
      <c r="J276" s="75"/>
      <c r="K276" s="75"/>
      <c r="L276" s="75"/>
      <c r="M276" s="75"/>
      <c r="N276" s="75"/>
      <c r="O276" s="75">
        <f>SUM(TABELA24[[#This Row],[T1]:[T7]])</f>
        <v>0</v>
      </c>
      <c r="P276" s="76">
        <f>TABELA24[[#This Row],[QTDE]]*TABELA24[[#This Row],[PREÇO]]</f>
        <v>0</v>
      </c>
    </row>
    <row r="277" spans="1:16" x14ac:dyDescent="0.2">
      <c r="A277" s="70" t="s">
        <v>1670</v>
      </c>
      <c r="B277" s="71" t="s">
        <v>1671</v>
      </c>
      <c r="C277" s="72" t="s">
        <v>1672</v>
      </c>
      <c r="D277" s="73" t="s">
        <v>32</v>
      </c>
      <c r="E277" s="72" t="s">
        <v>33</v>
      </c>
      <c r="F277" s="84">
        <v>162.08000000000001</v>
      </c>
      <c r="G277" s="73" t="s">
        <v>826</v>
      </c>
      <c r="H277" s="75"/>
      <c r="I277" s="75"/>
      <c r="J277" s="75"/>
      <c r="K277" s="75"/>
      <c r="L277" s="75"/>
      <c r="M277" s="75"/>
      <c r="N277" s="75"/>
      <c r="O277" s="75">
        <f>SUM(TABELA24[[#This Row],[T1]:[T7]])</f>
        <v>0</v>
      </c>
      <c r="P277" s="76">
        <f>TABELA24[[#This Row],[QTDE]]*TABELA24[[#This Row],[PREÇO]]</f>
        <v>0</v>
      </c>
    </row>
    <row r="278" spans="1:16" x14ac:dyDescent="0.2">
      <c r="A278" s="70" t="s">
        <v>1675</v>
      </c>
      <c r="B278" s="71" t="s">
        <v>1676</v>
      </c>
      <c r="C278" s="72" t="s">
        <v>1677</v>
      </c>
      <c r="D278" s="73" t="s">
        <v>1317</v>
      </c>
      <c r="E278" s="72" t="s">
        <v>1319</v>
      </c>
      <c r="F278" s="84">
        <v>207.92</v>
      </c>
      <c r="G278" s="73" t="s">
        <v>826</v>
      </c>
      <c r="H278" s="75"/>
      <c r="I278" s="75"/>
      <c r="J278" s="75"/>
      <c r="K278" s="75"/>
      <c r="L278" s="75"/>
      <c r="M278" s="75"/>
      <c r="N278" s="75"/>
      <c r="O278" s="75">
        <f>SUM(TABELA24[[#This Row],[T1]:[T7]])</f>
        <v>0</v>
      </c>
      <c r="P278" s="76">
        <f>TABELA24[[#This Row],[QTDE]]*TABELA24[[#This Row],[PREÇO]]</f>
        <v>0</v>
      </c>
    </row>
    <row r="279" spans="1:16" x14ac:dyDescent="0.2">
      <c r="A279" s="70" t="s">
        <v>1681</v>
      </c>
      <c r="B279" s="71" t="s">
        <v>1678</v>
      </c>
      <c r="C279" s="72" t="s">
        <v>1679</v>
      </c>
      <c r="D279" s="73" t="s">
        <v>882</v>
      </c>
      <c r="E279" s="72" t="s">
        <v>817</v>
      </c>
      <c r="F279" s="84">
        <v>187.08</v>
      </c>
      <c r="G279" s="73" t="s">
        <v>826</v>
      </c>
      <c r="H279" s="75"/>
      <c r="I279" s="75"/>
      <c r="J279" s="75"/>
      <c r="K279" s="75"/>
      <c r="L279" s="75"/>
      <c r="M279" s="75"/>
      <c r="N279" s="75"/>
      <c r="O279" s="75">
        <f>SUM(TABELA24[[#This Row],[T1]:[T7]])</f>
        <v>0</v>
      </c>
      <c r="P279" s="76">
        <f>TABELA24[[#This Row],[QTDE]]*TABELA24[[#This Row],[PREÇO]]</f>
        <v>0</v>
      </c>
    </row>
    <row r="280" spans="1:16" x14ac:dyDescent="0.2">
      <c r="A280" s="70" t="s">
        <v>1684</v>
      </c>
      <c r="B280" s="71" t="s">
        <v>1682</v>
      </c>
      <c r="C280" s="72" t="s">
        <v>1683</v>
      </c>
      <c r="D280" s="73" t="s">
        <v>1643</v>
      </c>
      <c r="E280" s="72" t="s">
        <v>64</v>
      </c>
      <c r="F280" s="84">
        <v>266.25</v>
      </c>
      <c r="G280" s="73" t="s">
        <v>826</v>
      </c>
      <c r="H280" s="75"/>
      <c r="I280" s="75"/>
      <c r="J280" s="75"/>
      <c r="K280" s="75"/>
      <c r="L280" s="75"/>
      <c r="M280" s="75"/>
      <c r="N280" s="75"/>
      <c r="O280" s="75">
        <f>SUM(TABELA24[[#This Row],[T1]:[T7]])</f>
        <v>0</v>
      </c>
      <c r="P280" s="76">
        <f>TABELA24[[#This Row],[QTDE]]*TABELA24[[#This Row],[PREÇO]]</f>
        <v>0</v>
      </c>
    </row>
    <row r="281" spans="1:16" x14ac:dyDescent="0.2">
      <c r="A281" s="70" t="s">
        <v>1685</v>
      </c>
      <c r="B281" s="71" t="s">
        <v>1686</v>
      </c>
      <c r="C281" s="72" t="s">
        <v>1687</v>
      </c>
      <c r="D281" s="73" t="s">
        <v>32</v>
      </c>
      <c r="E281" s="72" t="s">
        <v>33</v>
      </c>
      <c r="F281" s="84">
        <v>137.08000000000001</v>
      </c>
      <c r="G281" s="73" t="s">
        <v>826</v>
      </c>
      <c r="H281" s="75"/>
      <c r="I281" s="75"/>
      <c r="J281" s="75"/>
      <c r="K281" s="75"/>
      <c r="L281" s="75"/>
      <c r="M281" s="75"/>
      <c r="N281" s="75"/>
      <c r="O281" s="75">
        <f>SUM(TABELA24[[#This Row],[T1]:[T7]])</f>
        <v>0</v>
      </c>
      <c r="P281" s="76">
        <f>TABELA24[[#This Row],[QTDE]]*TABELA24[[#This Row],[PREÇO]]</f>
        <v>0</v>
      </c>
    </row>
    <row r="282" spans="1:16" x14ac:dyDescent="0.2">
      <c r="A282" s="70" t="s">
        <v>1690</v>
      </c>
      <c r="B282" s="71" t="s">
        <v>1691</v>
      </c>
      <c r="C282" s="72" t="s">
        <v>1692</v>
      </c>
      <c r="D282" s="73" t="s">
        <v>1371</v>
      </c>
      <c r="E282" s="72" t="s">
        <v>1373</v>
      </c>
      <c r="F282" s="84">
        <v>228.75</v>
      </c>
      <c r="G282" s="73" t="s">
        <v>826</v>
      </c>
      <c r="H282" s="75"/>
      <c r="I282" s="75"/>
      <c r="J282" s="75"/>
      <c r="K282" s="75"/>
      <c r="L282" s="75"/>
      <c r="M282" s="75"/>
      <c r="N282" s="75"/>
      <c r="O282" s="75">
        <f>SUM(TABELA24[[#This Row],[T1]:[T7]])</f>
        <v>0</v>
      </c>
      <c r="P282" s="76">
        <f>TABELA24[[#This Row],[QTDE]]*TABELA24[[#This Row],[PREÇO]]</f>
        <v>0</v>
      </c>
    </row>
    <row r="283" spans="1:16" x14ac:dyDescent="0.2">
      <c r="A283" s="70" t="s">
        <v>1695</v>
      </c>
      <c r="B283" s="71" t="s">
        <v>1693</v>
      </c>
      <c r="C283" s="72" t="s">
        <v>1694</v>
      </c>
      <c r="D283" s="73" t="s">
        <v>1662</v>
      </c>
      <c r="E283" s="72" t="s">
        <v>1663</v>
      </c>
      <c r="F283" s="84">
        <v>232.92</v>
      </c>
      <c r="G283" s="73" t="s">
        <v>19</v>
      </c>
      <c r="H283" s="75"/>
      <c r="I283" s="75"/>
      <c r="J283" s="75"/>
      <c r="K283" s="75"/>
      <c r="L283" s="75"/>
      <c r="M283" s="75"/>
      <c r="N283" s="75"/>
      <c r="O283" s="75">
        <f>SUM(TABELA24[[#This Row],[T1]:[T7]])</f>
        <v>0</v>
      </c>
      <c r="P283" s="76">
        <f>TABELA24[[#This Row],[QTDE]]*TABELA24[[#This Row],[PREÇO]]</f>
        <v>0</v>
      </c>
    </row>
    <row r="284" spans="1:16" x14ac:dyDescent="0.2">
      <c r="A284" s="70" t="s">
        <v>1697</v>
      </c>
      <c r="B284" s="71" t="s">
        <v>1693</v>
      </c>
      <c r="C284" s="72" t="s">
        <v>1694</v>
      </c>
      <c r="D284" s="73" t="s">
        <v>1696</v>
      </c>
      <c r="E284" s="72" t="s">
        <v>73</v>
      </c>
      <c r="F284" s="84">
        <v>232.92</v>
      </c>
      <c r="G284" s="73" t="s">
        <v>19</v>
      </c>
      <c r="H284" s="75"/>
      <c r="I284" s="75"/>
      <c r="J284" s="75"/>
      <c r="K284" s="75"/>
      <c r="L284" s="75"/>
      <c r="M284" s="75"/>
      <c r="N284" s="75"/>
      <c r="O284" s="75">
        <f>SUM(TABELA24[[#This Row],[T1]:[T7]])</f>
        <v>0</v>
      </c>
      <c r="P284" s="76">
        <f>TABELA24[[#This Row],[QTDE]]*TABELA24[[#This Row],[PREÇO]]</f>
        <v>0</v>
      </c>
    </row>
    <row r="285" spans="1:16" x14ac:dyDescent="0.2">
      <c r="A285" s="70" t="s">
        <v>1698</v>
      </c>
      <c r="B285" s="71" t="s">
        <v>1699</v>
      </c>
      <c r="C285" s="72" t="s">
        <v>1700</v>
      </c>
      <c r="D285" s="73" t="s">
        <v>32</v>
      </c>
      <c r="E285" s="72" t="s">
        <v>33</v>
      </c>
      <c r="F285" s="84">
        <v>157.91999999999999</v>
      </c>
      <c r="G285" s="73" t="s">
        <v>826</v>
      </c>
      <c r="H285" s="75"/>
      <c r="I285" s="75"/>
      <c r="J285" s="75"/>
      <c r="K285" s="75"/>
      <c r="L285" s="75"/>
      <c r="M285" s="75"/>
      <c r="N285" s="75"/>
      <c r="O285" s="75">
        <f>SUM(TABELA24[[#This Row],[T1]:[T7]])</f>
        <v>0</v>
      </c>
      <c r="P285" s="76">
        <f>TABELA24[[#This Row],[QTDE]]*TABELA24[[#This Row],[PREÇO]]</f>
        <v>0</v>
      </c>
    </row>
    <row r="286" spans="1:16" x14ac:dyDescent="0.2">
      <c r="A286" s="70" t="s">
        <v>1701</v>
      </c>
      <c r="B286" s="71" t="s">
        <v>1702</v>
      </c>
      <c r="C286" s="72" t="s">
        <v>1703</v>
      </c>
      <c r="D286" s="73" t="s">
        <v>32</v>
      </c>
      <c r="E286" s="72" t="s">
        <v>33</v>
      </c>
      <c r="F286" s="84">
        <v>178.75</v>
      </c>
      <c r="G286" s="73" t="s">
        <v>826</v>
      </c>
      <c r="H286" s="75"/>
      <c r="I286" s="75"/>
      <c r="J286" s="75"/>
      <c r="K286" s="75"/>
      <c r="L286" s="75"/>
      <c r="M286" s="75"/>
      <c r="N286" s="75"/>
      <c r="O286" s="75">
        <f>SUM(TABELA24[[#This Row],[T1]:[T7]])</f>
        <v>0</v>
      </c>
      <c r="P286" s="76">
        <f>TABELA24[[#This Row],[QTDE]]*TABELA24[[#This Row],[PREÇO]]</f>
        <v>0</v>
      </c>
    </row>
    <row r="287" spans="1:16" x14ac:dyDescent="0.2">
      <c r="A287" s="70" t="s">
        <v>1704</v>
      </c>
      <c r="B287" s="71" t="s">
        <v>1705</v>
      </c>
      <c r="C287" s="72" t="s">
        <v>1654</v>
      </c>
      <c r="D287" s="73" t="s">
        <v>1184</v>
      </c>
      <c r="E287" s="72" t="s">
        <v>2317</v>
      </c>
      <c r="F287" s="84">
        <v>224.58</v>
      </c>
      <c r="G287" s="73" t="s">
        <v>826</v>
      </c>
      <c r="H287" s="75"/>
      <c r="I287" s="75"/>
      <c r="J287" s="75"/>
      <c r="K287" s="75"/>
      <c r="L287" s="75"/>
      <c r="M287" s="75"/>
      <c r="N287" s="75"/>
      <c r="O287" s="75">
        <f>SUM(TABELA24[[#This Row],[T1]:[T7]])</f>
        <v>0</v>
      </c>
      <c r="P287" s="76">
        <f>TABELA24[[#This Row],[QTDE]]*TABELA24[[#This Row],[PREÇO]]</f>
        <v>0</v>
      </c>
    </row>
    <row r="288" spans="1:16" x14ac:dyDescent="0.2">
      <c r="A288" s="70" t="s">
        <v>1708</v>
      </c>
      <c r="B288" s="71" t="s">
        <v>1706</v>
      </c>
      <c r="C288" s="72" t="s">
        <v>1707</v>
      </c>
      <c r="D288" s="73" t="s">
        <v>1643</v>
      </c>
      <c r="E288" s="72" t="s">
        <v>64</v>
      </c>
      <c r="F288" s="84">
        <v>182.92</v>
      </c>
      <c r="G288" s="73" t="s">
        <v>826</v>
      </c>
      <c r="H288" s="75"/>
      <c r="I288" s="75"/>
      <c r="J288" s="75"/>
      <c r="K288" s="75"/>
      <c r="L288" s="75"/>
      <c r="M288" s="75"/>
      <c r="N288" s="75"/>
      <c r="O288" s="75">
        <f>SUM(TABELA24[[#This Row],[T1]:[T7]])</f>
        <v>0</v>
      </c>
      <c r="P288" s="76">
        <f>TABELA24[[#This Row],[QTDE]]*TABELA24[[#This Row],[PREÇO]]</f>
        <v>0</v>
      </c>
    </row>
    <row r="289" spans="1:16" x14ac:dyDescent="0.2">
      <c r="A289" s="70" t="s">
        <v>1711</v>
      </c>
      <c r="B289" s="71" t="s">
        <v>1709</v>
      </c>
      <c r="C289" s="72" t="s">
        <v>1710</v>
      </c>
      <c r="D289" s="73" t="s">
        <v>1364</v>
      </c>
      <c r="E289" s="72" t="s">
        <v>1366</v>
      </c>
      <c r="F289" s="84">
        <v>166.25</v>
      </c>
      <c r="G289" s="73" t="s">
        <v>828</v>
      </c>
      <c r="H289" s="75"/>
      <c r="I289" s="75"/>
      <c r="J289" s="75"/>
      <c r="K289" s="75"/>
      <c r="L289" s="75"/>
      <c r="M289" s="75"/>
      <c r="N289" s="75"/>
      <c r="O289" s="75">
        <f>SUM(TABELA24[[#This Row],[T1]:[T7]])</f>
        <v>0</v>
      </c>
      <c r="P289" s="76">
        <f>TABELA24[[#This Row],[QTDE]]*TABELA24[[#This Row],[PREÇO]]</f>
        <v>0</v>
      </c>
    </row>
    <row r="290" spans="1:16" x14ac:dyDescent="0.2">
      <c r="A290" s="70" t="s">
        <v>1714</v>
      </c>
      <c r="B290" s="71" t="s">
        <v>1712</v>
      </c>
      <c r="C290" s="72" t="s">
        <v>1713</v>
      </c>
      <c r="D290" s="73" t="s">
        <v>1364</v>
      </c>
      <c r="E290" s="72" t="s">
        <v>1366</v>
      </c>
      <c r="F290" s="84">
        <v>199.58</v>
      </c>
      <c r="G290" s="73" t="s">
        <v>828</v>
      </c>
      <c r="H290" s="75"/>
      <c r="I290" s="75"/>
      <c r="J290" s="75"/>
      <c r="K290" s="75"/>
      <c r="L290" s="75"/>
      <c r="M290" s="75"/>
      <c r="N290" s="75"/>
      <c r="O290" s="75">
        <f>SUM(TABELA24[[#This Row],[T1]:[T7]])</f>
        <v>0</v>
      </c>
      <c r="P290" s="76">
        <f>TABELA24[[#This Row],[QTDE]]*TABELA24[[#This Row],[PREÇO]]</f>
        <v>0</v>
      </c>
    </row>
    <row r="291" spans="1:16" x14ac:dyDescent="0.2">
      <c r="A291" s="70" t="s">
        <v>1717</v>
      </c>
      <c r="B291" s="71" t="s">
        <v>1715</v>
      </c>
      <c r="C291" s="72" t="s">
        <v>1716</v>
      </c>
      <c r="D291" s="73" t="s">
        <v>823</v>
      </c>
      <c r="E291" s="72" t="s">
        <v>820</v>
      </c>
      <c r="F291" s="84">
        <v>199.58</v>
      </c>
      <c r="G291" s="73" t="s">
        <v>828</v>
      </c>
      <c r="H291" s="75"/>
      <c r="I291" s="75"/>
      <c r="J291" s="75"/>
      <c r="K291" s="75"/>
      <c r="L291" s="75"/>
      <c r="M291" s="75"/>
      <c r="N291" s="75"/>
      <c r="O291" s="75">
        <f>SUM(TABELA24[[#This Row],[T1]:[T7]])</f>
        <v>0</v>
      </c>
      <c r="P291" s="76">
        <f>TABELA24[[#This Row],[QTDE]]*TABELA24[[#This Row],[PREÇO]]</f>
        <v>0</v>
      </c>
    </row>
    <row r="292" spans="1:16" x14ac:dyDescent="0.2">
      <c r="A292" s="70" t="s">
        <v>1720</v>
      </c>
      <c r="B292" s="71" t="s">
        <v>1718</v>
      </c>
      <c r="C292" s="72" t="s">
        <v>1719</v>
      </c>
      <c r="D292" s="73" t="s">
        <v>823</v>
      </c>
      <c r="E292" s="72" t="s">
        <v>820</v>
      </c>
      <c r="F292" s="84">
        <v>199.58</v>
      </c>
      <c r="G292" s="73" t="s">
        <v>828</v>
      </c>
      <c r="H292" s="75"/>
      <c r="I292" s="75"/>
      <c r="J292" s="75"/>
      <c r="K292" s="75"/>
      <c r="L292" s="75"/>
      <c r="M292" s="75"/>
      <c r="N292" s="75"/>
      <c r="O292" s="75">
        <f>SUM(TABELA24[[#This Row],[T1]:[T7]])</f>
        <v>0</v>
      </c>
      <c r="P292" s="76">
        <f>TABELA24[[#This Row],[QTDE]]*TABELA24[[#This Row],[PREÇO]]</f>
        <v>0</v>
      </c>
    </row>
    <row r="293" spans="1:16" x14ac:dyDescent="0.2">
      <c r="A293" s="70" t="s">
        <v>1721</v>
      </c>
      <c r="B293" s="71" t="s">
        <v>1722</v>
      </c>
      <c r="C293" s="72" t="s">
        <v>1723</v>
      </c>
      <c r="D293" s="73" t="s">
        <v>823</v>
      </c>
      <c r="E293" s="72" t="s">
        <v>820</v>
      </c>
      <c r="F293" s="84">
        <v>262.08</v>
      </c>
      <c r="G293" s="73" t="s">
        <v>826</v>
      </c>
      <c r="H293" s="75"/>
      <c r="I293" s="75"/>
      <c r="J293" s="75"/>
      <c r="K293" s="75"/>
      <c r="L293" s="75"/>
      <c r="M293" s="75"/>
      <c r="N293" s="75"/>
      <c r="O293" s="75">
        <f>SUM(TABELA24[[#This Row],[T1]:[T7]])</f>
        <v>0</v>
      </c>
      <c r="P293" s="76">
        <f>TABELA24[[#This Row],[QTDE]]*TABELA24[[#This Row],[PREÇO]]</f>
        <v>0</v>
      </c>
    </row>
    <row r="294" spans="1:16" x14ac:dyDescent="0.2">
      <c r="A294" s="70" t="s">
        <v>1726</v>
      </c>
      <c r="B294" s="71" t="s">
        <v>1724</v>
      </c>
      <c r="C294" s="72" t="s">
        <v>1725</v>
      </c>
      <c r="D294" s="73" t="s">
        <v>1317</v>
      </c>
      <c r="E294" s="72" t="s">
        <v>1319</v>
      </c>
      <c r="F294" s="84">
        <v>153.75</v>
      </c>
      <c r="G294" s="73" t="s">
        <v>828</v>
      </c>
      <c r="H294" s="75"/>
      <c r="I294" s="75"/>
      <c r="J294" s="75"/>
      <c r="K294" s="75"/>
      <c r="L294" s="75"/>
      <c r="M294" s="75"/>
      <c r="N294" s="75"/>
      <c r="O294" s="75">
        <f>SUM(TABELA24[[#This Row],[T1]:[T7]])</f>
        <v>0</v>
      </c>
      <c r="P294" s="76">
        <f>TABELA24[[#This Row],[QTDE]]*TABELA24[[#This Row],[PREÇO]]</f>
        <v>0</v>
      </c>
    </row>
    <row r="295" spans="1:16" x14ac:dyDescent="0.2">
      <c r="A295" s="70" t="s">
        <v>1730</v>
      </c>
      <c r="B295" s="71" t="s">
        <v>1728</v>
      </c>
      <c r="C295" s="72" t="s">
        <v>1729</v>
      </c>
      <c r="D295" s="73" t="s">
        <v>830</v>
      </c>
      <c r="E295" s="72" t="s">
        <v>43</v>
      </c>
      <c r="F295" s="84">
        <v>203.75</v>
      </c>
      <c r="G295" s="73" t="s">
        <v>826</v>
      </c>
      <c r="H295" s="75"/>
      <c r="I295" s="75"/>
      <c r="J295" s="75"/>
      <c r="K295" s="75"/>
      <c r="L295" s="75"/>
      <c r="M295" s="75"/>
      <c r="N295" s="75"/>
      <c r="O295" s="75">
        <f>SUM(TABELA24[[#This Row],[T1]:[T7]])</f>
        <v>0</v>
      </c>
      <c r="P295" s="76">
        <f>TABELA24[[#This Row],[QTDE]]*TABELA24[[#This Row],[PREÇO]]</f>
        <v>0</v>
      </c>
    </row>
    <row r="296" spans="1:16" x14ac:dyDescent="0.2">
      <c r="A296" s="70" t="s">
        <v>1727</v>
      </c>
      <c r="B296" s="71" t="s">
        <v>1728</v>
      </c>
      <c r="C296" s="72" t="s">
        <v>1729</v>
      </c>
      <c r="D296" s="73" t="s">
        <v>32</v>
      </c>
      <c r="E296" s="72" t="s">
        <v>33</v>
      </c>
      <c r="F296" s="84">
        <v>203.75</v>
      </c>
      <c r="G296" s="73" t="s">
        <v>826</v>
      </c>
      <c r="H296" s="75"/>
      <c r="I296" s="75"/>
      <c r="J296" s="75"/>
      <c r="K296" s="75"/>
      <c r="L296" s="75"/>
      <c r="M296" s="75"/>
      <c r="N296" s="75"/>
      <c r="O296" s="75">
        <f>SUM(TABELA24[[#This Row],[T1]:[T7]])</f>
        <v>0</v>
      </c>
      <c r="P296" s="76">
        <f>TABELA24[[#This Row],[QTDE]]*TABELA24[[#This Row],[PREÇO]]</f>
        <v>0</v>
      </c>
    </row>
    <row r="297" spans="1:16" x14ac:dyDescent="0.2">
      <c r="A297" s="70" t="s">
        <v>1731</v>
      </c>
      <c r="B297" s="71" t="s">
        <v>1732</v>
      </c>
      <c r="C297" s="72" t="s">
        <v>1733</v>
      </c>
      <c r="D297" s="73" t="s">
        <v>830</v>
      </c>
      <c r="E297" s="72" t="s">
        <v>43</v>
      </c>
      <c r="F297" s="84">
        <v>245.42</v>
      </c>
      <c r="G297" s="73" t="s">
        <v>826</v>
      </c>
      <c r="H297" s="75"/>
      <c r="I297" s="75"/>
      <c r="J297" s="75"/>
      <c r="K297" s="75"/>
      <c r="L297" s="75"/>
      <c r="M297" s="75"/>
      <c r="N297" s="75"/>
      <c r="O297" s="75">
        <f>SUM(TABELA24[[#This Row],[T1]:[T7]])</f>
        <v>0</v>
      </c>
      <c r="P297" s="76">
        <f>TABELA24[[#This Row],[QTDE]]*TABELA24[[#This Row],[PREÇO]]</f>
        <v>0</v>
      </c>
    </row>
    <row r="298" spans="1:16" x14ac:dyDescent="0.2">
      <c r="A298" s="70" t="s">
        <v>1734</v>
      </c>
      <c r="B298" s="71" t="s">
        <v>1732</v>
      </c>
      <c r="C298" s="72" t="s">
        <v>1733</v>
      </c>
      <c r="D298" s="73" t="s">
        <v>1635</v>
      </c>
      <c r="E298" s="72" t="s">
        <v>1636</v>
      </c>
      <c r="F298" s="84">
        <v>245.42</v>
      </c>
      <c r="G298" s="73" t="s">
        <v>826</v>
      </c>
      <c r="H298" s="75"/>
      <c r="I298" s="75"/>
      <c r="J298" s="75"/>
      <c r="K298" s="75"/>
      <c r="L298" s="75"/>
      <c r="M298" s="75"/>
      <c r="N298" s="75"/>
      <c r="O298" s="75">
        <f>SUM(TABELA24[[#This Row],[T1]:[T7]])</f>
        <v>0</v>
      </c>
      <c r="P298" s="76">
        <f>TABELA24[[#This Row],[QTDE]]*TABELA24[[#This Row],[PREÇO]]</f>
        <v>0</v>
      </c>
    </row>
    <row r="299" spans="1:16" x14ac:dyDescent="0.2">
      <c r="A299" s="70" t="s">
        <v>1737</v>
      </c>
      <c r="B299" s="71" t="s">
        <v>1735</v>
      </c>
      <c r="C299" s="72" t="s">
        <v>1736</v>
      </c>
      <c r="D299" s="73" t="s">
        <v>823</v>
      </c>
      <c r="E299" s="72" t="s">
        <v>820</v>
      </c>
      <c r="F299" s="84">
        <v>291.25</v>
      </c>
      <c r="G299" s="73" t="s">
        <v>828</v>
      </c>
      <c r="H299" s="75"/>
      <c r="I299" s="75"/>
      <c r="J299" s="75"/>
      <c r="K299" s="75"/>
      <c r="L299" s="75"/>
      <c r="M299" s="75"/>
      <c r="N299" s="75"/>
      <c r="O299" s="75">
        <f>SUM(TABELA24[[#This Row],[T1]:[T7]])</f>
        <v>0</v>
      </c>
      <c r="P299" s="76">
        <f>TABELA24[[#This Row],[QTDE]]*TABELA24[[#This Row],[PREÇO]]</f>
        <v>0</v>
      </c>
    </row>
    <row r="300" spans="1:16" x14ac:dyDescent="0.2">
      <c r="A300" s="70" t="s">
        <v>1740</v>
      </c>
      <c r="B300" s="71" t="s">
        <v>1738</v>
      </c>
      <c r="C300" s="72" t="s">
        <v>1739</v>
      </c>
      <c r="D300" s="73" t="s">
        <v>823</v>
      </c>
      <c r="E300" s="72" t="s">
        <v>820</v>
      </c>
      <c r="F300" s="84">
        <v>191.25</v>
      </c>
      <c r="G300" s="73" t="s">
        <v>828</v>
      </c>
      <c r="H300" s="75"/>
      <c r="I300" s="75"/>
      <c r="J300" s="75"/>
      <c r="K300" s="75"/>
      <c r="L300" s="75"/>
      <c r="M300" s="75"/>
      <c r="N300" s="75"/>
      <c r="O300" s="75">
        <f>SUM(TABELA24[[#This Row],[T1]:[T7]])</f>
        <v>0</v>
      </c>
      <c r="P300" s="76">
        <f>TABELA24[[#This Row],[QTDE]]*TABELA24[[#This Row],[PREÇO]]</f>
        <v>0</v>
      </c>
    </row>
    <row r="301" spans="1:16" x14ac:dyDescent="0.2">
      <c r="A301" s="70" t="s">
        <v>1743</v>
      </c>
      <c r="B301" s="71" t="s">
        <v>1741</v>
      </c>
      <c r="C301" s="72" t="s">
        <v>1742</v>
      </c>
      <c r="D301" s="73" t="s">
        <v>32</v>
      </c>
      <c r="E301" s="72" t="s">
        <v>33</v>
      </c>
      <c r="F301" s="84">
        <v>178.75</v>
      </c>
      <c r="G301" s="73" t="s">
        <v>828</v>
      </c>
      <c r="H301" s="75"/>
      <c r="I301" s="75"/>
      <c r="J301" s="75"/>
      <c r="K301" s="75"/>
      <c r="L301" s="75"/>
      <c r="M301" s="75"/>
      <c r="N301" s="75"/>
      <c r="O301" s="75">
        <f>SUM(TABELA24[[#This Row],[T1]:[T7]])</f>
        <v>0</v>
      </c>
      <c r="P301" s="76">
        <f>TABELA24[[#This Row],[QTDE]]*TABELA24[[#This Row],[PREÇO]]</f>
        <v>0</v>
      </c>
    </row>
    <row r="302" spans="1:16" x14ac:dyDescent="0.2">
      <c r="A302" s="70" t="s">
        <v>1744</v>
      </c>
      <c r="B302" s="71" t="s">
        <v>1745</v>
      </c>
      <c r="C302" s="72" t="s">
        <v>1746</v>
      </c>
      <c r="D302" s="73" t="s">
        <v>823</v>
      </c>
      <c r="E302" s="72" t="s">
        <v>820</v>
      </c>
      <c r="F302" s="84">
        <v>282.92</v>
      </c>
      <c r="G302" s="73" t="s">
        <v>826</v>
      </c>
      <c r="H302" s="75"/>
      <c r="I302" s="75"/>
      <c r="J302" s="75"/>
      <c r="K302" s="75"/>
      <c r="L302" s="75"/>
      <c r="M302" s="75"/>
      <c r="N302" s="75"/>
      <c r="O302" s="75">
        <f>SUM(TABELA24[[#This Row],[T1]:[T7]])</f>
        <v>0</v>
      </c>
      <c r="P302" s="76">
        <f>TABELA24[[#This Row],[QTDE]]*TABELA24[[#This Row],[PREÇO]]</f>
        <v>0</v>
      </c>
    </row>
    <row r="303" spans="1:16" x14ac:dyDescent="0.2">
      <c r="A303" s="70" t="s">
        <v>1747</v>
      </c>
      <c r="B303" s="71" t="s">
        <v>1748</v>
      </c>
      <c r="C303" s="72" t="s">
        <v>2314</v>
      </c>
      <c r="D303" s="73" t="s">
        <v>32</v>
      </c>
      <c r="E303" s="72" t="s">
        <v>33</v>
      </c>
      <c r="F303" s="84">
        <v>282.92</v>
      </c>
      <c r="G303" s="73" t="s">
        <v>826</v>
      </c>
      <c r="H303" s="75"/>
      <c r="I303" s="75"/>
      <c r="J303" s="75"/>
      <c r="K303" s="75"/>
      <c r="L303" s="75"/>
      <c r="M303" s="75"/>
      <c r="N303" s="75"/>
      <c r="O303" s="75">
        <f>SUM(TABELA24[[#This Row],[T1]:[T7]])</f>
        <v>0</v>
      </c>
      <c r="P303" s="76">
        <f>TABELA24[[#This Row],[QTDE]]*TABELA24[[#This Row],[PREÇO]]</f>
        <v>0</v>
      </c>
    </row>
    <row r="304" spans="1:16" x14ac:dyDescent="0.2">
      <c r="A304" s="70" t="s">
        <v>1751</v>
      </c>
      <c r="B304" s="71" t="s">
        <v>1749</v>
      </c>
      <c r="C304" s="72" t="s">
        <v>1750</v>
      </c>
      <c r="D304" s="73" t="s">
        <v>1371</v>
      </c>
      <c r="E304" s="72" t="s">
        <v>1373</v>
      </c>
      <c r="F304" s="84">
        <v>457.92</v>
      </c>
      <c r="G304" s="73" t="s">
        <v>826</v>
      </c>
      <c r="H304" s="75"/>
      <c r="I304" s="75"/>
      <c r="J304" s="75"/>
      <c r="K304" s="75"/>
      <c r="L304" s="75"/>
      <c r="M304" s="75"/>
      <c r="N304" s="75"/>
      <c r="O304" s="75">
        <f>SUM(TABELA24[[#This Row],[T1]:[T7]])</f>
        <v>0</v>
      </c>
      <c r="P304" s="76">
        <f>TABELA24[[#This Row],[QTDE]]*TABELA24[[#This Row],[PREÇO]]</f>
        <v>0</v>
      </c>
    </row>
    <row r="305" spans="1:16" x14ac:dyDescent="0.2">
      <c r="A305" s="70" t="s">
        <v>1754</v>
      </c>
      <c r="B305" s="71" t="s">
        <v>1752</v>
      </c>
      <c r="C305" s="72" t="s">
        <v>1753</v>
      </c>
      <c r="D305" s="73" t="s">
        <v>1184</v>
      </c>
      <c r="E305" s="72" t="s">
        <v>1469</v>
      </c>
      <c r="F305" s="84">
        <v>499.58</v>
      </c>
      <c r="G305" s="73" t="s">
        <v>826</v>
      </c>
      <c r="H305" s="75"/>
      <c r="I305" s="75"/>
      <c r="J305" s="75"/>
      <c r="K305" s="75"/>
      <c r="L305" s="75"/>
      <c r="M305" s="75"/>
      <c r="N305" s="75"/>
      <c r="O305" s="75">
        <f>SUM(TABELA24[[#This Row],[T1]:[T7]])</f>
        <v>0</v>
      </c>
      <c r="P305" s="76">
        <f>TABELA24[[#This Row],[QTDE]]*TABELA24[[#This Row],[PREÇO]]</f>
        <v>0</v>
      </c>
    </row>
    <row r="306" spans="1:16" x14ac:dyDescent="0.2">
      <c r="A306" s="70" t="s">
        <v>1755</v>
      </c>
      <c r="B306" s="71" t="s">
        <v>1756</v>
      </c>
      <c r="C306" s="72" t="s">
        <v>1757</v>
      </c>
      <c r="D306" s="73" t="s">
        <v>32</v>
      </c>
      <c r="E306" s="72" t="s">
        <v>33</v>
      </c>
      <c r="F306" s="84">
        <v>95.42</v>
      </c>
      <c r="G306" s="73" t="s">
        <v>826</v>
      </c>
      <c r="H306" s="75"/>
      <c r="I306" s="75"/>
      <c r="J306" s="75"/>
      <c r="K306" s="75"/>
      <c r="L306" s="75"/>
      <c r="M306" s="75"/>
      <c r="N306" s="75"/>
      <c r="O306" s="75">
        <f>SUM(TABELA24[[#This Row],[T1]:[T7]])</f>
        <v>0</v>
      </c>
      <c r="P306" s="76">
        <f>TABELA24[[#This Row],[QTDE]]*TABELA24[[#This Row],[PREÇO]]</f>
        <v>0</v>
      </c>
    </row>
    <row r="307" spans="1:16" x14ac:dyDescent="0.2">
      <c r="A307" s="70" t="s">
        <v>1758</v>
      </c>
      <c r="B307" s="71" t="s">
        <v>1759</v>
      </c>
      <c r="C307" s="72" t="s">
        <v>1760</v>
      </c>
      <c r="D307" s="73" t="s">
        <v>32</v>
      </c>
      <c r="E307" s="72" t="s">
        <v>33</v>
      </c>
      <c r="F307" s="84">
        <v>78.75</v>
      </c>
      <c r="G307" s="73" t="s">
        <v>826</v>
      </c>
      <c r="H307" s="75"/>
      <c r="I307" s="75"/>
      <c r="J307" s="75"/>
      <c r="K307" s="75"/>
      <c r="L307" s="75"/>
      <c r="M307" s="75"/>
      <c r="N307" s="75"/>
      <c r="O307" s="75">
        <f>SUM(TABELA24[[#This Row],[T1]:[T7]])</f>
        <v>0</v>
      </c>
      <c r="P307" s="76">
        <f>TABELA24[[#This Row],[QTDE]]*TABELA24[[#This Row],[PREÇO]]</f>
        <v>0</v>
      </c>
    </row>
    <row r="308" spans="1:16" x14ac:dyDescent="0.2">
      <c r="A308" s="70" t="s">
        <v>1761</v>
      </c>
      <c r="B308" s="71" t="s">
        <v>1762</v>
      </c>
      <c r="C308" s="72" t="s">
        <v>1763</v>
      </c>
      <c r="D308" s="73" t="s">
        <v>561</v>
      </c>
      <c r="E308" s="72" t="s">
        <v>45</v>
      </c>
      <c r="F308" s="84">
        <v>103.75</v>
      </c>
      <c r="G308" s="73" t="s">
        <v>826</v>
      </c>
      <c r="H308" s="75"/>
      <c r="I308" s="75"/>
      <c r="J308" s="75"/>
      <c r="K308" s="75"/>
      <c r="L308" s="75"/>
      <c r="M308" s="75"/>
      <c r="N308" s="75"/>
      <c r="O308" s="75">
        <f>SUM(TABELA24[[#This Row],[T1]:[T7]])</f>
        <v>0</v>
      </c>
      <c r="P308" s="76">
        <f>TABELA24[[#This Row],[QTDE]]*TABELA24[[#This Row],[PREÇO]]</f>
        <v>0</v>
      </c>
    </row>
    <row r="309" spans="1:16" x14ac:dyDescent="0.2">
      <c r="A309" s="70" t="s">
        <v>1764</v>
      </c>
      <c r="B309" s="71" t="s">
        <v>1762</v>
      </c>
      <c r="C309" s="72" t="s">
        <v>1763</v>
      </c>
      <c r="D309" s="73" t="s">
        <v>32</v>
      </c>
      <c r="E309" s="72" t="s">
        <v>33</v>
      </c>
      <c r="F309" s="84">
        <v>103.75</v>
      </c>
      <c r="G309" s="73" t="s">
        <v>826</v>
      </c>
      <c r="H309" s="75"/>
      <c r="I309" s="75"/>
      <c r="J309" s="75"/>
      <c r="K309" s="75"/>
      <c r="L309" s="75"/>
      <c r="M309" s="75"/>
      <c r="N309" s="75"/>
      <c r="O309" s="75">
        <f>SUM(TABELA24[[#This Row],[T1]:[T7]])</f>
        <v>0</v>
      </c>
      <c r="P309" s="76">
        <f>TABELA24[[#This Row],[QTDE]]*TABELA24[[#This Row],[PREÇO]]</f>
        <v>0</v>
      </c>
    </row>
    <row r="310" spans="1:16" x14ac:dyDescent="0.2">
      <c r="A310" s="70" t="s">
        <v>1767</v>
      </c>
      <c r="B310" s="71" t="s">
        <v>1765</v>
      </c>
      <c r="C310" s="72" t="s">
        <v>1766</v>
      </c>
      <c r="D310" s="73" t="s">
        <v>1384</v>
      </c>
      <c r="E310" s="72" t="s">
        <v>1386</v>
      </c>
      <c r="F310" s="84">
        <v>95.42</v>
      </c>
      <c r="G310" s="73" t="s">
        <v>829</v>
      </c>
      <c r="H310" s="75"/>
      <c r="I310" s="75"/>
      <c r="J310" s="75"/>
      <c r="K310" s="75"/>
      <c r="L310" s="75"/>
      <c r="M310" s="75"/>
      <c r="N310" s="75"/>
      <c r="O310" s="75">
        <f>SUM(TABELA24[[#This Row],[T1]:[T7]])</f>
        <v>0</v>
      </c>
      <c r="P310" s="76">
        <f>TABELA24[[#This Row],[QTDE]]*TABELA24[[#This Row],[PREÇO]]</f>
        <v>0</v>
      </c>
    </row>
    <row r="311" spans="1:16" x14ac:dyDescent="0.2">
      <c r="A311" s="70" t="s">
        <v>1770</v>
      </c>
      <c r="B311" s="71" t="s">
        <v>1768</v>
      </c>
      <c r="C311" s="72" t="s">
        <v>1769</v>
      </c>
      <c r="D311" s="73" t="s">
        <v>929</v>
      </c>
      <c r="E311" s="72" t="s">
        <v>931</v>
      </c>
      <c r="F311" s="84">
        <v>78.75</v>
      </c>
      <c r="G311" s="73" t="s">
        <v>829</v>
      </c>
      <c r="H311" s="75"/>
      <c r="I311" s="75"/>
      <c r="J311" s="75"/>
      <c r="K311" s="75"/>
      <c r="L311" s="75"/>
      <c r="M311" s="75"/>
      <c r="N311" s="75"/>
      <c r="O311" s="75">
        <f>SUM(TABELA24[[#This Row],[T1]:[T7]])</f>
        <v>0</v>
      </c>
      <c r="P311" s="76">
        <f>TABELA24[[#This Row],[QTDE]]*TABELA24[[#This Row],[PREÇO]]</f>
        <v>0</v>
      </c>
    </row>
    <row r="312" spans="1:16" x14ac:dyDescent="0.2">
      <c r="A312" s="70" t="s">
        <v>1771</v>
      </c>
      <c r="B312" s="71" t="s">
        <v>1768</v>
      </c>
      <c r="C312" s="72" t="s">
        <v>1769</v>
      </c>
      <c r="D312" s="73" t="s">
        <v>1164</v>
      </c>
      <c r="E312" s="72" t="s">
        <v>1166</v>
      </c>
      <c r="F312" s="84">
        <v>78.75</v>
      </c>
      <c r="G312" s="73" t="s">
        <v>829</v>
      </c>
      <c r="H312" s="75"/>
      <c r="I312" s="75"/>
      <c r="J312" s="75"/>
      <c r="K312" s="75"/>
      <c r="L312" s="75"/>
      <c r="M312" s="75"/>
      <c r="N312" s="75"/>
      <c r="O312" s="75">
        <f>SUM(TABELA24[[#This Row],[T1]:[T7]])</f>
        <v>0</v>
      </c>
      <c r="P312" s="76">
        <f>TABELA24[[#This Row],[QTDE]]*TABELA24[[#This Row],[PREÇO]]</f>
        <v>0</v>
      </c>
    </row>
    <row r="313" spans="1:16" x14ac:dyDescent="0.2">
      <c r="A313" s="70" t="s">
        <v>1774</v>
      </c>
      <c r="B313" s="71" t="s">
        <v>1772</v>
      </c>
      <c r="C313" s="72" t="s">
        <v>1773</v>
      </c>
      <c r="D313" s="73" t="s">
        <v>32</v>
      </c>
      <c r="E313" s="72" t="s">
        <v>33</v>
      </c>
      <c r="F313" s="84">
        <v>99.58</v>
      </c>
      <c r="G313" s="73" t="s">
        <v>829</v>
      </c>
      <c r="H313" s="75"/>
      <c r="I313" s="75"/>
      <c r="J313" s="75"/>
      <c r="K313" s="75"/>
      <c r="L313" s="75"/>
      <c r="M313" s="75"/>
      <c r="N313" s="75"/>
      <c r="O313" s="75">
        <f>SUM(TABELA24[[#This Row],[T1]:[T7]])</f>
        <v>0</v>
      </c>
      <c r="P313" s="76">
        <f>TABELA24[[#This Row],[QTDE]]*TABELA24[[#This Row],[PREÇO]]</f>
        <v>0</v>
      </c>
    </row>
    <row r="314" spans="1:16" x14ac:dyDescent="0.2">
      <c r="A314" s="70" t="s">
        <v>1777</v>
      </c>
      <c r="B314" s="71" t="s">
        <v>1775</v>
      </c>
      <c r="C314" s="72" t="s">
        <v>1776</v>
      </c>
      <c r="D314" s="73" t="s">
        <v>1474</v>
      </c>
      <c r="E314" s="72" t="s">
        <v>1475</v>
      </c>
      <c r="F314" s="84">
        <v>95.42</v>
      </c>
      <c r="G314" s="73" t="s">
        <v>829</v>
      </c>
      <c r="H314" s="75"/>
      <c r="I314" s="75"/>
      <c r="J314" s="75"/>
      <c r="K314" s="75"/>
      <c r="L314" s="75"/>
      <c r="M314" s="75"/>
      <c r="N314" s="75"/>
      <c r="O314" s="75">
        <f>SUM(TABELA24[[#This Row],[T1]:[T7]])</f>
        <v>0</v>
      </c>
      <c r="P314" s="76">
        <f>TABELA24[[#This Row],[QTDE]]*TABELA24[[#This Row],[PREÇO]]</f>
        <v>0</v>
      </c>
    </row>
    <row r="315" spans="1:16" x14ac:dyDescent="0.2">
      <c r="A315" s="70" t="s">
        <v>1780</v>
      </c>
      <c r="B315" s="71" t="s">
        <v>1778</v>
      </c>
      <c r="C315" s="72" t="s">
        <v>1779</v>
      </c>
      <c r="D315" s="73" t="s">
        <v>1133</v>
      </c>
      <c r="E315" s="72" t="s">
        <v>1134</v>
      </c>
      <c r="F315" s="84">
        <v>99.58</v>
      </c>
      <c r="G315" s="73" t="s">
        <v>829</v>
      </c>
      <c r="H315" s="75"/>
      <c r="I315" s="75"/>
      <c r="J315" s="75"/>
      <c r="K315" s="75"/>
      <c r="L315" s="75"/>
      <c r="M315" s="75"/>
      <c r="N315" s="75"/>
      <c r="O315" s="75">
        <f>SUM(TABELA24[[#This Row],[T1]:[T7]])</f>
        <v>0</v>
      </c>
      <c r="P315" s="76">
        <f>TABELA24[[#This Row],[QTDE]]*TABELA24[[#This Row],[PREÇO]]</f>
        <v>0</v>
      </c>
    </row>
    <row r="316" spans="1:16" x14ac:dyDescent="0.2">
      <c r="A316" s="70" t="s">
        <v>1781</v>
      </c>
      <c r="B316" s="71" t="s">
        <v>1778</v>
      </c>
      <c r="C316" s="72" t="s">
        <v>1779</v>
      </c>
      <c r="D316" s="73" t="s">
        <v>914</v>
      </c>
      <c r="E316" s="72" t="s">
        <v>915</v>
      </c>
      <c r="F316" s="84">
        <v>99.58</v>
      </c>
      <c r="G316" s="73" t="s">
        <v>826</v>
      </c>
      <c r="H316" s="75"/>
      <c r="I316" s="75"/>
      <c r="J316" s="75"/>
      <c r="K316" s="75"/>
      <c r="L316" s="75"/>
      <c r="M316" s="75"/>
      <c r="N316" s="75"/>
      <c r="O316" s="75">
        <f>SUM(TABELA24[[#This Row],[T1]:[T7]])</f>
        <v>0</v>
      </c>
      <c r="P316" s="76">
        <f>TABELA24[[#This Row],[QTDE]]*TABELA24[[#This Row],[PREÇO]]</f>
        <v>0</v>
      </c>
    </row>
    <row r="317" spans="1:16" x14ac:dyDescent="0.2">
      <c r="A317" s="70" t="s">
        <v>1786</v>
      </c>
      <c r="B317" s="71" t="s">
        <v>1782</v>
      </c>
      <c r="C317" s="72" t="s">
        <v>1784</v>
      </c>
      <c r="D317" s="73" t="s">
        <v>1783</v>
      </c>
      <c r="E317" s="72" t="s">
        <v>1785</v>
      </c>
      <c r="F317" s="84">
        <v>124.58</v>
      </c>
      <c r="G317" s="73" t="s">
        <v>829</v>
      </c>
      <c r="H317" s="75"/>
      <c r="I317" s="75"/>
      <c r="J317" s="75"/>
      <c r="K317" s="75"/>
      <c r="L317" s="75"/>
      <c r="M317" s="75"/>
      <c r="N317" s="75"/>
      <c r="O317" s="75">
        <f>SUM(TABELA24[[#This Row],[T1]:[T7]])</f>
        <v>0</v>
      </c>
      <c r="P317" s="76">
        <f>TABELA24[[#This Row],[QTDE]]*TABELA24[[#This Row],[PREÇO]]</f>
        <v>0</v>
      </c>
    </row>
    <row r="318" spans="1:16" x14ac:dyDescent="0.2">
      <c r="A318" s="70" t="s">
        <v>1789</v>
      </c>
      <c r="B318" s="71" t="s">
        <v>1787</v>
      </c>
      <c r="C318" s="72" t="s">
        <v>1788</v>
      </c>
      <c r="D318" s="73" t="s">
        <v>1384</v>
      </c>
      <c r="E318" s="72" t="s">
        <v>1386</v>
      </c>
      <c r="F318" s="84">
        <v>95.42</v>
      </c>
      <c r="G318" s="73" t="s">
        <v>829</v>
      </c>
      <c r="H318" s="75"/>
      <c r="I318" s="75"/>
      <c r="J318" s="75"/>
      <c r="K318" s="75"/>
      <c r="L318" s="75"/>
      <c r="M318" s="75"/>
      <c r="N318" s="75"/>
      <c r="O318" s="75">
        <f>SUM(TABELA24[[#This Row],[T1]:[T7]])</f>
        <v>0</v>
      </c>
      <c r="P318" s="76">
        <f>TABELA24[[#This Row],[QTDE]]*TABELA24[[#This Row],[PREÇO]]</f>
        <v>0</v>
      </c>
    </row>
    <row r="319" spans="1:16" x14ac:dyDescent="0.2">
      <c r="A319" s="70" t="s">
        <v>1792</v>
      </c>
      <c r="B319" s="71" t="s">
        <v>1790</v>
      </c>
      <c r="C319" s="72" t="s">
        <v>1791</v>
      </c>
      <c r="D319" s="73" t="s">
        <v>32</v>
      </c>
      <c r="E319" s="72" t="s">
        <v>33</v>
      </c>
      <c r="F319" s="84">
        <v>178.75</v>
      </c>
      <c r="G319" s="73" t="s">
        <v>829</v>
      </c>
      <c r="H319" s="75"/>
      <c r="I319" s="75"/>
      <c r="J319" s="75"/>
      <c r="K319" s="75"/>
      <c r="L319" s="75"/>
      <c r="M319" s="75"/>
      <c r="N319" s="75"/>
      <c r="O319" s="75">
        <f>SUM(TABELA24[[#This Row],[T1]:[T7]])</f>
        <v>0</v>
      </c>
      <c r="P319" s="76">
        <f>TABELA24[[#This Row],[QTDE]]*TABELA24[[#This Row],[PREÇO]]</f>
        <v>0</v>
      </c>
    </row>
    <row r="320" spans="1:16" x14ac:dyDescent="0.2">
      <c r="A320" s="70" t="s">
        <v>1794</v>
      </c>
      <c r="B320" s="71" t="s">
        <v>1793</v>
      </c>
      <c r="C320" s="72" t="s">
        <v>1769</v>
      </c>
      <c r="D320" s="73" t="s">
        <v>32</v>
      </c>
      <c r="E320" s="72" t="s">
        <v>33</v>
      </c>
      <c r="F320" s="84">
        <v>82.92</v>
      </c>
      <c r="G320" s="73" t="s">
        <v>829</v>
      </c>
      <c r="H320" s="75"/>
      <c r="I320" s="75"/>
      <c r="J320" s="75"/>
      <c r="K320" s="75"/>
      <c r="L320" s="75"/>
      <c r="M320" s="75"/>
      <c r="N320" s="75"/>
      <c r="O320" s="75">
        <f>SUM(TABELA24[[#This Row],[T1]:[T7]])</f>
        <v>0</v>
      </c>
      <c r="P320" s="76">
        <f>TABELA24[[#This Row],[QTDE]]*TABELA24[[#This Row],[PREÇO]]</f>
        <v>0</v>
      </c>
    </row>
    <row r="321" spans="1:16" x14ac:dyDescent="0.2">
      <c r="A321" s="70" t="s">
        <v>1797</v>
      </c>
      <c r="B321" s="71" t="s">
        <v>1795</v>
      </c>
      <c r="C321" s="72" t="s">
        <v>1796</v>
      </c>
      <c r="D321" s="73" t="s">
        <v>32</v>
      </c>
      <c r="E321" s="72" t="s">
        <v>33</v>
      </c>
      <c r="F321" s="84">
        <v>99.58</v>
      </c>
      <c r="G321" s="73" t="s">
        <v>829</v>
      </c>
      <c r="H321" s="75"/>
      <c r="I321" s="75"/>
      <c r="J321" s="75"/>
      <c r="K321" s="75"/>
      <c r="L321" s="75"/>
      <c r="M321" s="75"/>
      <c r="N321" s="75"/>
      <c r="O321" s="75">
        <f>SUM(TABELA24[[#This Row],[T1]:[T7]])</f>
        <v>0</v>
      </c>
      <c r="P321" s="76">
        <f>TABELA24[[#This Row],[QTDE]]*TABELA24[[#This Row],[PREÇO]]</f>
        <v>0</v>
      </c>
    </row>
    <row r="322" spans="1:16" x14ac:dyDescent="0.2">
      <c r="A322" s="70" t="s">
        <v>1798</v>
      </c>
      <c r="B322" s="71" t="s">
        <v>1795</v>
      </c>
      <c r="C322" s="72" t="s">
        <v>1796</v>
      </c>
      <c r="D322" s="73" t="s">
        <v>924</v>
      </c>
      <c r="E322" s="72" t="s">
        <v>926</v>
      </c>
      <c r="F322" s="84">
        <v>99.58</v>
      </c>
      <c r="G322" s="73" t="s">
        <v>829</v>
      </c>
      <c r="H322" s="75"/>
      <c r="I322" s="75"/>
      <c r="J322" s="75"/>
      <c r="K322" s="75"/>
      <c r="L322" s="75"/>
      <c r="M322" s="75"/>
      <c r="N322" s="75"/>
      <c r="O322" s="75">
        <f>SUM(TABELA24[[#This Row],[T1]:[T7]])</f>
        <v>0</v>
      </c>
      <c r="P322" s="76">
        <f>TABELA24[[#This Row],[QTDE]]*TABELA24[[#This Row],[PREÇO]]</f>
        <v>0</v>
      </c>
    </row>
    <row r="323" spans="1:16" x14ac:dyDescent="0.2">
      <c r="A323" s="70" t="s">
        <v>1803</v>
      </c>
      <c r="B323" s="71" t="s">
        <v>1799</v>
      </c>
      <c r="C323" s="72" t="s">
        <v>1801</v>
      </c>
      <c r="D323" s="73" t="s">
        <v>1800</v>
      </c>
      <c r="E323" s="72" t="s">
        <v>1802</v>
      </c>
      <c r="F323" s="84">
        <v>112.08</v>
      </c>
      <c r="G323" s="73" t="s">
        <v>829</v>
      </c>
      <c r="H323" s="75"/>
      <c r="I323" s="75"/>
      <c r="J323" s="75"/>
      <c r="K323" s="75"/>
      <c r="L323" s="75"/>
      <c r="M323" s="75"/>
      <c r="N323" s="75"/>
      <c r="O323" s="75">
        <f>SUM(TABELA24[[#This Row],[T1]:[T7]])</f>
        <v>0</v>
      </c>
      <c r="P323" s="76">
        <f>TABELA24[[#This Row],[QTDE]]*TABELA24[[#This Row],[PREÇO]]</f>
        <v>0</v>
      </c>
    </row>
    <row r="324" spans="1:16" x14ac:dyDescent="0.2">
      <c r="A324" s="70" t="s">
        <v>1808</v>
      </c>
      <c r="B324" s="71" t="s">
        <v>1804</v>
      </c>
      <c r="C324" s="72" t="s">
        <v>1806</v>
      </c>
      <c r="D324" s="73" t="s">
        <v>1805</v>
      </c>
      <c r="E324" s="72" t="s">
        <v>1807</v>
      </c>
      <c r="F324" s="84">
        <v>82.92</v>
      </c>
      <c r="G324" s="73" t="s">
        <v>2319</v>
      </c>
      <c r="H324" s="75"/>
      <c r="I324" s="75"/>
      <c r="J324" s="75"/>
      <c r="K324" s="75"/>
      <c r="L324" s="75"/>
      <c r="M324" s="75"/>
      <c r="N324" s="75"/>
      <c r="O324" s="75">
        <f>SUM(TABELA24[[#This Row],[T1]:[T7]])</f>
        <v>0</v>
      </c>
      <c r="P324" s="76">
        <f>TABELA24[[#This Row],[QTDE]]*TABELA24[[#This Row],[PREÇO]]</f>
        <v>0</v>
      </c>
    </row>
    <row r="325" spans="1:16" x14ac:dyDescent="0.2">
      <c r="A325" s="70" t="s">
        <v>1811</v>
      </c>
      <c r="B325" s="71" t="s">
        <v>1809</v>
      </c>
      <c r="C325" s="72" t="s">
        <v>1810</v>
      </c>
      <c r="D325" s="73" t="s">
        <v>1783</v>
      </c>
      <c r="E325" s="72" t="s">
        <v>1785</v>
      </c>
      <c r="F325" s="84">
        <v>95.42</v>
      </c>
      <c r="G325" s="73" t="s">
        <v>2319</v>
      </c>
      <c r="H325" s="75"/>
      <c r="I325" s="75"/>
      <c r="J325" s="75"/>
      <c r="K325" s="75"/>
      <c r="L325" s="75"/>
      <c r="M325" s="75"/>
      <c r="N325" s="75"/>
      <c r="O325" s="75">
        <f>SUM(TABELA24[[#This Row],[T1]:[T7]])</f>
        <v>0</v>
      </c>
      <c r="P325" s="76">
        <f>TABELA24[[#This Row],[QTDE]]*TABELA24[[#This Row],[PREÇO]]</f>
        <v>0</v>
      </c>
    </row>
    <row r="326" spans="1:16" x14ac:dyDescent="0.2">
      <c r="A326" s="70" t="s">
        <v>1814</v>
      </c>
      <c r="B326" s="71" t="s">
        <v>1812</v>
      </c>
      <c r="C326" s="72" t="s">
        <v>1813</v>
      </c>
      <c r="D326" s="73" t="s">
        <v>1384</v>
      </c>
      <c r="E326" s="72" t="s">
        <v>1386</v>
      </c>
      <c r="F326" s="84">
        <v>149.58000000000001</v>
      </c>
      <c r="G326" s="73" t="s">
        <v>829</v>
      </c>
      <c r="H326" s="75"/>
      <c r="I326" s="75"/>
      <c r="J326" s="75"/>
      <c r="K326" s="75"/>
      <c r="L326" s="75"/>
      <c r="M326" s="75"/>
      <c r="N326" s="75"/>
      <c r="O326" s="75">
        <f>SUM(TABELA24[[#This Row],[T1]:[T7]])</f>
        <v>0</v>
      </c>
      <c r="P326" s="76">
        <f>TABELA24[[#This Row],[QTDE]]*TABELA24[[#This Row],[PREÇO]]</f>
        <v>0</v>
      </c>
    </row>
    <row r="327" spans="1:16" x14ac:dyDescent="0.2">
      <c r="A327" s="70" t="s">
        <v>1817</v>
      </c>
      <c r="B327" s="71" t="s">
        <v>1815</v>
      </c>
      <c r="C327" s="72" t="s">
        <v>1816</v>
      </c>
      <c r="D327" s="73" t="s">
        <v>32</v>
      </c>
      <c r="E327" s="72" t="s">
        <v>33</v>
      </c>
      <c r="F327" s="84">
        <v>124.58</v>
      </c>
      <c r="G327" s="73" t="s">
        <v>826</v>
      </c>
      <c r="H327" s="75"/>
      <c r="I327" s="75"/>
      <c r="J327" s="75"/>
      <c r="K327" s="75"/>
      <c r="L327" s="75"/>
      <c r="M327" s="75"/>
      <c r="N327" s="75"/>
      <c r="O327" s="75">
        <f>SUM(TABELA24[[#This Row],[T1]:[T7]])</f>
        <v>0</v>
      </c>
      <c r="P327" s="76">
        <f>TABELA24[[#This Row],[QTDE]]*TABELA24[[#This Row],[PREÇO]]</f>
        <v>0</v>
      </c>
    </row>
    <row r="328" spans="1:16" x14ac:dyDescent="0.2">
      <c r="A328" s="70" t="s">
        <v>1822</v>
      </c>
      <c r="B328" s="71" t="s">
        <v>1818</v>
      </c>
      <c r="C328" s="72" t="s">
        <v>1819</v>
      </c>
      <c r="D328" s="73" t="s">
        <v>914</v>
      </c>
      <c r="E328" s="72" t="s">
        <v>915</v>
      </c>
      <c r="F328" s="84">
        <v>132.91999999999999</v>
      </c>
      <c r="G328" s="73" t="s">
        <v>829</v>
      </c>
      <c r="H328" s="75"/>
      <c r="I328" s="75"/>
      <c r="J328" s="75"/>
      <c r="K328" s="75"/>
      <c r="L328" s="75"/>
      <c r="M328" s="75"/>
      <c r="N328" s="75"/>
      <c r="O328" s="75">
        <f>SUM(TABELA24[[#This Row],[T1]:[T7]])</f>
        <v>0</v>
      </c>
      <c r="P328" s="76">
        <f>TABELA24[[#This Row],[QTDE]]*TABELA24[[#This Row],[PREÇO]]</f>
        <v>0</v>
      </c>
    </row>
    <row r="329" spans="1:16" x14ac:dyDescent="0.2">
      <c r="A329" s="70" t="s">
        <v>1820</v>
      </c>
      <c r="B329" s="71" t="s">
        <v>1818</v>
      </c>
      <c r="C329" s="72" t="s">
        <v>1819</v>
      </c>
      <c r="D329" s="73" t="s">
        <v>830</v>
      </c>
      <c r="E329" s="72" t="s">
        <v>43</v>
      </c>
      <c r="F329" s="84">
        <v>132.91999999999999</v>
      </c>
      <c r="G329" s="73" t="s">
        <v>829</v>
      </c>
      <c r="H329" s="75"/>
      <c r="I329" s="75"/>
      <c r="J329" s="75"/>
      <c r="K329" s="75"/>
      <c r="L329" s="75"/>
      <c r="M329" s="75"/>
      <c r="N329" s="75"/>
      <c r="O329" s="75">
        <f>SUM(TABELA24[[#This Row],[T1]:[T7]])</f>
        <v>0</v>
      </c>
      <c r="P329" s="76">
        <f>TABELA24[[#This Row],[QTDE]]*TABELA24[[#This Row],[PREÇO]]</f>
        <v>0</v>
      </c>
    </row>
    <row r="330" spans="1:16" x14ac:dyDescent="0.2">
      <c r="A330" s="70" t="s">
        <v>1821</v>
      </c>
      <c r="B330" s="71" t="s">
        <v>1818</v>
      </c>
      <c r="C330" s="72" t="s">
        <v>1819</v>
      </c>
      <c r="D330" s="73" t="s">
        <v>1474</v>
      </c>
      <c r="E330" s="72" t="s">
        <v>1475</v>
      </c>
      <c r="F330" s="84">
        <v>132.91999999999999</v>
      </c>
      <c r="G330" s="73" t="s">
        <v>829</v>
      </c>
      <c r="H330" s="73"/>
      <c r="I330" s="73"/>
      <c r="J330" s="73"/>
      <c r="K330" s="73"/>
      <c r="L330" s="73"/>
      <c r="M330" s="73"/>
      <c r="N330" s="73"/>
      <c r="O330" s="75">
        <f>SUM(TABELA24[[#This Row],[T1]:[T7]])</f>
        <v>0</v>
      </c>
      <c r="P330" s="76">
        <f>TABELA24[[#This Row],[QTDE]]*TABELA24[[#This Row],[PREÇO]]</f>
        <v>0</v>
      </c>
    </row>
    <row r="331" spans="1:16" x14ac:dyDescent="0.2">
      <c r="A331" s="70" t="s">
        <v>1823</v>
      </c>
      <c r="B331" s="71" t="s">
        <v>1824</v>
      </c>
      <c r="C331" s="72" t="s">
        <v>1825</v>
      </c>
      <c r="D331" s="73" t="s">
        <v>882</v>
      </c>
      <c r="E331" s="72" t="s">
        <v>817</v>
      </c>
      <c r="F331" s="84">
        <v>120.42</v>
      </c>
      <c r="G331" s="73" t="s">
        <v>826</v>
      </c>
      <c r="H331" s="73"/>
      <c r="I331" s="73"/>
      <c r="J331" s="73"/>
      <c r="K331" s="73"/>
      <c r="L331" s="73"/>
      <c r="M331" s="73"/>
      <c r="N331" s="73"/>
      <c r="O331" s="75">
        <f>SUM(TABELA24[[#This Row],[T1]:[T7]])</f>
        <v>0</v>
      </c>
      <c r="P331" s="76">
        <f>TABELA24[[#This Row],[QTDE]]*TABELA24[[#This Row],[PREÇO]]</f>
        <v>0</v>
      </c>
    </row>
    <row r="332" spans="1:16" x14ac:dyDescent="0.2">
      <c r="A332" s="70" t="s">
        <v>1828</v>
      </c>
      <c r="B332" s="71" t="s">
        <v>1826</v>
      </c>
      <c r="C332" s="72" t="s">
        <v>1827</v>
      </c>
      <c r="D332" s="73" t="s">
        <v>1474</v>
      </c>
      <c r="E332" s="72" t="s">
        <v>1475</v>
      </c>
      <c r="F332" s="84">
        <v>78.75</v>
      </c>
      <c r="G332" s="73" t="s">
        <v>2319</v>
      </c>
      <c r="H332" s="73"/>
      <c r="I332" s="73"/>
      <c r="J332" s="73"/>
      <c r="K332" s="73"/>
      <c r="L332" s="73"/>
      <c r="M332" s="73"/>
      <c r="N332" s="73"/>
      <c r="O332" s="75">
        <f>SUM(TABELA24[[#This Row],[T1]:[T7]])</f>
        <v>0</v>
      </c>
      <c r="P332" s="76">
        <f>TABELA24[[#This Row],[QTDE]]*TABELA24[[#This Row],[PREÇO]]</f>
        <v>0</v>
      </c>
    </row>
    <row r="333" spans="1:16" x14ac:dyDescent="0.2">
      <c r="A333" s="70" t="s">
        <v>1829</v>
      </c>
      <c r="B333" s="71" t="s">
        <v>1830</v>
      </c>
      <c r="C333" s="72" t="s">
        <v>1831</v>
      </c>
      <c r="D333" s="73" t="s">
        <v>32</v>
      </c>
      <c r="E333" s="72" t="s">
        <v>33</v>
      </c>
      <c r="F333" s="84">
        <v>149.58000000000001</v>
      </c>
      <c r="G333" s="73" t="s">
        <v>826</v>
      </c>
      <c r="H333" s="73"/>
      <c r="I333" s="73"/>
      <c r="J333" s="73"/>
      <c r="K333" s="73"/>
      <c r="L333" s="73"/>
      <c r="M333" s="73"/>
      <c r="N333" s="73"/>
      <c r="O333" s="75">
        <f>SUM(TABELA24[[#This Row],[T1]:[T7]])</f>
        <v>0</v>
      </c>
      <c r="P333" s="76">
        <f>TABELA24[[#This Row],[QTDE]]*TABELA24[[#This Row],[PREÇO]]</f>
        <v>0</v>
      </c>
    </row>
    <row r="334" spans="1:16" x14ac:dyDescent="0.2">
      <c r="A334" s="70" t="s">
        <v>1832</v>
      </c>
      <c r="B334" s="71" t="s">
        <v>1833</v>
      </c>
      <c r="C334" s="72" t="s">
        <v>1834</v>
      </c>
      <c r="D334" s="73" t="s">
        <v>882</v>
      </c>
      <c r="E334" s="72" t="s">
        <v>817</v>
      </c>
      <c r="F334" s="84">
        <v>157.91999999999999</v>
      </c>
      <c r="G334" s="73" t="s">
        <v>826</v>
      </c>
      <c r="H334" s="73"/>
      <c r="I334" s="73"/>
      <c r="J334" s="73"/>
      <c r="K334" s="73"/>
      <c r="L334" s="73"/>
      <c r="M334" s="73"/>
      <c r="N334" s="73"/>
      <c r="O334" s="75">
        <f>SUM(TABELA24[[#This Row],[T1]:[T7]])</f>
        <v>0</v>
      </c>
      <c r="P334" s="76">
        <f>TABELA24[[#This Row],[QTDE]]*TABELA24[[#This Row],[PREÇO]]</f>
        <v>0</v>
      </c>
    </row>
    <row r="335" spans="1:16" x14ac:dyDescent="0.2">
      <c r="A335" s="70" t="s">
        <v>1839</v>
      </c>
      <c r="B335" s="71" t="s">
        <v>1835</v>
      </c>
      <c r="C335" s="72" t="s">
        <v>1837</v>
      </c>
      <c r="D335" s="73" t="s">
        <v>1836</v>
      </c>
      <c r="E335" s="72" t="s">
        <v>1838</v>
      </c>
      <c r="F335" s="84">
        <v>95.42</v>
      </c>
      <c r="G335" s="73" t="s">
        <v>2319</v>
      </c>
      <c r="H335" s="73"/>
      <c r="I335" s="73"/>
      <c r="J335" s="73"/>
      <c r="K335" s="73"/>
      <c r="L335" s="73"/>
      <c r="M335" s="73"/>
      <c r="N335" s="73"/>
      <c r="O335" s="75">
        <f>SUM(TABELA24[[#This Row],[T1]:[T7]])</f>
        <v>0</v>
      </c>
      <c r="P335" s="76">
        <f>TABELA24[[#This Row],[QTDE]]*TABELA24[[#This Row],[PREÇO]]</f>
        <v>0</v>
      </c>
    </row>
    <row r="336" spans="1:16" x14ac:dyDescent="0.2">
      <c r="A336" s="70" t="s">
        <v>1842</v>
      </c>
      <c r="B336" s="71" t="s">
        <v>1840</v>
      </c>
      <c r="C336" s="72" t="s">
        <v>1841</v>
      </c>
      <c r="D336" s="73" t="s">
        <v>1384</v>
      </c>
      <c r="E336" s="72" t="s">
        <v>1386</v>
      </c>
      <c r="F336" s="84">
        <v>145.41999999999999</v>
      </c>
      <c r="G336" s="73" t="s">
        <v>826</v>
      </c>
      <c r="H336" s="73"/>
      <c r="I336" s="73"/>
      <c r="J336" s="73"/>
      <c r="K336" s="73"/>
      <c r="L336" s="73"/>
      <c r="M336" s="73"/>
      <c r="N336" s="73"/>
      <c r="O336" s="75">
        <f>SUM(TABELA24[[#This Row],[T1]:[T7]])</f>
        <v>0</v>
      </c>
      <c r="P336" s="76">
        <f>TABELA24[[#This Row],[QTDE]]*TABELA24[[#This Row],[PREÇO]]</f>
        <v>0</v>
      </c>
    </row>
    <row r="337" spans="1:16" x14ac:dyDescent="0.2">
      <c r="A337" s="70" t="s">
        <v>1845</v>
      </c>
      <c r="B337" s="71" t="s">
        <v>1843</v>
      </c>
      <c r="C337" s="72" t="s">
        <v>1844</v>
      </c>
      <c r="D337" s="73" t="s">
        <v>914</v>
      </c>
      <c r="E337" s="72" t="s">
        <v>915</v>
      </c>
      <c r="F337" s="84">
        <v>141.25</v>
      </c>
      <c r="G337" s="73" t="s">
        <v>829</v>
      </c>
      <c r="H337" s="73"/>
      <c r="I337" s="73"/>
      <c r="J337" s="73"/>
      <c r="K337" s="73"/>
      <c r="L337" s="73"/>
      <c r="M337" s="73"/>
      <c r="N337" s="73"/>
      <c r="O337" s="75">
        <f>SUM(TABELA24[[#This Row],[T1]:[T7]])</f>
        <v>0</v>
      </c>
      <c r="P337" s="76">
        <f>TABELA24[[#This Row],[QTDE]]*TABELA24[[#This Row],[PREÇO]]</f>
        <v>0</v>
      </c>
    </row>
    <row r="338" spans="1:16" x14ac:dyDescent="0.2">
      <c r="A338" s="70" t="s">
        <v>1847</v>
      </c>
      <c r="B338" s="71" t="s">
        <v>1846</v>
      </c>
      <c r="C338" s="72" t="s">
        <v>1827</v>
      </c>
      <c r="D338" s="73" t="s">
        <v>898</v>
      </c>
      <c r="E338" s="72" t="s">
        <v>900</v>
      </c>
      <c r="F338" s="84">
        <v>78.75</v>
      </c>
      <c r="G338" s="73" t="s">
        <v>2319</v>
      </c>
      <c r="H338" s="73"/>
      <c r="I338" s="73"/>
      <c r="J338" s="73"/>
      <c r="K338" s="73"/>
      <c r="L338" s="73"/>
      <c r="M338" s="73"/>
      <c r="N338" s="73"/>
      <c r="O338" s="75">
        <f>SUM(TABELA24[[#This Row],[T1]:[T7]])</f>
        <v>0</v>
      </c>
      <c r="P338" s="76">
        <f>TABELA24[[#This Row],[QTDE]]*TABELA24[[#This Row],[PREÇO]]</f>
        <v>0</v>
      </c>
    </row>
    <row r="339" spans="1:16" x14ac:dyDescent="0.2">
      <c r="A339" s="70" t="s">
        <v>1850</v>
      </c>
      <c r="B339" s="71" t="s">
        <v>1848</v>
      </c>
      <c r="C339" s="72" t="s">
        <v>1849</v>
      </c>
      <c r="D339" s="73" t="s">
        <v>1836</v>
      </c>
      <c r="E339" s="72" t="s">
        <v>1838</v>
      </c>
      <c r="F339" s="84">
        <v>91.25</v>
      </c>
      <c r="G339" s="73" t="s">
        <v>2319</v>
      </c>
      <c r="H339" s="73"/>
      <c r="I339" s="73"/>
      <c r="J339" s="73"/>
      <c r="K339" s="73"/>
      <c r="L339" s="73"/>
      <c r="M339" s="73"/>
      <c r="N339" s="73"/>
      <c r="O339" s="75">
        <f>SUM(TABELA24[[#This Row],[T1]:[T7]])</f>
        <v>0</v>
      </c>
      <c r="P339" s="76">
        <f>TABELA24[[#This Row],[QTDE]]*TABELA24[[#This Row],[PREÇO]]</f>
        <v>0</v>
      </c>
    </row>
    <row r="340" spans="1:16" x14ac:dyDescent="0.2">
      <c r="A340" s="70" t="s">
        <v>1851</v>
      </c>
      <c r="B340" s="71" t="s">
        <v>1852</v>
      </c>
      <c r="C340" s="72" t="s">
        <v>1853</v>
      </c>
      <c r="D340" s="73" t="s">
        <v>32</v>
      </c>
      <c r="E340" s="72" t="s">
        <v>33</v>
      </c>
      <c r="F340" s="84">
        <v>53.75</v>
      </c>
      <c r="G340" s="73" t="s">
        <v>826</v>
      </c>
      <c r="H340" s="73"/>
      <c r="I340" s="73"/>
      <c r="J340" s="73"/>
      <c r="K340" s="73"/>
      <c r="L340" s="73"/>
      <c r="M340" s="73"/>
      <c r="N340" s="73"/>
      <c r="O340" s="75">
        <f>SUM(TABELA24[[#This Row],[T1]:[T7]])</f>
        <v>0</v>
      </c>
      <c r="P340" s="76">
        <f>TABELA24[[#This Row],[QTDE]]*TABELA24[[#This Row],[PREÇO]]</f>
        <v>0</v>
      </c>
    </row>
    <row r="341" spans="1:16" x14ac:dyDescent="0.2">
      <c r="A341" s="70" t="s">
        <v>1856</v>
      </c>
      <c r="B341" s="71" t="s">
        <v>1854</v>
      </c>
      <c r="C341" s="72" t="s">
        <v>1855</v>
      </c>
      <c r="D341" s="73" t="s">
        <v>1800</v>
      </c>
      <c r="E341" s="72" t="s">
        <v>1802</v>
      </c>
      <c r="F341" s="84">
        <v>166.25</v>
      </c>
      <c r="G341" s="73" t="s">
        <v>826</v>
      </c>
      <c r="H341" s="73"/>
      <c r="I341" s="73"/>
      <c r="J341" s="73"/>
      <c r="K341" s="73"/>
      <c r="L341" s="73"/>
      <c r="M341" s="73"/>
      <c r="N341" s="73"/>
      <c r="O341" s="75">
        <f>SUM(TABELA24[[#This Row],[T1]:[T7]])</f>
        <v>0</v>
      </c>
      <c r="P341" s="76">
        <f>TABELA24[[#This Row],[QTDE]]*TABELA24[[#This Row],[PREÇO]]</f>
        <v>0</v>
      </c>
    </row>
    <row r="342" spans="1:16" x14ac:dyDescent="0.2">
      <c r="A342" s="70" t="s">
        <v>1859</v>
      </c>
      <c r="B342" s="71" t="s">
        <v>1857</v>
      </c>
      <c r="C342" s="72" t="s">
        <v>1858</v>
      </c>
      <c r="D342" s="73" t="s">
        <v>32</v>
      </c>
      <c r="E342" s="72" t="s">
        <v>33</v>
      </c>
      <c r="F342" s="84">
        <v>145.41999999999999</v>
      </c>
      <c r="G342" s="73" t="s">
        <v>829</v>
      </c>
      <c r="H342" s="73"/>
      <c r="I342" s="73"/>
      <c r="J342" s="73"/>
      <c r="K342" s="73"/>
      <c r="L342" s="73"/>
      <c r="M342" s="73"/>
      <c r="N342" s="73"/>
      <c r="O342" s="75">
        <f>SUM(TABELA24[[#This Row],[T1]:[T7]])</f>
        <v>0</v>
      </c>
      <c r="P342" s="76">
        <f>TABELA24[[#This Row],[QTDE]]*TABELA24[[#This Row],[PREÇO]]</f>
        <v>0</v>
      </c>
    </row>
    <row r="343" spans="1:16" x14ac:dyDescent="0.2">
      <c r="A343" s="70" t="s">
        <v>1862</v>
      </c>
      <c r="B343" s="71" t="s">
        <v>1860</v>
      </c>
      <c r="C343" s="72" t="s">
        <v>1861</v>
      </c>
      <c r="D343" s="73" t="s">
        <v>1474</v>
      </c>
      <c r="E343" s="72" t="s">
        <v>1475</v>
      </c>
      <c r="F343" s="84">
        <v>178.75</v>
      </c>
      <c r="G343" s="73" t="s">
        <v>829</v>
      </c>
      <c r="H343" s="73"/>
      <c r="I343" s="73"/>
      <c r="J343" s="73"/>
      <c r="K343" s="73"/>
      <c r="L343" s="73"/>
      <c r="M343" s="73"/>
      <c r="N343" s="73"/>
      <c r="O343" s="75">
        <f>SUM(TABELA24[[#This Row],[T1]:[T7]])</f>
        <v>0</v>
      </c>
      <c r="P343" s="76">
        <f>TABELA24[[#This Row],[QTDE]]*TABELA24[[#This Row],[PREÇO]]</f>
        <v>0</v>
      </c>
    </row>
    <row r="344" spans="1:16" x14ac:dyDescent="0.2">
      <c r="A344" s="70" t="s">
        <v>1865</v>
      </c>
      <c r="B344" s="71" t="s">
        <v>1863</v>
      </c>
      <c r="C344" s="72" t="s">
        <v>1864</v>
      </c>
      <c r="D344" s="73" t="s">
        <v>898</v>
      </c>
      <c r="E344" s="72" t="s">
        <v>900</v>
      </c>
      <c r="F344" s="84">
        <v>199.58</v>
      </c>
      <c r="G344" s="73" t="s">
        <v>829</v>
      </c>
      <c r="H344" s="73"/>
      <c r="I344" s="73"/>
      <c r="J344" s="73"/>
      <c r="K344" s="73"/>
      <c r="L344" s="73"/>
      <c r="M344" s="73"/>
      <c r="N344" s="73"/>
      <c r="O344" s="75">
        <f>SUM(TABELA24[[#This Row],[T1]:[T7]])</f>
        <v>0</v>
      </c>
      <c r="P344" s="76">
        <f>TABELA24[[#This Row],[QTDE]]*TABELA24[[#This Row],[PREÇO]]</f>
        <v>0</v>
      </c>
    </row>
    <row r="345" spans="1:16" x14ac:dyDescent="0.2">
      <c r="A345" s="70" t="s">
        <v>1868</v>
      </c>
      <c r="B345" s="71" t="s">
        <v>1866</v>
      </c>
      <c r="C345" s="72" t="s">
        <v>1867</v>
      </c>
      <c r="D345" s="73" t="s">
        <v>914</v>
      </c>
      <c r="E345" s="72" t="s">
        <v>915</v>
      </c>
      <c r="F345" s="84">
        <v>124.58</v>
      </c>
      <c r="G345" s="73" t="s">
        <v>829</v>
      </c>
      <c r="H345" s="73"/>
      <c r="I345" s="73"/>
      <c r="J345" s="73"/>
      <c r="K345" s="73"/>
      <c r="L345" s="73"/>
      <c r="M345" s="73"/>
      <c r="N345" s="73"/>
      <c r="O345" s="75">
        <f>SUM(TABELA24[[#This Row],[T1]:[T7]])</f>
        <v>0</v>
      </c>
      <c r="P345" s="76">
        <f>TABELA24[[#This Row],[QTDE]]*TABELA24[[#This Row],[PREÇO]]</f>
        <v>0</v>
      </c>
    </row>
    <row r="346" spans="1:16" x14ac:dyDescent="0.2">
      <c r="A346" s="70" t="s">
        <v>1871</v>
      </c>
      <c r="B346" s="71" t="s">
        <v>1869</v>
      </c>
      <c r="C346" s="72" t="s">
        <v>1870</v>
      </c>
      <c r="D346" s="73" t="s">
        <v>1384</v>
      </c>
      <c r="E346" s="72" t="s">
        <v>1386</v>
      </c>
      <c r="F346" s="84">
        <v>166.25</v>
      </c>
      <c r="G346" s="73" t="s">
        <v>829</v>
      </c>
      <c r="H346" s="73"/>
      <c r="I346" s="73"/>
      <c r="J346" s="73"/>
      <c r="K346" s="73"/>
      <c r="L346" s="73"/>
      <c r="M346" s="73"/>
      <c r="N346" s="73"/>
      <c r="O346" s="75">
        <f>SUM(TABELA24[[#This Row],[T1]:[T7]])</f>
        <v>0</v>
      </c>
      <c r="P346" s="76">
        <f>TABELA24[[#This Row],[QTDE]]*TABELA24[[#This Row],[PREÇO]]</f>
        <v>0</v>
      </c>
    </row>
    <row r="347" spans="1:16" x14ac:dyDescent="0.2">
      <c r="A347" s="70" t="s">
        <v>1874</v>
      </c>
      <c r="B347" s="71" t="s">
        <v>1872</v>
      </c>
      <c r="C347" s="72" t="s">
        <v>1873</v>
      </c>
      <c r="D347" s="73" t="s">
        <v>1133</v>
      </c>
      <c r="E347" s="72" t="s">
        <v>1134</v>
      </c>
      <c r="F347" s="84">
        <v>191.25</v>
      </c>
      <c r="G347" s="73" t="s">
        <v>829</v>
      </c>
      <c r="H347" s="73"/>
      <c r="I347" s="73"/>
      <c r="J347" s="73"/>
      <c r="K347" s="73"/>
      <c r="L347" s="73"/>
      <c r="M347" s="73"/>
      <c r="N347" s="73"/>
      <c r="O347" s="75">
        <f>SUM(TABELA24[[#This Row],[T1]:[T7]])</f>
        <v>0</v>
      </c>
      <c r="P347" s="76">
        <f>TABELA24[[#This Row],[QTDE]]*TABELA24[[#This Row],[PREÇO]]</f>
        <v>0</v>
      </c>
    </row>
    <row r="348" spans="1:16" x14ac:dyDescent="0.2">
      <c r="A348" s="70" t="s">
        <v>1877</v>
      </c>
      <c r="B348" s="71" t="s">
        <v>1875</v>
      </c>
      <c r="C348" s="72" t="s">
        <v>1876</v>
      </c>
      <c r="D348" s="73" t="s">
        <v>32</v>
      </c>
      <c r="E348" s="72" t="s">
        <v>33</v>
      </c>
      <c r="F348" s="84">
        <v>182.92</v>
      </c>
      <c r="G348" s="73" t="s">
        <v>829</v>
      </c>
      <c r="H348" s="73"/>
      <c r="I348" s="73"/>
      <c r="J348" s="73"/>
      <c r="K348" s="73"/>
      <c r="L348" s="73"/>
      <c r="M348" s="73"/>
      <c r="N348" s="73"/>
      <c r="O348" s="75">
        <f>SUM(TABELA24[[#This Row],[T1]:[T7]])</f>
        <v>0</v>
      </c>
      <c r="P348" s="76">
        <f>TABELA24[[#This Row],[QTDE]]*TABELA24[[#This Row],[PREÇO]]</f>
        <v>0</v>
      </c>
    </row>
    <row r="349" spans="1:16" x14ac:dyDescent="0.2">
      <c r="A349" s="70" t="s">
        <v>1880</v>
      </c>
      <c r="B349" s="71" t="s">
        <v>1878</v>
      </c>
      <c r="C349" s="72" t="s">
        <v>1879</v>
      </c>
      <c r="D349" s="73" t="s">
        <v>929</v>
      </c>
      <c r="E349" s="72" t="s">
        <v>931</v>
      </c>
      <c r="F349" s="84">
        <v>166.25</v>
      </c>
      <c r="G349" s="73" t="s">
        <v>829</v>
      </c>
      <c r="H349" s="73"/>
      <c r="I349" s="73"/>
      <c r="J349" s="73"/>
      <c r="K349" s="73"/>
      <c r="L349" s="73"/>
      <c r="M349" s="73"/>
      <c r="N349" s="73"/>
      <c r="O349" s="75">
        <f>SUM(TABELA24[[#This Row],[T1]:[T7]])</f>
        <v>0</v>
      </c>
      <c r="P349" s="76">
        <f>TABELA24[[#This Row],[QTDE]]*TABELA24[[#This Row],[PREÇO]]</f>
        <v>0</v>
      </c>
    </row>
    <row r="350" spans="1:16" x14ac:dyDescent="0.2">
      <c r="A350" s="70" t="s">
        <v>1883</v>
      </c>
      <c r="B350" s="71" t="s">
        <v>1881</v>
      </c>
      <c r="C350" s="72" t="s">
        <v>1882</v>
      </c>
      <c r="D350" s="73" t="s">
        <v>1133</v>
      </c>
      <c r="E350" s="72" t="s">
        <v>1134</v>
      </c>
      <c r="F350" s="84">
        <v>166.25</v>
      </c>
      <c r="G350" s="73" t="s">
        <v>829</v>
      </c>
      <c r="H350" s="73"/>
      <c r="I350" s="73"/>
      <c r="J350" s="73"/>
      <c r="K350" s="73"/>
      <c r="L350" s="73"/>
      <c r="M350" s="73"/>
      <c r="N350" s="73"/>
      <c r="O350" s="75">
        <f>SUM(TABELA24[[#This Row],[T1]:[T7]])</f>
        <v>0</v>
      </c>
      <c r="P350" s="76">
        <f>TABELA24[[#This Row],[QTDE]]*TABELA24[[#This Row],[PREÇO]]</f>
        <v>0</v>
      </c>
    </row>
    <row r="351" spans="1:16" x14ac:dyDescent="0.2">
      <c r="A351" s="70" t="s">
        <v>1886</v>
      </c>
      <c r="B351" s="71" t="s">
        <v>1884</v>
      </c>
      <c r="C351" s="72" t="s">
        <v>1885</v>
      </c>
      <c r="D351" s="73" t="s">
        <v>1805</v>
      </c>
      <c r="E351" s="72" t="s">
        <v>1807</v>
      </c>
      <c r="F351" s="84">
        <v>187.08</v>
      </c>
      <c r="G351" s="73" t="s">
        <v>829</v>
      </c>
      <c r="H351" s="73"/>
      <c r="I351" s="73"/>
      <c r="J351" s="73"/>
      <c r="K351" s="73"/>
      <c r="L351" s="73"/>
      <c r="M351" s="73"/>
      <c r="N351" s="73"/>
      <c r="O351" s="75">
        <f>SUM(TABELA24[[#This Row],[T1]:[T7]])</f>
        <v>0</v>
      </c>
      <c r="P351" s="76">
        <f>TABELA24[[#This Row],[QTDE]]*TABELA24[[#This Row],[PREÇO]]</f>
        <v>0</v>
      </c>
    </row>
    <row r="352" spans="1:16" x14ac:dyDescent="0.2">
      <c r="A352" s="70" t="s">
        <v>1889</v>
      </c>
      <c r="B352" s="71" t="s">
        <v>1887</v>
      </c>
      <c r="C352" s="72" t="s">
        <v>1888</v>
      </c>
      <c r="D352" s="73" t="s">
        <v>1836</v>
      </c>
      <c r="E352" s="72" t="s">
        <v>1838</v>
      </c>
      <c r="F352" s="84">
        <v>107.92</v>
      </c>
      <c r="G352" s="73" t="s">
        <v>829</v>
      </c>
      <c r="H352" s="73"/>
      <c r="I352" s="73"/>
      <c r="J352" s="73"/>
      <c r="K352" s="73"/>
      <c r="L352" s="73"/>
      <c r="M352" s="73"/>
      <c r="N352" s="73"/>
      <c r="O352" s="75">
        <f>SUM(TABELA24[[#This Row],[T1]:[T7]])</f>
        <v>0</v>
      </c>
      <c r="P352" s="76">
        <f>TABELA24[[#This Row],[QTDE]]*TABELA24[[#This Row],[PREÇO]]</f>
        <v>0</v>
      </c>
    </row>
    <row r="353" spans="1:16" x14ac:dyDescent="0.2">
      <c r="A353" s="70" t="s">
        <v>1892</v>
      </c>
      <c r="B353" s="71" t="s">
        <v>1890</v>
      </c>
      <c r="C353" s="72" t="s">
        <v>1891</v>
      </c>
      <c r="D353" s="73" t="s">
        <v>1783</v>
      </c>
      <c r="E353" s="72" t="s">
        <v>1785</v>
      </c>
      <c r="F353" s="84">
        <v>166.25</v>
      </c>
      <c r="G353" s="73" t="s">
        <v>829</v>
      </c>
      <c r="H353" s="73"/>
      <c r="I353" s="73"/>
      <c r="J353" s="73"/>
      <c r="K353" s="73"/>
      <c r="L353" s="73"/>
      <c r="M353" s="73"/>
      <c r="N353" s="73"/>
      <c r="O353" s="75">
        <f>SUM(TABELA24[[#This Row],[T1]:[T7]])</f>
        <v>0</v>
      </c>
      <c r="P353" s="76">
        <f>TABELA24[[#This Row],[QTDE]]*TABELA24[[#This Row],[PREÇO]]</f>
        <v>0</v>
      </c>
    </row>
    <row r="354" spans="1:16" x14ac:dyDescent="0.2">
      <c r="A354" s="70" t="s">
        <v>1895</v>
      </c>
      <c r="B354" s="71" t="s">
        <v>1893</v>
      </c>
      <c r="C354" s="72" t="s">
        <v>1894</v>
      </c>
      <c r="D354" s="73" t="s">
        <v>1783</v>
      </c>
      <c r="E354" s="72" t="s">
        <v>1785</v>
      </c>
      <c r="F354" s="84">
        <v>207.92</v>
      </c>
      <c r="G354" s="73" t="s">
        <v>829</v>
      </c>
      <c r="H354" s="73"/>
      <c r="I354" s="73"/>
      <c r="J354" s="73"/>
      <c r="K354" s="73"/>
      <c r="L354" s="73"/>
      <c r="M354" s="73"/>
      <c r="N354" s="73"/>
      <c r="O354" s="75">
        <f>SUM(TABELA24[[#This Row],[T1]:[T7]])</f>
        <v>0</v>
      </c>
      <c r="P354" s="76">
        <f>TABELA24[[#This Row],[QTDE]]*TABELA24[[#This Row],[PREÇO]]</f>
        <v>0</v>
      </c>
    </row>
    <row r="355" spans="1:16" x14ac:dyDescent="0.2">
      <c r="A355" s="70" t="s">
        <v>1898</v>
      </c>
      <c r="B355" s="71" t="s">
        <v>1896</v>
      </c>
      <c r="C355" s="72" t="s">
        <v>1897</v>
      </c>
      <c r="D355" s="73" t="s">
        <v>32</v>
      </c>
      <c r="E355" s="72" t="s">
        <v>33</v>
      </c>
      <c r="F355" s="84">
        <v>191.25</v>
      </c>
      <c r="G355" s="73" t="s">
        <v>829</v>
      </c>
      <c r="H355" s="73"/>
      <c r="I355" s="73"/>
      <c r="J355" s="73"/>
      <c r="K355" s="73"/>
      <c r="L355" s="73"/>
      <c r="M355" s="73"/>
      <c r="N355" s="73"/>
      <c r="O355" s="75">
        <f>SUM(TABELA24[[#This Row],[T1]:[T7]])</f>
        <v>0</v>
      </c>
      <c r="P355" s="76">
        <f>TABELA24[[#This Row],[QTDE]]*TABELA24[[#This Row],[PREÇO]]</f>
        <v>0</v>
      </c>
    </row>
    <row r="356" spans="1:16" x14ac:dyDescent="0.2">
      <c r="A356" s="70" t="s">
        <v>1901</v>
      </c>
      <c r="B356" s="71" t="s">
        <v>1899</v>
      </c>
      <c r="C356" s="72" t="s">
        <v>1900</v>
      </c>
      <c r="D356" s="73" t="s">
        <v>914</v>
      </c>
      <c r="E356" s="72" t="s">
        <v>915</v>
      </c>
      <c r="F356" s="84">
        <v>137.08000000000001</v>
      </c>
      <c r="G356" s="73" t="s">
        <v>829</v>
      </c>
      <c r="H356" s="73"/>
      <c r="I356" s="73"/>
      <c r="J356" s="73"/>
      <c r="K356" s="73"/>
      <c r="L356" s="73"/>
      <c r="M356" s="73"/>
      <c r="N356" s="73"/>
      <c r="O356" s="75">
        <f>SUM(TABELA24[[#This Row],[T1]:[T7]])</f>
        <v>0</v>
      </c>
      <c r="P356" s="76">
        <f>TABELA24[[#This Row],[QTDE]]*TABELA24[[#This Row],[PREÇO]]</f>
        <v>0</v>
      </c>
    </row>
    <row r="357" spans="1:16" x14ac:dyDescent="0.2">
      <c r="A357" s="70" t="s">
        <v>1904</v>
      </c>
      <c r="B357" s="71" t="s">
        <v>1902</v>
      </c>
      <c r="C357" s="72" t="s">
        <v>1903</v>
      </c>
      <c r="D357" s="73" t="s">
        <v>1474</v>
      </c>
      <c r="E357" s="72" t="s">
        <v>1475</v>
      </c>
      <c r="F357" s="84">
        <v>182.92</v>
      </c>
      <c r="G357" s="73" t="s">
        <v>829</v>
      </c>
      <c r="H357" s="73"/>
      <c r="I357" s="73"/>
      <c r="J357" s="73"/>
      <c r="K357" s="73"/>
      <c r="L357" s="73"/>
      <c r="M357" s="73"/>
      <c r="N357" s="73"/>
      <c r="O357" s="75">
        <f>SUM(TABELA24[[#This Row],[T1]:[T7]])</f>
        <v>0</v>
      </c>
      <c r="P357" s="76">
        <f>TABELA24[[#This Row],[QTDE]]*TABELA24[[#This Row],[PREÇO]]</f>
        <v>0</v>
      </c>
    </row>
    <row r="358" spans="1:16" x14ac:dyDescent="0.2">
      <c r="A358" s="70" t="s">
        <v>1907</v>
      </c>
      <c r="B358" s="71" t="s">
        <v>1905</v>
      </c>
      <c r="C358" s="72" t="s">
        <v>1906</v>
      </c>
      <c r="D358" s="73" t="s">
        <v>1384</v>
      </c>
      <c r="E358" s="72" t="s">
        <v>1386</v>
      </c>
      <c r="F358" s="84">
        <v>195.42</v>
      </c>
      <c r="G358" s="73" t="s">
        <v>829</v>
      </c>
      <c r="H358" s="73"/>
      <c r="I358" s="73"/>
      <c r="J358" s="73"/>
      <c r="K358" s="73"/>
      <c r="L358" s="73"/>
      <c r="M358" s="73"/>
      <c r="N358" s="73"/>
      <c r="O358" s="75">
        <f>SUM(TABELA24[[#This Row],[T1]:[T7]])</f>
        <v>0</v>
      </c>
      <c r="P358" s="76">
        <f>TABELA24[[#This Row],[QTDE]]*TABELA24[[#This Row],[PREÇO]]</f>
        <v>0</v>
      </c>
    </row>
    <row r="359" spans="1:16" x14ac:dyDescent="0.2">
      <c r="A359" s="70" t="s">
        <v>1910</v>
      </c>
      <c r="B359" s="71" t="s">
        <v>1908</v>
      </c>
      <c r="C359" s="72" t="s">
        <v>1909</v>
      </c>
      <c r="D359" s="73" t="s">
        <v>1384</v>
      </c>
      <c r="E359" s="72" t="s">
        <v>1386</v>
      </c>
      <c r="F359" s="84">
        <v>124.58</v>
      </c>
      <c r="G359" s="73" t="s">
        <v>829</v>
      </c>
      <c r="H359" s="73"/>
      <c r="I359" s="73"/>
      <c r="J359" s="73"/>
      <c r="K359" s="73"/>
      <c r="L359" s="73"/>
      <c r="M359" s="73"/>
      <c r="N359" s="73"/>
      <c r="O359" s="75">
        <f>SUM(TABELA24[[#This Row],[T1]:[T7]])</f>
        <v>0</v>
      </c>
      <c r="P359" s="76">
        <f>TABELA24[[#This Row],[QTDE]]*TABELA24[[#This Row],[PREÇO]]</f>
        <v>0</v>
      </c>
    </row>
    <row r="360" spans="1:16" x14ac:dyDescent="0.2">
      <c r="A360" s="70" t="s">
        <v>1913</v>
      </c>
      <c r="B360" s="71" t="s">
        <v>1911</v>
      </c>
      <c r="C360" s="72" t="s">
        <v>1912</v>
      </c>
      <c r="D360" s="73" t="s">
        <v>1384</v>
      </c>
      <c r="E360" s="72" t="s">
        <v>1386</v>
      </c>
      <c r="F360" s="84">
        <v>182.92</v>
      </c>
      <c r="G360" s="73" t="s">
        <v>829</v>
      </c>
      <c r="H360" s="73"/>
      <c r="I360" s="73"/>
      <c r="J360" s="73"/>
      <c r="K360" s="73"/>
      <c r="L360" s="73"/>
      <c r="M360" s="73"/>
      <c r="N360" s="73"/>
      <c r="O360" s="75">
        <f>SUM(TABELA24[[#This Row],[T1]:[T7]])</f>
        <v>0</v>
      </c>
      <c r="P360" s="76">
        <f>TABELA24[[#This Row],[QTDE]]*TABELA24[[#This Row],[PREÇO]]</f>
        <v>0</v>
      </c>
    </row>
    <row r="361" spans="1:16" x14ac:dyDescent="0.2">
      <c r="A361" s="70" t="s">
        <v>1916</v>
      </c>
      <c r="B361" s="71" t="s">
        <v>1914</v>
      </c>
      <c r="C361" s="72" t="s">
        <v>1915</v>
      </c>
      <c r="D361" s="73" t="s">
        <v>32</v>
      </c>
      <c r="E361" s="72" t="s">
        <v>33</v>
      </c>
      <c r="F361" s="84">
        <v>145.41999999999999</v>
      </c>
      <c r="G361" s="73" t="s">
        <v>829</v>
      </c>
      <c r="H361" s="73"/>
      <c r="I361" s="73"/>
      <c r="J361" s="73"/>
      <c r="K361" s="73"/>
      <c r="L361" s="73"/>
      <c r="M361" s="73"/>
      <c r="N361" s="73"/>
      <c r="O361" s="75">
        <f>SUM(TABELA24[[#This Row],[T1]:[T7]])</f>
        <v>0</v>
      </c>
      <c r="P361" s="76">
        <f>TABELA24[[#This Row],[QTDE]]*TABELA24[[#This Row],[PREÇO]]</f>
        <v>0</v>
      </c>
    </row>
    <row r="362" spans="1:16" x14ac:dyDescent="0.2">
      <c r="A362" s="70" t="s">
        <v>1919</v>
      </c>
      <c r="B362" s="71" t="s">
        <v>1917</v>
      </c>
      <c r="C362" s="72" t="s">
        <v>1918</v>
      </c>
      <c r="D362" s="73" t="s">
        <v>1133</v>
      </c>
      <c r="E362" s="72" t="s">
        <v>1134</v>
      </c>
      <c r="F362" s="84">
        <v>124.58</v>
      </c>
      <c r="G362" s="73" t="s">
        <v>829</v>
      </c>
      <c r="H362" s="73"/>
      <c r="I362" s="73"/>
      <c r="J362" s="73"/>
      <c r="K362" s="73"/>
      <c r="L362" s="73"/>
      <c r="M362" s="73"/>
      <c r="N362" s="73"/>
      <c r="O362" s="75">
        <f>SUM(TABELA24[[#This Row],[T1]:[T7]])</f>
        <v>0</v>
      </c>
      <c r="P362" s="76">
        <f>TABELA24[[#This Row],[QTDE]]*TABELA24[[#This Row],[PREÇO]]</f>
        <v>0</v>
      </c>
    </row>
    <row r="363" spans="1:16" x14ac:dyDescent="0.2">
      <c r="A363" s="70" t="s">
        <v>1920</v>
      </c>
      <c r="B363" s="71" t="s">
        <v>1917</v>
      </c>
      <c r="C363" s="72" t="s">
        <v>1918</v>
      </c>
      <c r="D363" s="73" t="s">
        <v>914</v>
      </c>
      <c r="E363" s="72" t="s">
        <v>915</v>
      </c>
      <c r="F363" s="84">
        <v>124.58</v>
      </c>
      <c r="G363" s="73" t="s">
        <v>826</v>
      </c>
      <c r="H363" s="73"/>
      <c r="I363" s="73"/>
      <c r="J363" s="73"/>
      <c r="K363" s="73"/>
      <c r="L363" s="73"/>
      <c r="M363" s="73"/>
      <c r="N363" s="73"/>
      <c r="O363" s="75">
        <f>SUM(TABELA24[[#This Row],[T1]:[T7]])</f>
        <v>0</v>
      </c>
      <c r="P363" s="76">
        <f>TABELA24[[#This Row],[QTDE]]*TABELA24[[#This Row],[PREÇO]]</f>
        <v>0</v>
      </c>
    </row>
    <row r="364" spans="1:16" x14ac:dyDescent="0.2">
      <c r="A364" s="70" t="s">
        <v>1923</v>
      </c>
      <c r="B364" s="71" t="s">
        <v>1921</v>
      </c>
      <c r="C364" s="72" t="s">
        <v>1922</v>
      </c>
      <c r="D364" s="73" t="s">
        <v>1836</v>
      </c>
      <c r="E364" s="72" t="s">
        <v>1838</v>
      </c>
      <c r="F364" s="84">
        <v>207.92</v>
      </c>
      <c r="G364" s="73" t="s">
        <v>829</v>
      </c>
      <c r="H364" s="73"/>
      <c r="I364" s="73"/>
      <c r="J364" s="73"/>
      <c r="K364" s="73"/>
      <c r="L364" s="73"/>
      <c r="M364" s="73"/>
      <c r="N364" s="73"/>
      <c r="O364" s="75">
        <f>SUM(TABELA24[[#This Row],[T1]:[T7]])</f>
        <v>0</v>
      </c>
      <c r="P364" s="76">
        <f>TABELA24[[#This Row],[QTDE]]*TABELA24[[#This Row],[PREÇO]]</f>
        <v>0</v>
      </c>
    </row>
    <row r="365" spans="1:16" x14ac:dyDescent="0.2">
      <c r="A365" s="70" t="s">
        <v>1926</v>
      </c>
      <c r="B365" s="71" t="s">
        <v>1924</v>
      </c>
      <c r="C365" s="72" t="s">
        <v>1925</v>
      </c>
      <c r="D365" s="73" t="s">
        <v>32</v>
      </c>
      <c r="E365" s="72" t="s">
        <v>33</v>
      </c>
      <c r="F365" s="84">
        <v>124.58</v>
      </c>
      <c r="G365" s="73" t="s">
        <v>829</v>
      </c>
      <c r="H365" s="73"/>
      <c r="I365" s="73"/>
      <c r="J365" s="73"/>
      <c r="K365" s="73"/>
      <c r="L365" s="73"/>
      <c r="M365" s="73"/>
      <c r="N365" s="73"/>
      <c r="O365" s="75">
        <f>SUM(TABELA24[[#This Row],[T1]:[T7]])</f>
        <v>0</v>
      </c>
      <c r="P365" s="76">
        <f>TABELA24[[#This Row],[QTDE]]*TABELA24[[#This Row],[PREÇO]]</f>
        <v>0</v>
      </c>
    </row>
    <row r="366" spans="1:16" x14ac:dyDescent="0.2">
      <c r="A366" s="70" t="s">
        <v>1929</v>
      </c>
      <c r="B366" s="71" t="s">
        <v>1927</v>
      </c>
      <c r="C366" s="72" t="s">
        <v>1928</v>
      </c>
      <c r="D366" s="73" t="s">
        <v>1474</v>
      </c>
      <c r="E366" s="72" t="s">
        <v>1475</v>
      </c>
      <c r="F366" s="84">
        <v>166.25</v>
      </c>
      <c r="G366" s="73" t="s">
        <v>829</v>
      </c>
      <c r="H366" s="73"/>
      <c r="I366" s="73"/>
      <c r="J366" s="73"/>
      <c r="K366" s="73"/>
      <c r="L366" s="73"/>
      <c r="M366" s="73"/>
      <c r="N366" s="73"/>
      <c r="O366" s="75">
        <f>SUM(TABELA24[[#This Row],[T1]:[T7]])</f>
        <v>0</v>
      </c>
      <c r="P366" s="76">
        <f>TABELA24[[#This Row],[QTDE]]*TABELA24[[#This Row],[PREÇO]]</f>
        <v>0</v>
      </c>
    </row>
    <row r="367" spans="1:16" x14ac:dyDescent="0.2">
      <c r="A367" s="70" t="s">
        <v>1932</v>
      </c>
      <c r="B367" s="71" t="s">
        <v>1930</v>
      </c>
      <c r="C367" s="72" t="s">
        <v>1931</v>
      </c>
      <c r="D367" s="73" t="s">
        <v>830</v>
      </c>
      <c r="E367" s="72" t="s">
        <v>43</v>
      </c>
      <c r="F367" s="84">
        <v>145.41999999999999</v>
      </c>
      <c r="G367" s="73" t="s">
        <v>829</v>
      </c>
      <c r="H367" s="73"/>
      <c r="I367" s="73"/>
      <c r="J367" s="73"/>
      <c r="K367" s="73"/>
      <c r="L367" s="73"/>
      <c r="M367" s="73"/>
      <c r="N367" s="73"/>
      <c r="O367" s="75">
        <f>SUM(TABELA24[[#This Row],[T1]:[T7]])</f>
        <v>0</v>
      </c>
      <c r="P367" s="76">
        <f>TABELA24[[#This Row],[QTDE]]*TABELA24[[#This Row],[PREÇO]]</f>
        <v>0</v>
      </c>
    </row>
    <row r="368" spans="1:16" x14ac:dyDescent="0.2">
      <c r="A368" s="70" t="s">
        <v>1935</v>
      </c>
      <c r="B368" s="71" t="s">
        <v>1933</v>
      </c>
      <c r="C368" s="72" t="s">
        <v>1934</v>
      </c>
      <c r="D368" s="73" t="s">
        <v>1474</v>
      </c>
      <c r="E368" s="72" t="s">
        <v>1475</v>
      </c>
      <c r="F368" s="84">
        <v>166.25</v>
      </c>
      <c r="G368" s="73" t="s">
        <v>829</v>
      </c>
      <c r="H368" s="73"/>
      <c r="I368" s="73"/>
      <c r="J368" s="73"/>
      <c r="K368" s="73"/>
      <c r="L368" s="73"/>
      <c r="M368" s="73"/>
      <c r="N368" s="73"/>
      <c r="O368" s="75">
        <f>SUM(TABELA24[[#This Row],[T1]:[T7]])</f>
        <v>0</v>
      </c>
      <c r="P368" s="76">
        <f>TABELA24[[#This Row],[QTDE]]*TABELA24[[#This Row],[PREÇO]]</f>
        <v>0</v>
      </c>
    </row>
    <row r="369" spans="1:16" x14ac:dyDescent="0.2">
      <c r="A369" s="70" t="s">
        <v>1938</v>
      </c>
      <c r="B369" s="71" t="s">
        <v>1936</v>
      </c>
      <c r="C369" s="72" t="s">
        <v>1937</v>
      </c>
      <c r="D369" s="73" t="s">
        <v>821</v>
      </c>
      <c r="E369" s="72" t="s">
        <v>822</v>
      </c>
      <c r="F369" s="84">
        <v>166.25</v>
      </c>
      <c r="G369" s="73" t="s">
        <v>829</v>
      </c>
      <c r="H369" s="73"/>
      <c r="I369" s="73"/>
      <c r="J369" s="73"/>
      <c r="K369" s="73"/>
      <c r="L369" s="73"/>
      <c r="M369" s="73"/>
      <c r="N369" s="73"/>
      <c r="O369" s="75">
        <f>SUM(TABELA24[[#This Row],[T1]:[T7]])</f>
        <v>0</v>
      </c>
      <c r="P369" s="76">
        <f>TABELA24[[#This Row],[QTDE]]*TABELA24[[#This Row],[PREÇO]]</f>
        <v>0</v>
      </c>
    </row>
    <row r="370" spans="1:16" x14ac:dyDescent="0.2">
      <c r="A370" s="70" t="s">
        <v>1941</v>
      </c>
      <c r="B370" s="71" t="s">
        <v>1939</v>
      </c>
      <c r="C370" s="72" t="s">
        <v>1940</v>
      </c>
      <c r="D370" s="73" t="s">
        <v>1783</v>
      </c>
      <c r="E370" s="72" t="s">
        <v>1785</v>
      </c>
      <c r="F370" s="84">
        <v>137.08000000000001</v>
      </c>
      <c r="G370" s="73" t="s">
        <v>829</v>
      </c>
      <c r="H370" s="73"/>
      <c r="I370" s="73"/>
      <c r="J370" s="73"/>
      <c r="K370" s="73"/>
      <c r="L370" s="73"/>
      <c r="M370" s="73"/>
      <c r="N370" s="73"/>
      <c r="O370" s="75">
        <f>SUM(TABELA24[[#This Row],[T1]:[T7]])</f>
        <v>0</v>
      </c>
      <c r="P370" s="76">
        <f>TABELA24[[#This Row],[QTDE]]*TABELA24[[#This Row],[PREÇO]]</f>
        <v>0</v>
      </c>
    </row>
    <row r="371" spans="1:16" x14ac:dyDescent="0.2">
      <c r="A371" s="70" t="s">
        <v>1944</v>
      </c>
      <c r="B371" s="71" t="s">
        <v>1942</v>
      </c>
      <c r="C371" s="72" t="s">
        <v>1943</v>
      </c>
      <c r="D371" s="73" t="s">
        <v>1805</v>
      </c>
      <c r="E371" s="72" t="s">
        <v>1807</v>
      </c>
      <c r="F371" s="84">
        <v>182.92</v>
      </c>
      <c r="G371" s="73" t="s">
        <v>829</v>
      </c>
      <c r="H371" s="73"/>
      <c r="I371" s="73"/>
      <c r="J371" s="73"/>
      <c r="K371" s="73"/>
      <c r="L371" s="73"/>
      <c r="M371" s="73"/>
      <c r="N371" s="73"/>
      <c r="O371" s="75">
        <f>SUM(TABELA24[[#This Row],[T1]:[T7]])</f>
        <v>0</v>
      </c>
      <c r="P371" s="76">
        <f>TABELA24[[#This Row],[QTDE]]*TABELA24[[#This Row],[PREÇO]]</f>
        <v>0</v>
      </c>
    </row>
    <row r="372" spans="1:16" x14ac:dyDescent="0.2">
      <c r="A372" s="70" t="s">
        <v>1948</v>
      </c>
      <c r="B372" s="71" t="s">
        <v>1945</v>
      </c>
      <c r="C372" s="72" t="s">
        <v>1946</v>
      </c>
      <c r="D372" s="73" t="s">
        <v>914</v>
      </c>
      <c r="E372" s="72" t="s">
        <v>915</v>
      </c>
      <c r="F372" s="84">
        <v>157.91999999999999</v>
      </c>
      <c r="G372" s="73" t="s">
        <v>829</v>
      </c>
      <c r="H372" s="73"/>
      <c r="I372" s="73"/>
      <c r="J372" s="73"/>
      <c r="K372" s="73"/>
      <c r="L372" s="73"/>
      <c r="M372" s="73"/>
      <c r="N372" s="73"/>
      <c r="O372" s="75">
        <f>SUM(TABELA24[[#This Row],[T1]:[T7]])</f>
        <v>0</v>
      </c>
      <c r="P372" s="76">
        <f>TABELA24[[#This Row],[QTDE]]*TABELA24[[#This Row],[PREÇO]]</f>
        <v>0</v>
      </c>
    </row>
    <row r="373" spans="1:16" x14ac:dyDescent="0.2">
      <c r="A373" s="70" t="s">
        <v>1947</v>
      </c>
      <c r="B373" s="71" t="s">
        <v>1945</v>
      </c>
      <c r="C373" s="72" t="s">
        <v>1946</v>
      </c>
      <c r="D373" s="73" t="s">
        <v>1133</v>
      </c>
      <c r="E373" s="72" t="s">
        <v>1134</v>
      </c>
      <c r="F373" s="84">
        <v>157.91999999999999</v>
      </c>
      <c r="G373" s="73" t="s">
        <v>829</v>
      </c>
      <c r="H373" s="73"/>
      <c r="I373" s="73"/>
      <c r="J373" s="73"/>
      <c r="K373" s="73"/>
      <c r="L373" s="73"/>
      <c r="M373" s="73"/>
      <c r="N373" s="73"/>
      <c r="O373" s="75">
        <f>SUM(TABELA24[[#This Row],[T1]:[T7]])</f>
        <v>0</v>
      </c>
      <c r="P373" s="76">
        <f>TABELA24[[#This Row],[QTDE]]*TABELA24[[#This Row],[PREÇO]]</f>
        <v>0</v>
      </c>
    </row>
    <row r="374" spans="1:16" x14ac:dyDescent="0.2">
      <c r="A374" s="70" t="s">
        <v>1951</v>
      </c>
      <c r="B374" s="71" t="s">
        <v>1949</v>
      </c>
      <c r="C374" s="72" t="s">
        <v>1950</v>
      </c>
      <c r="D374" s="73" t="s">
        <v>821</v>
      </c>
      <c r="E374" s="72" t="s">
        <v>822</v>
      </c>
      <c r="F374" s="84">
        <v>107.92</v>
      </c>
      <c r="G374" s="73" t="s">
        <v>829</v>
      </c>
      <c r="H374" s="73"/>
      <c r="I374" s="73"/>
      <c r="J374" s="73"/>
      <c r="K374" s="73"/>
      <c r="L374" s="73"/>
      <c r="M374" s="73"/>
      <c r="N374" s="73"/>
      <c r="O374" s="75">
        <f>SUM(TABELA24[[#This Row],[T1]:[T7]])</f>
        <v>0</v>
      </c>
      <c r="P374" s="76">
        <f>TABELA24[[#This Row],[QTDE]]*TABELA24[[#This Row],[PREÇO]]</f>
        <v>0</v>
      </c>
    </row>
    <row r="375" spans="1:16" x14ac:dyDescent="0.2">
      <c r="A375" s="70" t="s">
        <v>1954</v>
      </c>
      <c r="B375" s="71" t="s">
        <v>1952</v>
      </c>
      <c r="C375" s="72" t="s">
        <v>1953</v>
      </c>
      <c r="D375" s="73" t="s">
        <v>1384</v>
      </c>
      <c r="E375" s="72" t="s">
        <v>1386</v>
      </c>
      <c r="F375" s="84">
        <v>62.08</v>
      </c>
      <c r="G375" s="73" t="s">
        <v>829</v>
      </c>
      <c r="H375" s="73"/>
      <c r="I375" s="73"/>
      <c r="J375" s="73"/>
      <c r="K375" s="73"/>
      <c r="L375" s="73"/>
      <c r="M375" s="73"/>
      <c r="N375" s="73"/>
      <c r="O375" s="75">
        <f>SUM(TABELA24[[#This Row],[T1]:[T7]])</f>
        <v>0</v>
      </c>
      <c r="P375" s="76">
        <f>TABELA24[[#This Row],[QTDE]]*TABELA24[[#This Row],[PREÇO]]</f>
        <v>0</v>
      </c>
    </row>
    <row r="376" spans="1:16" x14ac:dyDescent="0.2">
      <c r="A376" s="70" t="s">
        <v>1957</v>
      </c>
      <c r="B376" s="71" t="s">
        <v>1955</v>
      </c>
      <c r="C376" s="72" t="s">
        <v>1956</v>
      </c>
      <c r="D376" s="73" t="s">
        <v>1384</v>
      </c>
      <c r="E376" s="72" t="s">
        <v>1386</v>
      </c>
      <c r="F376" s="84">
        <v>120.42</v>
      </c>
      <c r="G376" s="73" t="s">
        <v>829</v>
      </c>
      <c r="H376" s="73"/>
      <c r="I376" s="73"/>
      <c r="J376" s="73"/>
      <c r="K376" s="73"/>
      <c r="L376" s="73"/>
      <c r="M376" s="73"/>
      <c r="N376" s="73"/>
      <c r="O376" s="75">
        <f>SUM(TABELA24[[#This Row],[T1]:[T7]])</f>
        <v>0</v>
      </c>
      <c r="P376" s="76">
        <f>TABELA24[[#This Row],[QTDE]]*TABELA24[[#This Row],[PREÇO]]</f>
        <v>0</v>
      </c>
    </row>
    <row r="377" spans="1:16" x14ac:dyDescent="0.2">
      <c r="A377" s="70" t="s">
        <v>1960</v>
      </c>
      <c r="B377" s="71" t="s">
        <v>1958</v>
      </c>
      <c r="C377" s="72" t="s">
        <v>1959</v>
      </c>
      <c r="D377" s="73" t="s">
        <v>838</v>
      </c>
      <c r="E377" s="72" t="s">
        <v>765</v>
      </c>
      <c r="F377" s="84">
        <v>91.25</v>
      </c>
      <c r="G377" s="73" t="s">
        <v>826</v>
      </c>
      <c r="H377" s="73"/>
      <c r="I377" s="73"/>
      <c r="J377" s="73"/>
      <c r="K377" s="73"/>
      <c r="L377" s="73"/>
      <c r="M377" s="73"/>
      <c r="N377" s="73"/>
      <c r="O377" s="75">
        <f>SUM(TABELA24[[#This Row],[T1]:[T7]])</f>
        <v>0</v>
      </c>
      <c r="P377" s="76">
        <f>TABELA24[[#This Row],[QTDE]]*TABELA24[[#This Row],[PREÇO]]</f>
        <v>0</v>
      </c>
    </row>
    <row r="378" spans="1:16" x14ac:dyDescent="0.2">
      <c r="A378" s="70" t="s">
        <v>1961</v>
      </c>
      <c r="B378" s="71" t="s">
        <v>1958</v>
      </c>
      <c r="C378" s="72" t="s">
        <v>1959</v>
      </c>
      <c r="D378" s="73" t="s">
        <v>1800</v>
      </c>
      <c r="E378" s="72" t="s">
        <v>1802</v>
      </c>
      <c r="F378" s="84">
        <v>91.25</v>
      </c>
      <c r="G378" s="73" t="s">
        <v>826</v>
      </c>
      <c r="H378" s="73"/>
      <c r="I378" s="73"/>
      <c r="J378" s="73"/>
      <c r="K378" s="73"/>
      <c r="L378" s="73"/>
      <c r="M378" s="73"/>
      <c r="N378" s="73"/>
      <c r="O378" s="75">
        <f>SUM(TABELA24[[#This Row],[T1]:[T7]])</f>
        <v>0</v>
      </c>
      <c r="P378" s="76">
        <f>TABELA24[[#This Row],[QTDE]]*TABELA24[[#This Row],[PREÇO]]</f>
        <v>0</v>
      </c>
    </row>
    <row r="379" spans="1:16" x14ac:dyDescent="0.2">
      <c r="A379" s="70" t="s">
        <v>1962</v>
      </c>
      <c r="B379" s="71" t="s">
        <v>1963</v>
      </c>
      <c r="C379" s="72" t="s">
        <v>1964</v>
      </c>
      <c r="D379" s="73" t="s">
        <v>1800</v>
      </c>
      <c r="E379" s="72" t="s">
        <v>1802</v>
      </c>
      <c r="F379" s="84">
        <v>137.08000000000001</v>
      </c>
      <c r="G379" s="73" t="s">
        <v>826</v>
      </c>
      <c r="H379" s="73"/>
      <c r="I379" s="73"/>
      <c r="J379" s="73"/>
      <c r="K379" s="73"/>
      <c r="L379" s="73"/>
      <c r="M379" s="73"/>
      <c r="N379" s="73"/>
      <c r="O379" s="75">
        <f>SUM(TABELA24[[#This Row],[T1]:[T7]])</f>
        <v>0</v>
      </c>
      <c r="P379" s="76">
        <f>TABELA24[[#This Row],[QTDE]]*TABELA24[[#This Row],[PREÇO]]</f>
        <v>0</v>
      </c>
    </row>
    <row r="380" spans="1:16" x14ac:dyDescent="0.2">
      <c r="A380" s="70" t="s">
        <v>1965</v>
      </c>
      <c r="B380" s="71" t="s">
        <v>1966</v>
      </c>
      <c r="C380" s="72" t="s">
        <v>1967</v>
      </c>
      <c r="D380" s="73" t="s">
        <v>561</v>
      </c>
      <c r="E380" s="72" t="s">
        <v>45</v>
      </c>
      <c r="F380" s="84">
        <v>103.75</v>
      </c>
      <c r="G380" s="73" t="s">
        <v>826</v>
      </c>
      <c r="H380" s="73"/>
      <c r="I380" s="73"/>
      <c r="J380" s="73"/>
      <c r="K380" s="73"/>
      <c r="L380" s="73"/>
      <c r="M380" s="73"/>
      <c r="N380" s="73"/>
      <c r="O380" s="75">
        <f>SUM(TABELA24[[#This Row],[T1]:[T7]])</f>
        <v>0</v>
      </c>
      <c r="P380" s="76">
        <f>TABELA24[[#This Row],[QTDE]]*TABELA24[[#This Row],[PREÇO]]</f>
        <v>0</v>
      </c>
    </row>
    <row r="381" spans="1:16" x14ac:dyDescent="0.2">
      <c r="A381" s="70" t="s">
        <v>1968</v>
      </c>
      <c r="B381" s="71" t="s">
        <v>1966</v>
      </c>
      <c r="C381" s="72" t="s">
        <v>1967</v>
      </c>
      <c r="D381" s="73" t="s">
        <v>32</v>
      </c>
      <c r="E381" s="72" t="s">
        <v>33</v>
      </c>
      <c r="F381" s="84">
        <v>103.75</v>
      </c>
      <c r="G381" s="73" t="s">
        <v>826</v>
      </c>
      <c r="H381" s="73"/>
      <c r="I381" s="73"/>
      <c r="J381" s="73"/>
      <c r="K381" s="73"/>
      <c r="L381" s="73"/>
      <c r="M381" s="73"/>
      <c r="N381" s="73"/>
      <c r="O381" s="75">
        <f>SUM(TABELA24[[#This Row],[T1]:[T7]])</f>
        <v>0</v>
      </c>
      <c r="P381" s="76">
        <f>TABELA24[[#This Row],[QTDE]]*TABELA24[[#This Row],[PREÇO]]</f>
        <v>0</v>
      </c>
    </row>
    <row r="382" spans="1:16" x14ac:dyDescent="0.2">
      <c r="A382" s="70" t="s">
        <v>1971</v>
      </c>
      <c r="B382" s="71" t="s">
        <v>1969</v>
      </c>
      <c r="C382" s="72" t="s">
        <v>1970</v>
      </c>
      <c r="D382" s="73" t="s">
        <v>992</v>
      </c>
      <c r="E382" s="72" t="s">
        <v>994</v>
      </c>
      <c r="F382" s="84">
        <v>95.42</v>
      </c>
      <c r="G382" s="73" t="s">
        <v>826</v>
      </c>
      <c r="H382" s="73"/>
      <c r="I382" s="73"/>
      <c r="J382" s="73"/>
      <c r="K382" s="73"/>
      <c r="L382" s="73"/>
      <c r="M382" s="73"/>
      <c r="N382" s="73"/>
      <c r="O382" s="75">
        <f>SUM(TABELA24[[#This Row],[T1]:[T7]])</f>
        <v>0</v>
      </c>
      <c r="P382" s="76">
        <f>TABELA24[[#This Row],[QTDE]]*TABELA24[[#This Row],[PREÇO]]</f>
        <v>0</v>
      </c>
    </row>
    <row r="383" spans="1:16" x14ac:dyDescent="0.2">
      <c r="A383" s="70" t="s">
        <v>1974</v>
      </c>
      <c r="B383" s="71" t="s">
        <v>1972</v>
      </c>
      <c r="C383" s="72" t="s">
        <v>1973</v>
      </c>
      <c r="D383" s="73" t="s">
        <v>992</v>
      </c>
      <c r="E383" s="72" t="s">
        <v>994</v>
      </c>
      <c r="F383" s="84">
        <v>178.75</v>
      </c>
      <c r="G383" s="73" t="s">
        <v>829</v>
      </c>
      <c r="H383" s="73"/>
      <c r="I383" s="73"/>
      <c r="J383" s="73"/>
      <c r="K383" s="73"/>
      <c r="L383" s="73"/>
      <c r="M383" s="73"/>
      <c r="N383" s="73"/>
      <c r="O383" s="75">
        <f>SUM(TABELA24[[#This Row],[T1]:[T7]])</f>
        <v>0</v>
      </c>
      <c r="P383" s="76">
        <f>TABELA24[[#This Row],[QTDE]]*TABELA24[[#This Row],[PREÇO]]</f>
        <v>0</v>
      </c>
    </row>
    <row r="384" spans="1:16" x14ac:dyDescent="0.2">
      <c r="A384" s="70" t="s">
        <v>1977</v>
      </c>
      <c r="B384" s="71" t="s">
        <v>1975</v>
      </c>
      <c r="C384" s="72" t="s">
        <v>1976</v>
      </c>
      <c r="D384" s="73" t="s">
        <v>561</v>
      </c>
      <c r="E384" s="72" t="s">
        <v>45</v>
      </c>
      <c r="F384" s="84">
        <v>66.25</v>
      </c>
      <c r="G384" s="73" t="s">
        <v>829</v>
      </c>
      <c r="H384" s="73"/>
      <c r="I384" s="73"/>
      <c r="J384" s="73"/>
      <c r="K384" s="73"/>
      <c r="L384" s="73"/>
      <c r="M384" s="73"/>
      <c r="N384" s="73"/>
      <c r="O384" s="75">
        <f>SUM(TABELA24[[#This Row],[T1]:[T7]])</f>
        <v>0</v>
      </c>
      <c r="P384" s="76">
        <f>TABELA24[[#This Row],[QTDE]]*TABELA24[[#This Row],[PREÇO]]</f>
        <v>0</v>
      </c>
    </row>
    <row r="385" spans="1:16" x14ac:dyDescent="0.2">
      <c r="A385" s="70" t="s">
        <v>1978</v>
      </c>
      <c r="B385" s="71" t="s">
        <v>1975</v>
      </c>
      <c r="C385" s="72" t="s">
        <v>1976</v>
      </c>
      <c r="D385" s="73" t="s">
        <v>32</v>
      </c>
      <c r="E385" s="72" t="s">
        <v>33</v>
      </c>
      <c r="F385" s="84">
        <v>66.25</v>
      </c>
      <c r="G385" s="73" t="s">
        <v>829</v>
      </c>
      <c r="H385" s="73"/>
      <c r="I385" s="73"/>
      <c r="J385" s="73"/>
      <c r="K385" s="73"/>
      <c r="L385" s="73"/>
      <c r="M385" s="73"/>
      <c r="N385" s="73"/>
      <c r="O385" s="75">
        <f>SUM(TABELA24[[#This Row],[T1]:[T7]])</f>
        <v>0</v>
      </c>
      <c r="P385" s="76">
        <f>TABELA24[[#This Row],[QTDE]]*TABELA24[[#This Row],[PREÇO]]</f>
        <v>0</v>
      </c>
    </row>
    <row r="386" spans="1:16" x14ac:dyDescent="0.2">
      <c r="A386" s="70" t="s">
        <v>1979</v>
      </c>
      <c r="B386" s="71" t="s">
        <v>1980</v>
      </c>
      <c r="C386" s="72" t="s">
        <v>1981</v>
      </c>
      <c r="D386" s="73" t="s">
        <v>1474</v>
      </c>
      <c r="E386" s="72" t="s">
        <v>1475</v>
      </c>
      <c r="F386" s="84">
        <v>49.58</v>
      </c>
      <c r="G386" s="73" t="s">
        <v>826</v>
      </c>
      <c r="H386" s="73"/>
      <c r="I386" s="73"/>
      <c r="J386" s="73"/>
      <c r="K386" s="73"/>
      <c r="L386" s="73"/>
      <c r="M386" s="73"/>
      <c r="N386" s="73"/>
      <c r="O386" s="75">
        <f>SUM(TABELA24[[#This Row],[T1]:[T7]])</f>
        <v>0</v>
      </c>
      <c r="P386" s="76">
        <f>TABELA24[[#This Row],[QTDE]]*TABELA24[[#This Row],[PREÇO]]</f>
        <v>0</v>
      </c>
    </row>
    <row r="387" spans="1:16" x14ac:dyDescent="0.2">
      <c r="A387" s="70" t="s">
        <v>1982</v>
      </c>
      <c r="B387" s="71" t="s">
        <v>1980</v>
      </c>
      <c r="C387" s="72" t="s">
        <v>1981</v>
      </c>
      <c r="D387" s="73" t="s">
        <v>1514</v>
      </c>
      <c r="E387" s="72" t="s">
        <v>1516</v>
      </c>
      <c r="F387" s="84">
        <v>49.58</v>
      </c>
      <c r="G387" s="73" t="s">
        <v>826</v>
      </c>
      <c r="H387" s="73"/>
      <c r="I387" s="73"/>
      <c r="J387" s="73"/>
      <c r="K387" s="73"/>
      <c r="L387" s="73"/>
      <c r="M387" s="73"/>
      <c r="N387" s="73"/>
      <c r="O387" s="75">
        <f>SUM(TABELA24[[#This Row],[T1]:[T7]])</f>
        <v>0</v>
      </c>
      <c r="P387" s="76">
        <f>TABELA24[[#This Row],[QTDE]]*TABELA24[[#This Row],[PREÇO]]</f>
        <v>0</v>
      </c>
    </row>
    <row r="388" spans="1:16" x14ac:dyDescent="0.2">
      <c r="A388" s="70" t="s">
        <v>1986</v>
      </c>
      <c r="B388" s="71" t="s">
        <v>1984</v>
      </c>
      <c r="C388" s="72" t="s">
        <v>1985</v>
      </c>
      <c r="D388" s="73" t="s">
        <v>1164</v>
      </c>
      <c r="E388" s="72" t="s">
        <v>1166</v>
      </c>
      <c r="F388" s="84">
        <v>57.92</v>
      </c>
      <c r="G388" s="73" t="s">
        <v>826</v>
      </c>
      <c r="H388" s="73"/>
      <c r="I388" s="73"/>
      <c r="J388" s="73"/>
      <c r="K388" s="73"/>
      <c r="L388" s="73"/>
      <c r="M388" s="73"/>
      <c r="N388" s="73"/>
      <c r="O388" s="75">
        <f>SUM(TABELA24[[#This Row],[T1]:[T7]])</f>
        <v>0</v>
      </c>
      <c r="P388" s="76">
        <f>TABELA24[[#This Row],[QTDE]]*TABELA24[[#This Row],[PREÇO]]</f>
        <v>0</v>
      </c>
    </row>
    <row r="389" spans="1:16" x14ac:dyDescent="0.2">
      <c r="A389" s="70" t="s">
        <v>1987</v>
      </c>
      <c r="B389" s="71" t="s">
        <v>1984</v>
      </c>
      <c r="C389" s="72" t="s">
        <v>1985</v>
      </c>
      <c r="D389" s="73" t="s">
        <v>1559</v>
      </c>
      <c r="E389" s="72" t="s">
        <v>1688</v>
      </c>
      <c r="F389" s="84">
        <v>57.92</v>
      </c>
      <c r="G389" s="73" t="s">
        <v>826</v>
      </c>
      <c r="H389" s="73"/>
      <c r="I389" s="73"/>
      <c r="J389" s="73"/>
      <c r="K389" s="73"/>
      <c r="L389" s="73"/>
      <c r="M389" s="73"/>
      <c r="N389" s="73"/>
      <c r="O389" s="75">
        <f>SUM(TABELA24[[#This Row],[T1]:[T7]])</f>
        <v>0</v>
      </c>
      <c r="P389" s="76">
        <f>TABELA24[[#This Row],[QTDE]]*TABELA24[[#This Row],[PREÇO]]</f>
        <v>0</v>
      </c>
    </row>
    <row r="390" spans="1:16" x14ac:dyDescent="0.2">
      <c r="A390" s="70" t="s">
        <v>1983</v>
      </c>
      <c r="B390" s="71" t="s">
        <v>1984</v>
      </c>
      <c r="C390" s="72" t="s">
        <v>1985</v>
      </c>
      <c r="D390" s="73" t="s">
        <v>1133</v>
      </c>
      <c r="E390" s="72" t="s">
        <v>1134</v>
      </c>
      <c r="F390" s="84">
        <v>57.92</v>
      </c>
      <c r="G390" s="73" t="s">
        <v>826</v>
      </c>
      <c r="H390" s="73"/>
      <c r="I390" s="73"/>
      <c r="J390" s="73"/>
      <c r="K390" s="73"/>
      <c r="L390" s="73"/>
      <c r="M390" s="73"/>
      <c r="N390" s="73"/>
      <c r="O390" s="75">
        <f>SUM(TABELA24[[#This Row],[T1]:[T7]])</f>
        <v>0</v>
      </c>
      <c r="P390" s="76">
        <f>TABELA24[[#This Row],[QTDE]]*TABELA24[[#This Row],[PREÇO]]</f>
        <v>0</v>
      </c>
    </row>
    <row r="391" spans="1:16" x14ac:dyDescent="0.2">
      <c r="A391" s="70" t="s">
        <v>1988</v>
      </c>
      <c r="B391" s="71" t="s">
        <v>1989</v>
      </c>
      <c r="C391" s="72" t="s">
        <v>1990</v>
      </c>
      <c r="D391" s="73" t="s">
        <v>32</v>
      </c>
      <c r="E391" s="72" t="s">
        <v>33</v>
      </c>
      <c r="F391" s="84">
        <v>74.58</v>
      </c>
      <c r="G391" s="73" t="s">
        <v>826</v>
      </c>
      <c r="H391" s="73"/>
      <c r="I391" s="73"/>
      <c r="J391" s="73"/>
      <c r="K391" s="73"/>
      <c r="L391" s="73"/>
      <c r="M391" s="73"/>
      <c r="N391" s="73"/>
      <c r="O391" s="75">
        <f>SUM(TABELA24[[#This Row],[T1]:[T7]])</f>
        <v>0</v>
      </c>
      <c r="P391" s="76">
        <f>TABELA24[[#This Row],[QTDE]]*TABELA24[[#This Row],[PREÇO]]</f>
        <v>0</v>
      </c>
    </row>
    <row r="392" spans="1:16" x14ac:dyDescent="0.2">
      <c r="A392" s="70" t="s">
        <v>1991</v>
      </c>
      <c r="B392" s="71" t="s">
        <v>1989</v>
      </c>
      <c r="C392" s="72" t="s">
        <v>1990</v>
      </c>
      <c r="D392" s="73" t="s">
        <v>1133</v>
      </c>
      <c r="E392" s="72" t="s">
        <v>1134</v>
      </c>
      <c r="F392" s="84">
        <v>74.58</v>
      </c>
      <c r="G392" s="73" t="s">
        <v>826</v>
      </c>
      <c r="H392" s="73"/>
      <c r="I392" s="73"/>
      <c r="J392" s="73"/>
      <c r="K392" s="73"/>
      <c r="L392" s="73"/>
      <c r="M392" s="73"/>
      <c r="N392" s="73"/>
      <c r="O392" s="75">
        <f>SUM(TABELA24[[#This Row],[T1]:[T7]])</f>
        <v>0</v>
      </c>
      <c r="P392" s="76">
        <f>TABELA24[[#This Row],[QTDE]]*TABELA24[[#This Row],[PREÇO]]</f>
        <v>0</v>
      </c>
    </row>
    <row r="393" spans="1:16" x14ac:dyDescent="0.2">
      <c r="A393" s="70" t="s">
        <v>1992</v>
      </c>
      <c r="B393" s="71" t="s">
        <v>1993</v>
      </c>
      <c r="C393" s="72" t="s">
        <v>1994</v>
      </c>
      <c r="D393" s="73" t="s">
        <v>1317</v>
      </c>
      <c r="E393" s="72" t="s">
        <v>1319</v>
      </c>
      <c r="F393" s="84">
        <v>74.58</v>
      </c>
      <c r="G393" s="73" t="s">
        <v>826</v>
      </c>
      <c r="H393" s="73"/>
      <c r="I393" s="73"/>
      <c r="J393" s="73"/>
      <c r="K393" s="73"/>
      <c r="L393" s="73"/>
      <c r="M393" s="73"/>
      <c r="N393" s="73"/>
      <c r="O393" s="75">
        <f>SUM(TABELA24[[#This Row],[T1]:[T7]])</f>
        <v>0</v>
      </c>
      <c r="P393" s="76">
        <f>TABELA24[[#This Row],[QTDE]]*TABELA24[[#This Row],[PREÇO]]</f>
        <v>0</v>
      </c>
    </row>
    <row r="394" spans="1:16" x14ac:dyDescent="0.2">
      <c r="A394" s="70" t="s">
        <v>1997</v>
      </c>
      <c r="B394" s="71" t="s">
        <v>1995</v>
      </c>
      <c r="C394" s="72" t="s">
        <v>1996</v>
      </c>
      <c r="D394" s="73" t="s">
        <v>32</v>
      </c>
      <c r="E394" s="72" t="s">
        <v>33</v>
      </c>
      <c r="F394" s="84">
        <v>107.92</v>
      </c>
      <c r="G394" s="73" t="s">
        <v>829</v>
      </c>
      <c r="H394" s="73"/>
      <c r="I394" s="73"/>
      <c r="J394" s="73"/>
      <c r="K394" s="73"/>
      <c r="L394" s="73"/>
      <c r="M394" s="73"/>
      <c r="N394" s="73"/>
      <c r="O394" s="75">
        <f>SUM(TABELA24[[#This Row],[T1]:[T7]])</f>
        <v>0</v>
      </c>
      <c r="P394" s="76">
        <f>TABELA24[[#This Row],[QTDE]]*TABELA24[[#This Row],[PREÇO]]</f>
        <v>0</v>
      </c>
    </row>
    <row r="395" spans="1:16" x14ac:dyDescent="0.2">
      <c r="A395" s="70" t="s">
        <v>1998</v>
      </c>
      <c r="B395" s="71" t="s">
        <v>1999</v>
      </c>
      <c r="C395" s="72" t="s">
        <v>2000</v>
      </c>
      <c r="D395" s="73" t="s">
        <v>895</v>
      </c>
      <c r="E395" s="72" t="s">
        <v>896</v>
      </c>
      <c r="F395" s="84">
        <v>70.42</v>
      </c>
      <c r="G395" s="73" t="s">
        <v>826</v>
      </c>
      <c r="H395" s="73"/>
      <c r="I395" s="73"/>
      <c r="J395" s="73"/>
      <c r="K395" s="73"/>
      <c r="L395" s="73"/>
      <c r="M395" s="73"/>
      <c r="N395" s="73"/>
      <c r="O395" s="75">
        <f>SUM(TABELA24[[#This Row],[T1]:[T7]])</f>
        <v>0</v>
      </c>
      <c r="P395" s="76">
        <f>TABELA24[[#This Row],[QTDE]]*TABELA24[[#This Row],[PREÇO]]</f>
        <v>0</v>
      </c>
    </row>
    <row r="396" spans="1:16" x14ac:dyDescent="0.2">
      <c r="A396" s="70" t="s">
        <v>2003</v>
      </c>
      <c r="B396" s="71" t="s">
        <v>2001</v>
      </c>
      <c r="C396" s="72" t="s">
        <v>2002</v>
      </c>
      <c r="D396" s="73" t="s">
        <v>32</v>
      </c>
      <c r="E396" s="72" t="s">
        <v>33</v>
      </c>
      <c r="F396" s="84">
        <v>124.58</v>
      </c>
      <c r="G396" s="73" t="s">
        <v>829</v>
      </c>
      <c r="H396" s="73"/>
      <c r="I396" s="73"/>
      <c r="J396" s="73"/>
      <c r="K396" s="73"/>
      <c r="L396" s="73"/>
      <c r="M396" s="73"/>
      <c r="N396" s="73"/>
      <c r="O396" s="75">
        <f>SUM(TABELA24[[#This Row],[T1]:[T7]])</f>
        <v>0</v>
      </c>
      <c r="P396" s="76">
        <f>TABELA24[[#This Row],[QTDE]]*TABELA24[[#This Row],[PREÇO]]</f>
        <v>0</v>
      </c>
    </row>
    <row r="397" spans="1:16" x14ac:dyDescent="0.2">
      <c r="A397" s="70" t="s">
        <v>2004</v>
      </c>
      <c r="B397" s="71" t="s">
        <v>2001</v>
      </c>
      <c r="C397" s="72" t="s">
        <v>2002</v>
      </c>
      <c r="D397" s="73" t="s">
        <v>895</v>
      </c>
      <c r="E397" s="72" t="s">
        <v>896</v>
      </c>
      <c r="F397" s="84">
        <v>124.58</v>
      </c>
      <c r="G397" s="73" t="s">
        <v>829</v>
      </c>
      <c r="H397" s="73"/>
      <c r="I397" s="73"/>
      <c r="J397" s="73"/>
      <c r="K397" s="73"/>
      <c r="L397" s="73"/>
      <c r="M397" s="73"/>
      <c r="N397" s="73"/>
      <c r="O397" s="75">
        <f>SUM(TABELA24[[#This Row],[T1]:[T7]])</f>
        <v>0</v>
      </c>
      <c r="P397" s="76">
        <f>TABELA24[[#This Row],[QTDE]]*TABELA24[[#This Row],[PREÇO]]</f>
        <v>0</v>
      </c>
    </row>
    <row r="398" spans="1:16" x14ac:dyDescent="0.2">
      <c r="A398" s="70" t="s">
        <v>2006</v>
      </c>
      <c r="B398" s="71" t="s">
        <v>2005</v>
      </c>
      <c r="C398" s="72" t="s">
        <v>1996</v>
      </c>
      <c r="D398" s="73" t="s">
        <v>1317</v>
      </c>
      <c r="E398" s="72" t="s">
        <v>1319</v>
      </c>
      <c r="F398" s="84">
        <v>116.25</v>
      </c>
      <c r="G398" s="73" t="s">
        <v>2319</v>
      </c>
      <c r="H398" s="73"/>
      <c r="I398" s="73"/>
      <c r="J398" s="73"/>
      <c r="K398" s="73"/>
      <c r="L398" s="73"/>
      <c r="M398" s="73"/>
      <c r="N398" s="73"/>
      <c r="O398" s="75">
        <f>SUM(TABELA24[[#This Row],[T1]:[T7]])</f>
        <v>0</v>
      </c>
      <c r="P398" s="76">
        <f>TABELA24[[#This Row],[QTDE]]*TABELA24[[#This Row],[PREÇO]]</f>
        <v>0</v>
      </c>
    </row>
    <row r="399" spans="1:16" x14ac:dyDescent="0.2">
      <c r="A399" s="70" t="s">
        <v>2007</v>
      </c>
      <c r="B399" s="71" t="s">
        <v>2008</v>
      </c>
      <c r="C399" s="72" t="s">
        <v>2009</v>
      </c>
      <c r="D399" s="73" t="s">
        <v>888</v>
      </c>
      <c r="E399" s="72" t="s">
        <v>890</v>
      </c>
      <c r="F399" s="84">
        <v>153.75</v>
      </c>
      <c r="G399" s="73" t="s">
        <v>826</v>
      </c>
      <c r="H399" s="73"/>
      <c r="I399" s="73"/>
      <c r="J399" s="73"/>
      <c r="K399" s="73"/>
      <c r="L399" s="73"/>
      <c r="M399" s="73"/>
      <c r="N399" s="73"/>
      <c r="O399" s="75">
        <f>SUM(TABELA24[[#This Row],[T1]:[T7]])</f>
        <v>0</v>
      </c>
      <c r="P399" s="76">
        <f>TABELA24[[#This Row],[QTDE]]*TABELA24[[#This Row],[PREÇO]]</f>
        <v>0</v>
      </c>
    </row>
    <row r="400" spans="1:16" x14ac:dyDescent="0.2">
      <c r="A400" s="70" t="s">
        <v>2012</v>
      </c>
      <c r="B400" s="71" t="s">
        <v>2010</v>
      </c>
      <c r="C400" s="72" t="s">
        <v>2011</v>
      </c>
      <c r="D400" s="73" t="s">
        <v>32</v>
      </c>
      <c r="E400" s="72" t="s">
        <v>33</v>
      </c>
      <c r="F400" s="84">
        <v>124.58</v>
      </c>
      <c r="G400" s="73" t="s">
        <v>829</v>
      </c>
      <c r="H400" s="73"/>
      <c r="I400" s="73"/>
      <c r="J400" s="73"/>
      <c r="K400" s="73"/>
      <c r="L400" s="73"/>
      <c r="M400" s="73"/>
      <c r="N400" s="73"/>
      <c r="O400" s="75">
        <f>SUM(TABELA24[[#This Row],[T1]:[T7]])</f>
        <v>0</v>
      </c>
      <c r="P400" s="76">
        <f>TABELA24[[#This Row],[QTDE]]*TABELA24[[#This Row],[PREÇO]]</f>
        <v>0</v>
      </c>
    </row>
    <row r="401" spans="1:16" x14ac:dyDescent="0.2">
      <c r="A401" s="70" t="s">
        <v>2015</v>
      </c>
      <c r="B401" s="71" t="s">
        <v>2013</v>
      </c>
      <c r="C401" s="72" t="s">
        <v>2014</v>
      </c>
      <c r="D401" s="73" t="s">
        <v>32</v>
      </c>
      <c r="E401" s="72" t="s">
        <v>33</v>
      </c>
      <c r="F401" s="84">
        <v>82.92</v>
      </c>
      <c r="G401" s="73" t="s">
        <v>829</v>
      </c>
      <c r="H401" s="73"/>
      <c r="I401" s="73"/>
      <c r="J401" s="73"/>
      <c r="K401" s="73"/>
      <c r="L401" s="73"/>
      <c r="M401" s="73"/>
      <c r="N401" s="73"/>
      <c r="O401" s="75">
        <f>SUM(TABELA24[[#This Row],[T1]:[T7]])</f>
        <v>0</v>
      </c>
      <c r="P401" s="76">
        <f>TABELA24[[#This Row],[QTDE]]*TABELA24[[#This Row],[PREÇO]]</f>
        <v>0</v>
      </c>
    </row>
    <row r="402" spans="1:16" x14ac:dyDescent="0.2">
      <c r="A402" s="70" t="s">
        <v>2016</v>
      </c>
      <c r="B402" s="71" t="s">
        <v>2013</v>
      </c>
      <c r="C402" s="72" t="s">
        <v>2014</v>
      </c>
      <c r="D402" s="73" t="s">
        <v>924</v>
      </c>
      <c r="E402" s="72" t="s">
        <v>926</v>
      </c>
      <c r="F402" s="84">
        <v>82.92</v>
      </c>
      <c r="G402" s="73" t="s">
        <v>829</v>
      </c>
      <c r="H402" s="73"/>
      <c r="I402" s="73"/>
      <c r="J402" s="73"/>
      <c r="K402" s="73"/>
      <c r="L402" s="73"/>
      <c r="M402" s="73"/>
      <c r="N402" s="73"/>
      <c r="O402" s="75">
        <f>SUM(TABELA24[[#This Row],[T1]:[T7]])</f>
        <v>0</v>
      </c>
      <c r="P402" s="76">
        <f>TABELA24[[#This Row],[QTDE]]*TABELA24[[#This Row],[PREÇO]]</f>
        <v>0</v>
      </c>
    </row>
    <row r="403" spans="1:16" x14ac:dyDescent="0.2">
      <c r="A403" s="70" t="s">
        <v>2017</v>
      </c>
      <c r="B403" s="71" t="s">
        <v>2013</v>
      </c>
      <c r="C403" s="72" t="s">
        <v>2014</v>
      </c>
      <c r="D403" s="73" t="s">
        <v>1133</v>
      </c>
      <c r="E403" s="72" t="s">
        <v>1134</v>
      </c>
      <c r="F403" s="84">
        <v>82.92</v>
      </c>
      <c r="G403" s="73" t="s">
        <v>829</v>
      </c>
      <c r="H403" s="73"/>
      <c r="I403" s="73"/>
      <c r="J403" s="73"/>
      <c r="K403" s="73"/>
      <c r="L403" s="73"/>
      <c r="M403" s="73"/>
      <c r="N403" s="73"/>
      <c r="O403" s="75">
        <f>SUM(TABELA24[[#This Row],[T1]:[T7]])</f>
        <v>0</v>
      </c>
      <c r="P403" s="76">
        <f>TABELA24[[#This Row],[QTDE]]*TABELA24[[#This Row],[PREÇO]]</f>
        <v>0</v>
      </c>
    </row>
    <row r="404" spans="1:16" x14ac:dyDescent="0.2">
      <c r="A404" s="70" t="s">
        <v>2019</v>
      </c>
      <c r="B404" s="71" t="s">
        <v>2018</v>
      </c>
      <c r="C404" s="72" t="s">
        <v>1791</v>
      </c>
      <c r="D404" s="73" t="s">
        <v>830</v>
      </c>
      <c r="E404" s="72" t="s">
        <v>43</v>
      </c>
      <c r="F404" s="84">
        <v>178.75</v>
      </c>
      <c r="G404" s="73" t="s">
        <v>829</v>
      </c>
      <c r="H404" s="73"/>
      <c r="I404" s="73"/>
      <c r="J404" s="73"/>
      <c r="K404" s="73"/>
      <c r="L404" s="73"/>
      <c r="M404" s="73"/>
      <c r="N404" s="73"/>
      <c r="O404" s="75">
        <f>SUM(TABELA24[[#This Row],[T1]:[T7]])</f>
        <v>0</v>
      </c>
      <c r="P404" s="76">
        <f>TABELA24[[#This Row],[QTDE]]*TABELA24[[#This Row],[PREÇO]]</f>
        <v>0</v>
      </c>
    </row>
    <row r="405" spans="1:16" x14ac:dyDescent="0.2">
      <c r="A405" s="70" t="s">
        <v>2022</v>
      </c>
      <c r="B405" s="71" t="s">
        <v>2020</v>
      </c>
      <c r="C405" s="72" t="s">
        <v>2021</v>
      </c>
      <c r="D405" s="73" t="s">
        <v>32</v>
      </c>
      <c r="E405" s="72" t="s">
        <v>33</v>
      </c>
      <c r="F405" s="84">
        <v>124.58</v>
      </c>
      <c r="G405" s="73" t="s">
        <v>829</v>
      </c>
      <c r="H405" s="73"/>
      <c r="I405" s="73"/>
      <c r="J405" s="73"/>
      <c r="K405" s="73"/>
      <c r="L405" s="73"/>
      <c r="M405" s="73"/>
      <c r="N405" s="73"/>
      <c r="O405" s="75">
        <f>SUM(TABELA24[[#This Row],[T1]:[T7]])</f>
        <v>0</v>
      </c>
      <c r="P405" s="76">
        <f>TABELA24[[#This Row],[QTDE]]*TABELA24[[#This Row],[PREÇO]]</f>
        <v>0</v>
      </c>
    </row>
    <row r="406" spans="1:16" x14ac:dyDescent="0.2">
      <c r="A406" s="70" t="s">
        <v>2023</v>
      </c>
      <c r="B406" s="71" t="s">
        <v>2020</v>
      </c>
      <c r="C406" s="72" t="s">
        <v>2021</v>
      </c>
      <c r="D406" s="73" t="s">
        <v>1133</v>
      </c>
      <c r="E406" s="72" t="s">
        <v>1134</v>
      </c>
      <c r="F406" s="84">
        <v>124.58</v>
      </c>
      <c r="G406" s="73" t="s">
        <v>829</v>
      </c>
      <c r="H406" s="73"/>
      <c r="I406" s="73"/>
      <c r="J406" s="73"/>
      <c r="K406" s="73"/>
      <c r="L406" s="73"/>
      <c r="M406" s="73"/>
      <c r="N406" s="73"/>
      <c r="O406" s="75">
        <f>SUM(TABELA24[[#This Row],[T1]:[T7]])</f>
        <v>0</v>
      </c>
      <c r="P406" s="76">
        <f>TABELA24[[#This Row],[QTDE]]*TABELA24[[#This Row],[PREÇO]]</f>
        <v>0</v>
      </c>
    </row>
    <row r="407" spans="1:16" x14ac:dyDescent="0.2">
      <c r="A407" s="70" t="s">
        <v>2026</v>
      </c>
      <c r="B407" s="71" t="s">
        <v>2024</v>
      </c>
      <c r="C407" s="72" t="s">
        <v>2025</v>
      </c>
      <c r="D407" s="73" t="s">
        <v>561</v>
      </c>
      <c r="E407" s="72" t="s">
        <v>45</v>
      </c>
      <c r="F407" s="84">
        <v>99.58</v>
      </c>
      <c r="G407" s="73" t="s">
        <v>829</v>
      </c>
      <c r="H407" s="73"/>
      <c r="I407" s="73"/>
      <c r="J407" s="73"/>
      <c r="K407" s="73"/>
      <c r="L407" s="73"/>
      <c r="M407" s="73"/>
      <c r="N407" s="73"/>
      <c r="O407" s="75">
        <f>SUM(TABELA24[[#This Row],[T1]:[T7]])</f>
        <v>0</v>
      </c>
      <c r="P407" s="76">
        <f>TABELA24[[#This Row],[QTDE]]*TABELA24[[#This Row],[PREÇO]]</f>
        <v>0</v>
      </c>
    </row>
    <row r="408" spans="1:16" x14ac:dyDescent="0.2">
      <c r="A408" s="70" t="s">
        <v>2029</v>
      </c>
      <c r="B408" s="71" t="s">
        <v>2027</v>
      </c>
      <c r="C408" s="72" t="s">
        <v>2028</v>
      </c>
      <c r="D408" s="73" t="s">
        <v>32</v>
      </c>
      <c r="E408" s="72" t="s">
        <v>33</v>
      </c>
      <c r="F408" s="84">
        <v>124.58</v>
      </c>
      <c r="G408" s="73" t="s">
        <v>829</v>
      </c>
      <c r="H408" s="73"/>
      <c r="I408" s="73"/>
      <c r="J408" s="73"/>
      <c r="K408" s="73"/>
      <c r="L408" s="73"/>
      <c r="M408" s="73"/>
      <c r="N408" s="73"/>
      <c r="O408" s="75">
        <f>SUM(TABELA24[[#This Row],[T1]:[T7]])</f>
        <v>0</v>
      </c>
      <c r="P408" s="76">
        <f>TABELA24[[#This Row],[QTDE]]*TABELA24[[#This Row],[PREÇO]]</f>
        <v>0</v>
      </c>
    </row>
    <row r="409" spans="1:16" x14ac:dyDescent="0.2">
      <c r="A409" s="70" t="s">
        <v>2030</v>
      </c>
      <c r="B409" s="71" t="s">
        <v>2027</v>
      </c>
      <c r="C409" s="72" t="s">
        <v>2028</v>
      </c>
      <c r="D409" s="73" t="s">
        <v>830</v>
      </c>
      <c r="E409" s="72" t="s">
        <v>43</v>
      </c>
      <c r="F409" s="84">
        <v>124.58</v>
      </c>
      <c r="G409" s="73" t="s">
        <v>829</v>
      </c>
      <c r="H409" s="73"/>
      <c r="I409" s="73"/>
      <c r="J409" s="73"/>
      <c r="K409" s="73"/>
      <c r="L409" s="73"/>
      <c r="M409" s="73"/>
      <c r="N409" s="73"/>
      <c r="O409" s="75">
        <f>SUM(TABELA24[[#This Row],[T1]:[T7]])</f>
        <v>0</v>
      </c>
      <c r="P409" s="76">
        <f>TABELA24[[#This Row],[QTDE]]*TABELA24[[#This Row],[PREÇO]]</f>
        <v>0</v>
      </c>
    </row>
    <row r="410" spans="1:16" x14ac:dyDescent="0.2">
      <c r="A410" s="70" t="s">
        <v>2032</v>
      </c>
      <c r="B410" s="71" t="s">
        <v>2027</v>
      </c>
      <c r="C410" s="72" t="s">
        <v>2028</v>
      </c>
      <c r="D410" s="73" t="s">
        <v>1164</v>
      </c>
      <c r="E410" s="72" t="s">
        <v>1166</v>
      </c>
      <c r="F410" s="84">
        <v>124.58</v>
      </c>
      <c r="G410" s="73" t="s">
        <v>829</v>
      </c>
      <c r="H410" s="73"/>
      <c r="I410" s="73"/>
      <c r="J410" s="73"/>
      <c r="K410" s="73"/>
      <c r="L410" s="73"/>
      <c r="M410" s="73"/>
      <c r="N410" s="73"/>
      <c r="O410" s="75">
        <f>SUM(TABELA24[[#This Row],[T1]:[T7]])</f>
        <v>0</v>
      </c>
      <c r="P410" s="76">
        <f>TABELA24[[#This Row],[QTDE]]*TABELA24[[#This Row],[PREÇO]]</f>
        <v>0</v>
      </c>
    </row>
    <row r="411" spans="1:16" x14ac:dyDescent="0.2">
      <c r="A411" s="70" t="s">
        <v>2031</v>
      </c>
      <c r="B411" s="71" t="s">
        <v>2027</v>
      </c>
      <c r="C411" s="72" t="s">
        <v>2028</v>
      </c>
      <c r="D411" s="73" t="s">
        <v>1133</v>
      </c>
      <c r="E411" s="72" t="s">
        <v>1134</v>
      </c>
      <c r="F411" s="84">
        <v>124.58</v>
      </c>
      <c r="G411" s="73" t="s">
        <v>829</v>
      </c>
      <c r="H411" s="73"/>
      <c r="I411" s="73"/>
      <c r="J411" s="73"/>
      <c r="K411" s="73"/>
      <c r="L411" s="73"/>
      <c r="M411" s="73"/>
      <c r="N411" s="73"/>
      <c r="O411" s="75">
        <f>SUM(TABELA24[[#This Row],[T1]:[T7]])</f>
        <v>0</v>
      </c>
      <c r="P411" s="76">
        <f>TABELA24[[#This Row],[QTDE]]*TABELA24[[#This Row],[PREÇO]]</f>
        <v>0</v>
      </c>
    </row>
    <row r="412" spans="1:16" x14ac:dyDescent="0.2">
      <c r="A412" s="70" t="s">
        <v>2035</v>
      </c>
      <c r="B412" s="71" t="s">
        <v>2033</v>
      </c>
      <c r="C412" s="72" t="s">
        <v>2034</v>
      </c>
      <c r="D412" s="73" t="s">
        <v>32</v>
      </c>
      <c r="E412" s="72" t="s">
        <v>33</v>
      </c>
      <c r="F412" s="84">
        <v>107.92</v>
      </c>
      <c r="G412" s="73" t="s">
        <v>829</v>
      </c>
      <c r="H412" s="73"/>
      <c r="I412" s="73"/>
      <c r="J412" s="73"/>
      <c r="K412" s="73"/>
      <c r="L412" s="73"/>
      <c r="M412" s="73"/>
      <c r="N412" s="73"/>
      <c r="O412" s="75">
        <f>SUM(TABELA24[[#This Row],[T1]:[T7]])</f>
        <v>0</v>
      </c>
      <c r="P412" s="76">
        <f>TABELA24[[#This Row],[QTDE]]*TABELA24[[#This Row],[PREÇO]]</f>
        <v>0</v>
      </c>
    </row>
    <row r="413" spans="1:16" x14ac:dyDescent="0.2">
      <c r="A413" s="70" t="s">
        <v>2036</v>
      </c>
      <c r="B413" s="71" t="s">
        <v>2033</v>
      </c>
      <c r="C413" s="72" t="s">
        <v>2034</v>
      </c>
      <c r="D413" s="73" t="s">
        <v>924</v>
      </c>
      <c r="E413" s="72" t="s">
        <v>926</v>
      </c>
      <c r="F413" s="84">
        <v>107.92</v>
      </c>
      <c r="G413" s="73" t="s">
        <v>829</v>
      </c>
      <c r="H413" s="73"/>
      <c r="I413" s="73"/>
      <c r="J413" s="73"/>
      <c r="K413" s="73"/>
      <c r="L413" s="73"/>
      <c r="M413" s="73"/>
      <c r="N413" s="73"/>
      <c r="O413" s="75">
        <f>SUM(TABELA24[[#This Row],[T1]:[T7]])</f>
        <v>0</v>
      </c>
      <c r="P413" s="76">
        <f>TABELA24[[#This Row],[QTDE]]*TABELA24[[#This Row],[PREÇO]]</f>
        <v>0</v>
      </c>
    </row>
    <row r="414" spans="1:16" x14ac:dyDescent="0.2">
      <c r="A414" s="70" t="s">
        <v>2039</v>
      </c>
      <c r="B414" s="71" t="s">
        <v>2037</v>
      </c>
      <c r="C414" s="72" t="s">
        <v>2038</v>
      </c>
      <c r="D414" s="73" t="s">
        <v>32</v>
      </c>
      <c r="E414" s="72" t="s">
        <v>33</v>
      </c>
      <c r="F414" s="84">
        <v>166.25</v>
      </c>
      <c r="G414" s="73" t="s">
        <v>829</v>
      </c>
      <c r="H414" s="73"/>
      <c r="I414" s="73"/>
      <c r="J414" s="73"/>
      <c r="K414" s="73"/>
      <c r="L414" s="73"/>
      <c r="M414" s="73"/>
      <c r="N414" s="73"/>
      <c r="O414" s="75">
        <f>SUM(TABELA24[[#This Row],[T1]:[T7]])</f>
        <v>0</v>
      </c>
      <c r="P414" s="76">
        <f>TABELA24[[#This Row],[QTDE]]*TABELA24[[#This Row],[PREÇO]]</f>
        <v>0</v>
      </c>
    </row>
    <row r="415" spans="1:16" x14ac:dyDescent="0.2">
      <c r="A415" s="70" t="s">
        <v>2042</v>
      </c>
      <c r="B415" s="71" t="s">
        <v>2040</v>
      </c>
      <c r="C415" s="72" t="s">
        <v>2041</v>
      </c>
      <c r="D415" s="73" t="s">
        <v>32</v>
      </c>
      <c r="E415" s="72" t="s">
        <v>33</v>
      </c>
      <c r="F415" s="84">
        <v>199.58</v>
      </c>
      <c r="G415" s="73" t="s">
        <v>829</v>
      </c>
      <c r="H415" s="73"/>
      <c r="I415" s="73"/>
      <c r="J415" s="73"/>
      <c r="K415" s="73"/>
      <c r="L415" s="73"/>
      <c r="M415" s="73"/>
      <c r="N415" s="73"/>
      <c r="O415" s="75">
        <f>SUM(TABELA24[[#This Row],[T1]:[T7]])</f>
        <v>0</v>
      </c>
      <c r="P415" s="76">
        <f>TABELA24[[#This Row],[QTDE]]*TABELA24[[#This Row],[PREÇO]]</f>
        <v>0</v>
      </c>
    </row>
    <row r="416" spans="1:16" x14ac:dyDescent="0.2">
      <c r="A416" s="70" t="s">
        <v>2044</v>
      </c>
      <c r="B416" s="71" t="s">
        <v>2043</v>
      </c>
      <c r="C416" s="72" t="s">
        <v>1867</v>
      </c>
      <c r="D416" s="73" t="s">
        <v>1474</v>
      </c>
      <c r="E416" s="72" t="s">
        <v>1475</v>
      </c>
      <c r="F416" s="84">
        <v>124.58</v>
      </c>
      <c r="G416" s="73" t="s">
        <v>829</v>
      </c>
      <c r="H416" s="73"/>
      <c r="I416" s="73"/>
      <c r="J416" s="73"/>
      <c r="K416" s="73"/>
      <c r="L416" s="73"/>
      <c r="M416" s="73"/>
      <c r="N416" s="73"/>
      <c r="O416" s="75">
        <f>SUM(TABELA24[[#This Row],[T1]:[T7]])</f>
        <v>0</v>
      </c>
      <c r="P416" s="76">
        <f>TABELA24[[#This Row],[QTDE]]*TABELA24[[#This Row],[PREÇO]]</f>
        <v>0</v>
      </c>
    </row>
    <row r="417" spans="1:16" x14ac:dyDescent="0.2">
      <c r="A417" s="70" t="s">
        <v>2047</v>
      </c>
      <c r="B417" s="71" t="s">
        <v>2045</v>
      </c>
      <c r="C417" s="72" t="s">
        <v>2046</v>
      </c>
      <c r="D417" s="73" t="s">
        <v>830</v>
      </c>
      <c r="E417" s="72" t="s">
        <v>43</v>
      </c>
      <c r="F417" s="84">
        <v>157.91999999999999</v>
      </c>
      <c r="G417" s="73" t="s">
        <v>829</v>
      </c>
      <c r="H417" s="73"/>
      <c r="I417" s="73"/>
      <c r="J417" s="73"/>
      <c r="K417" s="73"/>
      <c r="L417" s="73"/>
      <c r="M417" s="73"/>
      <c r="N417" s="73"/>
      <c r="O417" s="75">
        <f>SUM(TABELA24[[#This Row],[T1]:[T7]])</f>
        <v>0</v>
      </c>
      <c r="P417" s="76">
        <f>TABELA24[[#This Row],[QTDE]]*TABELA24[[#This Row],[PREÇO]]</f>
        <v>0</v>
      </c>
    </row>
    <row r="418" spans="1:16" x14ac:dyDescent="0.2">
      <c r="A418" s="70" t="s">
        <v>2050</v>
      </c>
      <c r="B418" s="71" t="s">
        <v>2048</v>
      </c>
      <c r="C418" s="72" t="s">
        <v>2049</v>
      </c>
      <c r="D418" s="73" t="s">
        <v>32</v>
      </c>
      <c r="E418" s="72" t="s">
        <v>33</v>
      </c>
      <c r="F418" s="84">
        <v>166.25</v>
      </c>
      <c r="G418" s="73" t="s">
        <v>829</v>
      </c>
      <c r="H418" s="73"/>
      <c r="I418" s="73"/>
      <c r="J418" s="73"/>
      <c r="K418" s="73"/>
      <c r="L418" s="73"/>
      <c r="M418" s="73"/>
      <c r="N418" s="73"/>
      <c r="O418" s="75">
        <f>SUM(TABELA24[[#This Row],[T1]:[T7]])</f>
        <v>0</v>
      </c>
      <c r="P418" s="76">
        <f>TABELA24[[#This Row],[QTDE]]*TABELA24[[#This Row],[PREÇO]]</f>
        <v>0</v>
      </c>
    </row>
    <row r="419" spans="1:16" x14ac:dyDescent="0.2">
      <c r="A419" s="70" t="s">
        <v>2051</v>
      </c>
      <c r="B419" s="71" t="s">
        <v>2048</v>
      </c>
      <c r="C419" s="72" t="s">
        <v>2049</v>
      </c>
      <c r="D419" s="73" t="s">
        <v>895</v>
      </c>
      <c r="E419" s="72" t="s">
        <v>896</v>
      </c>
      <c r="F419" s="84">
        <v>166.25</v>
      </c>
      <c r="G419" s="73" t="s">
        <v>829</v>
      </c>
      <c r="H419" s="73"/>
      <c r="I419" s="73"/>
      <c r="J419" s="73"/>
      <c r="K419" s="73"/>
      <c r="L419" s="73"/>
      <c r="M419" s="73"/>
      <c r="N419" s="73"/>
      <c r="O419" s="75">
        <f>SUM(TABELA24[[#This Row],[T1]:[T7]])</f>
        <v>0</v>
      </c>
      <c r="P419" s="76">
        <f>TABELA24[[#This Row],[QTDE]]*TABELA24[[#This Row],[PREÇO]]</f>
        <v>0</v>
      </c>
    </row>
    <row r="420" spans="1:16" x14ac:dyDescent="0.2">
      <c r="A420" s="70" t="s">
        <v>2054</v>
      </c>
      <c r="B420" s="71" t="s">
        <v>2052</v>
      </c>
      <c r="C420" s="72" t="s">
        <v>2053</v>
      </c>
      <c r="D420" s="73" t="s">
        <v>898</v>
      </c>
      <c r="E420" s="72" t="s">
        <v>900</v>
      </c>
      <c r="F420" s="84">
        <v>137.08000000000001</v>
      </c>
      <c r="G420" s="73" t="s">
        <v>829</v>
      </c>
      <c r="H420" s="73"/>
      <c r="I420" s="73"/>
      <c r="J420" s="73"/>
      <c r="K420" s="73"/>
      <c r="L420" s="73"/>
      <c r="M420" s="73"/>
      <c r="N420" s="73"/>
      <c r="O420" s="75">
        <f>SUM(TABELA24[[#This Row],[T1]:[T7]])</f>
        <v>0</v>
      </c>
      <c r="P420" s="76">
        <f>TABELA24[[#This Row],[QTDE]]*TABELA24[[#This Row],[PREÇO]]</f>
        <v>0</v>
      </c>
    </row>
    <row r="421" spans="1:16" x14ac:dyDescent="0.2">
      <c r="A421" s="70" t="s">
        <v>2057</v>
      </c>
      <c r="B421" s="71" t="s">
        <v>2055</v>
      </c>
      <c r="C421" s="72" t="s">
        <v>2056</v>
      </c>
      <c r="D421" s="73" t="s">
        <v>1317</v>
      </c>
      <c r="E421" s="72" t="s">
        <v>1319</v>
      </c>
      <c r="F421" s="84">
        <v>174.58</v>
      </c>
      <c r="G421" s="73" t="s">
        <v>829</v>
      </c>
      <c r="H421" s="73"/>
      <c r="I421" s="73"/>
      <c r="J421" s="73"/>
      <c r="K421" s="73"/>
      <c r="L421" s="73"/>
      <c r="M421" s="73"/>
      <c r="N421" s="73"/>
      <c r="O421" s="75">
        <f>SUM(TABELA24[[#This Row],[T1]:[T7]])</f>
        <v>0</v>
      </c>
      <c r="P421" s="76">
        <f>TABELA24[[#This Row],[QTDE]]*TABELA24[[#This Row],[PREÇO]]</f>
        <v>0</v>
      </c>
    </row>
    <row r="422" spans="1:16" x14ac:dyDescent="0.2">
      <c r="A422" s="70" t="s">
        <v>2060</v>
      </c>
      <c r="B422" s="71" t="s">
        <v>2058</v>
      </c>
      <c r="C422" s="72" t="s">
        <v>2059</v>
      </c>
      <c r="D422" s="73" t="s">
        <v>32</v>
      </c>
      <c r="E422" s="72" t="s">
        <v>33</v>
      </c>
      <c r="F422" s="84">
        <v>166.25</v>
      </c>
      <c r="G422" s="73" t="s">
        <v>829</v>
      </c>
      <c r="H422" s="73"/>
      <c r="I422" s="73"/>
      <c r="J422" s="73"/>
      <c r="K422" s="73"/>
      <c r="L422" s="73"/>
      <c r="M422" s="73"/>
      <c r="N422" s="73"/>
      <c r="O422" s="75">
        <f>SUM(TABELA24[[#This Row],[T1]:[T7]])</f>
        <v>0</v>
      </c>
      <c r="P422" s="76">
        <f>TABELA24[[#This Row],[QTDE]]*TABELA24[[#This Row],[PREÇO]]</f>
        <v>0</v>
      </c>
    </row>
    <row r="423" spans="1:16" x14ac:dyDescent="0.2">
      <c r="A423" s="70" t="s">
        <v>2061</v>
      </c>
      <c r="B423" s="71" t="s">
        <v>2058</v>
      </c>
      <c r="C423" s="72" t="s">
        <v>2059</v>
      </c>
      <c r="D423" s="73" t="s">
        <v>924</v>
      </c>
      <c r="E423" s="72" t="s">
        <v>926</v>
      </c>
      <c r="F423" s="84">
        <v>166.25</v>
      </c>
      <c r="G423" s="73" t="s">
        <v>829</v>
      </c>
      <c r="H423" s="73"/>
      <c r="I423" s="73"/>
      <c r="J423" s="73"/>
      <c r="K423" s="73"/>
      <c r="L423" s="73"/>
      <c r="M423" s="73"/>
      <c r="N423" s="73"/>
      <c r="O423" s="75">
        <f>SUM(TABELA24[[#This Row],[T1]:[T7]])</f>
        <v>0</v>
      </c>
      <c r="P423" s="76">
        <f>TABELA24[[#This Row],[QTDE]]*TABELA24[[#This Row],[PREÇO]]</f>
        <v>0</v>
      </c>
    </row>
    <row r="424" spans="1:16" x14ac:dyDescent="0.2">
      <c r="A424" s="70" t="s">
        <v>2064</v>
      </c>
      <c r="B424" s="71" t="s">
        <v>2062</v>
      </c>
      <c r="C424" s="72" t="s">
        <v>2063</v>
      </c>
      <c r="D424" s="73" t="s">
        <v>32</v>
      </c>
      <c r="E424" s="72" t="s">
        <v>33</v>
      </c>
      <c r="F424" s="84">
        <v>257.92</v>
      </c>
      <c r="G424" s="73" t="s">
        <v>829</v>
      </c>
      <c r="H424" s="73"/>
      <c r="I424" s="73"/>
      <c r="J424" s="73"/>
      <c r="K424" s="73"/>
      <c r="L424" s="73"/>
      <c r="M424" s="73"/>
      <c r="N424" s="73"/>
      <c r="O424" s="75">
        <f>SUM(TABELA24[[#This Row],[T1]:[T7]])</f>
        <v>0</v>
      </c>
      <c r="P424" s="76">
        <f>TABELA24[[#This Row],[QTDE]]*TABELA24[[#This Row],[PREÇO]]</f>
        <v>0</v>
      </c>
    </row>
    <row r="425" spans="1:16" x14ac:dyDescent="0.2">
      <c r="A425" s="70" t="s">
        <v>2067</v>
      </c>
      <c r="B425" s="71" t="s">
        <v>2065</v>
      </c>
      <c r="C425" s="72" t="s">
        <v>2066</v>
      </c>
      <c r="D425" s="73" t="s">
        <v>32</v>
      </c>
      <c r="E425" s="72" t="s">
        <v>33</v>
      </c>
      <c r="F425" s="84">
        <v>157.91999999999999</v>
      </c>
      <c r="G425" s="73" t="s">
        <v>829</v>
      </c>
      <c r="H425" s="73"/>
      <c r="I425" s="73"/>
      <c r="J425" s="73"/>
      <c r="K425" s="73"/>
      <c r="L425" s="73"/>
      <c r="M425" s="73"/>
      <c r="N425" s="73"/>
      <c r="O425" s="75">
        <f>SUM(TABELA24[[#This Row],[T1]:[T7]])</f>
        <v>0</v>
      </c>
      <c r="P425" s="76">
        <f>TABELA24[[#This Row],[QTDE]]*TABELA24[[#This Row],[PREÇO]]</f>
        <v>0</v>
      </c>
    </row>
    <row r="426" spans="1:16" x14ac:dyDescent="0.2">
      <c r="A426" s="70" t="s">
        <v>2068</v>
      </c>
      <c r="B426" s="71" t="s">
        <v>2065</v>
      </c>
      <c r="C426" s="72" t="s">
        <v>2066</v>
      </c>
      <c r="D426" s="73" t="s">
        <v>924</v>
      </c>
      <c r="E426" s="72" t="s">
        <v>926</v>
      </c>
      <c r="F426" s="84">
        <v>157.91999999999999</v>
      </c>
      <c r="G426" s="73" t="s">
        <v>829</v>
      </c>
      <c r="H426" s="73"/>
      <c r="I426" s="73"/>
      <c r="J426" s="73"/>
      <c r="K426" s="73"/>
      <c r="L426" s="73"/>
      <c r="M426" s="73"/>
      <c r="N426" s="73"/>
      <c r="O426" s="75">
        <f>SUM(TABELA24[[#This Row],[T1]:[T7]])</f>
        <v>0</v>
      </c>
      <c r="P426" s="76">
        <f>TABELA24[[#This Row],[QTDE]]*TABELA24[[#This Row],[PREÇO]]</f>
        <v>0</v>
      </c>
    </row>
    <row r="427" spans="1:16" x14ac:dyDescent="0.2">
      <c r="A427" s="70" t="s">
        <v>2069</v>
      </c>
      <c r="B427" s="71" t="s">
        <v>2065</v>
      </c>
      <c r="C427" s="72" t="s">
        <v>2066</v>
      </c>
      <c r="D427" s="73" t="s">
        <v>1133</v>
      </c>
      <c r="E427" s="72" t="s">
        <v>1134</v>
      </c>
      <c r="F427" s="84">
        <v>157.91999999999999</v>
      </c>
      <c r="G427" s="73" t="s">
        <v>829</v>
      </c>
      <c r="H427" s="73"/>
      <c r="I427" s="73"/>
      <c r="J427" s="73"/>
      <c r="K427" s="73"/>
      <c r="L427" s="73"/>
      <c r="M427" s="73"/>
      <c r="N427" s="73"/>
      <c r="O427" s="75">
        <f>SUM(TABELA24[[#This Row],[T1]:[T7]])</f>
        <v>0</v>
      </c>
      <c r="P427" s="76">
        <f>TABELA24[[#This Row],[QTDE]]*TABELA24[[#This Row],[PREÇO]]</f>
        <v>0</v>
      </c>
    </row>
    <row r="428" spans="1:16" x14ac:dyDescent="0.2">
      <c r="A428" s="70" t="s">
        <v>2072</v>
      </c>
      <c r="B428" s="71" t="s">
        <v>2070</v>
      </c>
      <c r="C428" s="72" t="s">
        <v>2071</v>
      </c>
      <c r="D428" s="73" t="s">
        <v>32</v>
      </c>
      <c r="E428" s="72" t="s">
        <v>33</v>
      </c>
      <c r="F428" s="84">
        <v>191.25</v>
      </c>
      <c r="G428" s="73" t="s">
        <v>829</v>
      </c>
      <c r="H428" s="73"/>
      <c r="I428" s="73"/>
      <c r="J428" s="73"/>
      <c r="K428" s="73"/>
      <c r="L428" s="73"/>
      <c r="M428" s="73"/>
      <c r="N428" s="73"/>
      <c r="O428" s="75">
        <f>SUM(TABELA24[[#This Row],[T1]:[T7]])</f>
        <v>0</v>
      </c>
      <c r="P428" s="76">
        <f>TABELA24[[#This Row],[QTDE]]*TABELA24[[#This Row],[PREÇO]]</f>
        <v>0</v>
      </c>
    </row>
    <row r="429" spans="1:16" x14ac:dyDescent="0.2">
      <c r="A429" s="70" t="s">
        <v>2076</v>
      </c>
      <c r="B429" s="71" t="s">
        <v>2073</v>
      </c>
      <c r="C429" s="72" t="s">
        <v>2074</v>
      </c>
      <c r="D429" s="73" t="s">
        <v>895</v>
      </c>
      <c r="E429" s="72" t="s">
        <v>896</v>
      </c>
      <c r="F429" s="84">
        <v>124.58</v>
      </c>
      <c r="G429" s="73" t="s">
        <v>829</v>
      </c>
      <c r="H429" s="73"/>
      <c r="I429" s="73"/>
      <c r="J429" s="73"/>
      <c r="K429" s="73"/>
      <c r="L429" s="73"/>
      <c r="M429" s="73"/>
      <c r="N429" s="73"/>
      <c r="O429" s="75">
        <f>SUM(TABELA24[[#This Row],[T1]:[T7]])</f>
        <v>0</v>
      </c>
      <c r="P429" s="76">
        <f>TABELA24[[#This Row],[QTDE]]*TABELA24[[#This Row],[PREÇO]]</f>
        <v>0</v>
      </c>
    </row>
    <row r="430" spans="1:16" x14ac:dyDescent="0.2">
      <c r="A430" s="70" t="s">
        <v>2075</v>
      </c>
      <c r="B430" s="71" t="s">
        <v>2073</v>
      </c>
      <c r="C430" s="72" t="s">
        <v>2074</v>
      </c>
      <c r="D430" s="73" t="s">
        <v>924</v>
      </c>
      <c r="E430" s="72" t="s">
        <v>926</v>
      </c>
      <c r="F430" s="84">
        <v>124.58</v>
      </c>
      <c r="G430" s="73" t="s">
        <v>829</v>
      </c>
      <c r="H430" s="73"/>
      <c r="I430" s="73"/>
      <c r="J430" s="73"/>
      <c r="K430" s="73"/>
      <c r="L430" s="73"/>
      <c r="M430" s="73"/>
      <c r="N430" s="73"/>
      <c r="O430" s="75">
        <f>SUM(TABELA24[[#This Row],[T1]:[T7]])</f>
        <v>0</v>
      </c>
      <c r="P430" s="76">
        <f>TABELA24[[#This Row],[QTDE]]*TABELA24[[#This Row],[PREÇO]]</f>
        <v>0</v>
      </c>
    </row>
    <row r="431" spans="1:16" x14ac:dyDescent="0.2">
      <c r="A431" s="70" t="s">
        <v>2079</v>
      </c>
      <c r="B431" s="71" t="s">
        <v>2077</v>
      </c>
      <c r="C431" s="72" t="s">
        <v>2078</v>
      </c>
      <c r="D431" s="73" t="s">
        <v>32</v>
      </c>
      <c r="E431" s="72" t="s">
        <v>33</v>
      </c>
      <c r="F431" s="84">
        <v>137.08000000000001</v>
      </c>
      <c r="G431" s="73" t="s">
        <v>829</v>
      </c>
      <c r="H431" s="73"/>
      <c r="I431" s="73"/>
      <c r="J431" s="73"/>
      <c r="K431" s="73"/>
      <c r="L431" s="73"/>
      <c r="M431" s="73"/>
      <c r="N431" s="73"/>
      <c r="O431" s="75">
        <f>SUM(TABELA24[[#This Row],[T1]:[T7]])</f>
        <v>0</v>
      </c>
      <c r="P431" s="76">
        <f>TABELA24[[#This Row],[QTDE]]*TABELA24[[#This Row],[PREÇO]]</f>
        <v>0</v>
      </c>
    </row>
    <row r="432" spans="1:16" x14ac:dyDescent="0.2">
      <c r="A432" s="70" t="s">
        <v>2080</v>
      </c>
      <c r="B432" s="71" t="s">
        <v>2077</v>
      </c>
      <c r="C432" s="72" t="s">
        <v>2078</v>
      </c>
      <c r="D432" s="73" t="s">
        <v>895</v>
      </c>
      <c r="E432" s="72" t="s">
        <v>896</v>
      </c>
      <c r="F432" s="84">
        <v>137.08000000000001</v>
      </c>
      <c r="G432" s="73" t="s">
        <v>829</v>
      </c>
      <c r="H432" s="73"/>
      <c r="I432" s="73"/>
      <c r="J432" s="73"/>
      <c r="K432" s="73"/>
      <c r="L432" s="73"/>
      <c r="M432" s="73"/>
      <c r="N432" s="73"/>
      <c r="O432" s="75">
        <f>SUM(TABELA24[[#This Row],[T1]:[T7]])</f>
        <v>0</v>
      </c>
      <c r="P432" s="76">
        <f>TABELA24[[#This Row],[QTDE]]*TABELA24[[#This Row],[PREÇO]]</f>
        <v>0</v>
      </c>
    </row>
    <row r="433" spans="1:16" x14ac:dyDescent="0.2">
      <c r="A433" s="70" t="s">
        <v>2082</v>
      </c>
      <c r="B433" s="71" t="s">
        <v>2081</v>
      </c>
      <c r="C433" s="72" t="s">
        <v>2053</v>
      </c>
      <c r="D433" s="73" t="s">
        <v>1474</v>
      </c>
      <c r="E433" s="72" t="s">
        <v>1475</v>
      </c>
      <c r="F433" s="84">
        <v>137.08000000000001</v>
      </c>
      <c r="G433" s="73" t="s">
        <v>829</v>
      </c>
      <c r="H433" s="73"/>
      <c r="I433" s="73"/>
      <c r="J433" s="73"/>
      <c r="K433" s="73"/>
      <c r="L433" s="73"/>
      <c r="M433" s="73"/>
      <c r="N433" s="73"/>
      <c r="O433" s="75">
        <f>SUM(TABELA24[[#This Row],[T1]:[T7]])</f>
        <v>0</v>
      </c>
      <c r="P433" s="76">
        <f>TABELA24[[#This Row],[QTDE]]*TABELA24[[#This Row],[PREÇO]]</f>
        <v>0</v>
      </c>
    </row>
    <row r="434" spans="1:16" x14ac:dyDescent="0.2">
      <c r="A434" s="70" t="s">
        <v>2086</v>
      </c>
      <c r="B434" s="71" t="s">
        <v>2084</v>
      </c>
      <c r="C434" s="72" t="s">
        <v>2085</v>
      </c>
      <c r="D434" s="73" t="s">
        <v>830</v>
      </c>
      <c r="E434" s="72" t="s">
        <v>43</v>
      </c>
      <c r="F434" s="84">
        <v>95.42</v>
      </c>
      <c r="G434" s="73" t="s">
        <v>826</v>
      </c>
      <c r="H434" s="73"/>
      <c r="I434" s="73"/>
      <c r="J434" s="73"/>
      <c r="K434" s="73"/>
      <c r="L434" s="73"/>
      <c r="M434" s="73"/>
      <c r="N434" s="73"/>
      <c r="O434" s="75">
        <f>SUM(TABELA24[[#This Row],[T1]:[T7]])</f>
        <v>0</v>
      </c>
      <c r="P434" s="76">
        <f>TABELA24[[#This Row],[QTDE]]*TABELA24[[#This Row],[PREÇO]]</f>
        <v>0</v>
      </c>
    </row>
    <row r="435" spans="1:16" x14ac:dyDescent="0.2">
      <c r="A435" s="70" t="s">
        <v>2083</v>
      </c>
      <c r="B435" s="71" t="s">
        <v>2084</v>
      </c>
      <c r="C435" s="72" t="s">
        <v>2085</v>
      </c>
      <c r="D435" s="73" t="s">
        <v>32</v>
      </c>
      <c r="E435" s="72" t="s">
        <v>33</v>
      </c>
      <c r="F435" s="84">
        <v>95.42</v>
      </c>
      <c r="G435" s="73" t="s">
        <v>826</v>
      </c>
      <c r="H435" s="73"/>
      <c r="I435" s="73"/>
      <c r="J435" s="73"/>
      <c r="K435" s="73"/>
      <c r="L435" s="73"/>
      <c r="M435" s="73"/>
      <c r="N435" s="73"/>
      <c r="O435" s="75">
        <f>SUM(TABELA24[[#This Row],[T1]:[T7]])</f>
        <v>0</v>
      </c>
      <c r="P435" s="76">
        <f>TABELA24[[#This Row],[QTDE]]*TABELA24[[#This Row],[PREÇO]]</f>
        <v>0</v>
      </c>
    </row>
    <row r="436" spans="1:16" x14ac:dyDescent="0.2">
      <c r="A436" s="70" t="s">
        <v>2087</v>
      </c>
      <c r="B436" s="71" t="s">
        <v>2088</v>
      </c>
      <c r="C436" s="72" t="s">
        <v>2089</v>
      </c>
      <c r="D436" s="73" t="s">
        <v>830</v>
      </c>
      <c r="E436" s="72" t="s">
        <v>43</v>
      </c>
      <c r="F436" s="84">
        <v>70.42</v>
      </c>
      <c r="G436" s="73" t="s">
        <v>826</v>
      </c>
      <c r="H436" s="73"/>
      <c r="I436" s="73"/>
      <c r="J436" s="73"/>
      <c r="K436" s="73"/>
      <c r="L436" s="73"/>
      <c r="M436" s="73"/>
      <c r="N436" s="73"/>
      <c r="O436" s="75">
        <f>SUM(TABELA24[[#This Row],[T1]:[T7]])</f>
        <v>0</v>
      </c>
      <c r="P436" s="76">
        <f>TABELA24[[#This Row],[QTDE]]*TABELA24[[#This Row],[PREÇO]]</f>
        <v>0</v>
      </c>
    </row>
    <row r="437" spans="1:16" x14ac:dyDescent="0.2">
      <c r="A437" s="70" t="s">
        <v>2090</v>
      </c>
      <c r="B437" s="71" t="s">
        <v>2091</v>
      </c>
      <c r="C437" s="72" t="s">
        <v>2092</v>
      </c>
      <c r="D437" s="73" t="s">
        <v>1474</v>
      </c>
      <c r="E437" s="72" t="s">
        <v>1475</v>
      </c>
      <c r="F437" s="84">
        <v>78.75</v>
      </c>
      <c r="G437" s="73" t="s">
        <v>826</v>
      </c>
      <c r="H437" s="73"/>
      <c r="I437" s="73"/>
      <c r="J437" s="73"/>
      <c r="K437" s="73"/>
      <c r="L437" s="73"/>
      <c r="M437" s="73"/>
      <c r="N437" s="73"/>
      <c r="O437" s="75">
        <f>SUM(TABELA24[[#This Row],[T1]:[T7]])</f>
        <v>0</v>
      </c>
      <c r="P437" s="76">
        <f>TABELA24[[#This Row],[QTDE]]*TABELA24[[#This Row],[PREÇO]]</f>
        <v>0</v>
      </c>
    </row>
    <row r="438" spans="1:16" x14ac:dyDescent="0.2">
      <c r="A438" s="70" t="s">
        <v>2093</v>
      </c>
      <c r="B438" s="71" t="s">
        <v>2094</v>
      </c>
      <c r="C438" s="72" t="s">
        <v>2095</v>
      </c>
      <c r="D438" s="73" t="s">
        <v>1317</v>
      </c>
      <c r="E438" s="72" t="s">
        <v>1319</v>
      </c>
      <c r="F438" s="84">
        <v>149.58000000000001</v>
      </c>
      <c r="G438" s="73" t="s">
        <v>826</v>
      </c>
      <c r="H438" s="73"/>
      <c r="I438" s="73"/>
      <c r="J438" s="73"/>
      <c r="K438" s="73"/>
      <c r="L438" s="73"/>
      <c r="M438" s="73"/>
      <c r="N438" s="73"/>
      <c r="O438" s="75">
        <f>SUM(TABELA24[[#This Row],[T1]:[T7]])</f>
        <v>0</v>
      </c>
      <c r="P438" s="76">
        <f>TABELA24[[#This Row],[QTDE]]*TABELA24[[#This Row],[PREÇO]]</f>
        <v>0</v>
      </c>
    </row>
    <row r="439" spans="1:16" x14ac:dyDescent="0.2">
      <c r="A439" s="70" t="s">
        <v>2096</v>
      </c>
      <c r="B439" s="71" t="s">
        <v>2097</v>
      </c>
      <c r="C439" s="72" t="s">
        <v>2098</v>
      </c>
      <c r="D439" s="73" t="s">
        <v>32</v>
      </c>
      <c r="E439" s="72" t="s">
        <v>33</v>
      </c>
      <c r="F439" s="84">
        <v>149.58000000000001</v>
      </c>
      <c r="G439" s="73" t="s">
        <v>826</v>
      </c>
      <c r="H439" s="73"/>
      <c r="I439" s="73"/>
      <c r="J439" s="73"/>
      <c r="K439" s="73"/>
      <c r="L439" s="73"/>
      <c r="M439" s="73"/>
      <c r="N439" s="73"/>
      <c r="O439" s="75">
        <f>SUM(TABELA24[[#This Row],[T1]:[T7]])</f>
        <v>0</v>
      </c>
      <c r="P439" s="76">
        <f>TABELA24[[#This Row],[QTDE]]*TABELA24[[#This Row],[PREÇO]]</f>
        <v>0</v>
      </c>
    </row>
    <row r="440" spans="1:16" x14ac:dyDescent="0.2">
      <c r="A440" s="70" t="s">
        <v>2099</v>
      </c>
      <c r="B440" s="71" t="s">
        <v>2100</v>
      </c>
      <c r="C440" s="72" t="s">
        <v>834</v>
      </c>
      <c r="D440" s="73" t="s">
        <v>1474</v>
      </c>
      <c r="E440" s="72" t="s">
        <v>1475</v>
      </c>
      <c r="F440" s="84">
        <v>91.25</v>
      </c>
      <c r="G440" s="73" t="s">
        <v>826</v>
      </c>
      <c r="H440" s="73"/>
      <c r="I440" s="73"/>
      <c r="J440" s="73"/>
      <c r="K440" s="73"/>
      <c r="L440" s="73"/>
      <c r="M440" s="73"/>
      <c r="N440" s="73"/>
      <c r="O440" s="75">
        <f>SUM(TABELA24[[#This Row],[T1]:[T7]])</f>
        <v>0</v>
      </c>
      <c r="P440" s="76">
        <f>TABELA24[[#This Row],[QTDE]]*TABELA24[[#This Row],[PREÇO]]</f>
        <v>0</v>
      </c>
    </row>
    <row r="441" spans="1:16" x14ac:dyDescent="0.2">
      <c r="A441" s="70" t="s">
        <v>2101</v>
      </c>
      <c r="B441" s="71" t="s">
        <v>2102</v>
      </c>
      <c r="C441" s="72" t="s">
        <v>2103</v>
      </c>
      <c r="D441" s="73" t="s">
        <v>32</v>
      </c>
      <c r="E441" s="72" t="s">
        <v>33</v>
      </c>
      <c r="F441" s="84">
        <v>74.58</v>
      </c>
      <c r="G441" s="73" t="s">
        <v>826</v>
      </c>
      <c r="H441" s="73"/>
      <c r="I441" s="73"/>
      <c r="J441" s="73"/>
      <c r="K441" s="73"/>
      <c r="L441" s="73"/>
      <c r="M441" s="73"/>
      <c r="N441" s="73"/>
      <c r="O441" s="75">
        <f>SUM(TABELA24[[#This Row],[T1]:[T7]])</f>
        <v>0</v>
      </c>
      <c r="P441" s="76">
        <f>TABELA24[[#This Row],[QTDE]]*TABELA24[[#This Row],[PREÇO]]</f>
        <v>0</v>
      </c>
    </row>
    <row r="442" spans="1:16" x14ac:dyDescent="0.2">
      <c r="A442" s="70" t="s">
        <v>2104</v>
      </c>
      <c r="B442" s="71" t="s">
        <v>2102</v>
      </c>
      <c r="C442" s="72" t="s">
        <v>2103</v>
      </c>
      <c r="D442" s="73" t="s">
        <v>819</v>
      </c>
      <c r="E442" s="72" t="s">
        <v>73</v>
      </c>
      <c r="F442" s="84">
        <v>74.58</v>
      </c>
      <c r="G442" s="73" t="s">
        <v>826</v>
      </c>
      <c r="H442" s="73"/>
      <c r="I442" s="73"/>
      <c r="J442" s="73"/>
      <c r="K442" s="73"/>
      <c r="L442" s="73"/>
      <c r="M442" s="73"/>
      <c r="N442" s="73"/>
      <c r="O442" s="75">
        <f>SUM(TABELA24[[#This Row],[T1]:[T7]])</f>
        <v>0</v>
      </c>
      <c r="P442" s="76">
        <f>TABELA24[[#This Row],[QTDE]]*TABELA24[[#This Row],[PREÇO]]</f>
        <v>0</v>
      </c>
    </row>
    <row r="443" spans="1:16" x14ac:dyDescent="0.2">
      <c r="A443" s="70" t="s">
        <v>2108</v>
      </c>
      <c r="B443" s="71" t="s">
        <v>2106</v>
      </c>
      <c r="C443" s="72" t="s">
        <v>2107</v>
      </c>
      <c r="D443" s="73" t="s">
        <v>830</v>
      </c>
      <c r="E443" s="72" t="s">
        <v>43</v>
      </c>
      <c r="F443" s="84">
        <v>107.92</v>
      </c>
      <c r="G443" s="73" t="s">
        <v>826</v>
      </c>
      <c r="H443" s="73"/>
      <c r="I443" s="73"/>
      <c r="J443" s="73"/>
      <c r="K443" s="73"/>
      <c r="L443" s="73"/>
      <c r="M443" s="73"/>
      <c r="N443" s="73"/>
      <c r="O443" s="75">
        <f>SUM(TABELA24[[#This Row],[T1]:[T7]])</f>
        <v>0</v>
      </c>
      <c r="P443" s="76">
        <f>TABELA24[[#This Row],[QTDE]]*TABELA24[[#This Row],[PREÇO]]</f>
        <v>0</v>
      </c>
    </row>
    <row r="444" spans="1:16" x14ac:dyDescent="0.2">
      <c r="A444" s="70" t="s">
        <v>2105</v>
      </c>
      <c r="B444" s="71" t="s">
        <v>2106</v>
      </c>
      <c r="C444" s="72" t="s">
        <v>2107</v>
      </c>
      <c r="D444" s="73" t="s">
        <v>32</v>
      </c>
      <c r="E444" s="72" t="s">
        <v>33</v>
      </c>
      <c r="F444" s="84">
        <v>107.92</v>
      </c>
      <c r="G444" s="73" t="s">
        <v>826</v>
      </c>
      <c r="H444" s="73"/>
      <c r="I444" s="73"/>
      <c r="J444" s="73"/>
      <c r="K444" s="73"/>
      <c r="L444" s="73"/>
      <c r="M444" s="73"/>
      <c r="N444" s="73"/>
      <c r="O444" s="75">
        <f>SUM(TABELA24[[#This Row],[T1]:[T7]])</f>
        <v>0</v>
      </c>
      <c r="P444" s="76">
        <f>TABELA24[[#This Row],[QTDE]]*TABELA24[[#This Row],[PREÇO]]</f>
        <v>0</v>
      </c>
    </row>
    <row r="445" spans="1:16" x14ac:dyDescent="0.2">
      <c r="A445" s="70" t="s">
        <v>2109</v>
      </c>
      <c r="B445" s="71" t="s">
        <v>2110</v>
      </c>
      <c r="C445" s="72" t="s">
        <v>2111</v>
      </c>
      <c r="D445" s="73" t="s">
        <v>1184</v>
      </c>
      <c r="E445" s="72" t="s">
        <v>2317</v>
      </c>
      <c r="F445" s="84">
        <v>70.42</v>
      </c>
      <c r="G445" s="73" t="s">
        <v>826</v>
      </c>
      <c r="H445" s="73"/>
      <c r="I445" s="73"/>
      <c r="J445" s="73"/>
      <c r="K445" s="73"/>
      <c r="L445" s="73"/>
      <c r="M445" s="73"/>
      <c r="N445" s="73"/>
      <c r="O445" s="75">
        <f>SUM(TABELA24[[#This Row],[T1]:[T7]])</f>
        <v>0</v>
      </c>
      <c r="P445" s="76">
        <f>TABELA24[[#This Row],[QTDE]]*TABELA24[[#This Row],[PREÇO]]</f>
        <v>0</v>
      </c>
    </row>
    <row r="446" spans="1:16" x14ac:dyDescent="0.2">
      <c r="A446" s="70" t="s">
        <v>2112</v>
      </c>
      <c r="B446" s="71" t="s">
        <v>2110</v>
      </c>
      <c r="C446" s="72" t="s">
        <v>2111</v>
      </c>
      <c r="D446" s="73" t="s">
        <v>882</v>
      </c>
      <c r="E446" s="72" t="s">
        <v>817</v>
      </c>
      <c r="F446" s="84">
        <v>70.42</v>
      </c>
      <c r="G446" s="73" t="s">
        <v>826</v>
      </c>
      <c r="H446" s="73"/>
      <c r="I446" s="73"/>
      <c r="J446" s="73"/>
      <c r="K446" s="73"/>
      <c r="L446" s="73"/>
      <c r="M446" s="73"/>
      <c r="N446" s="73"/>
      <c r="O446" s="75">
        <f>SUM(TABELA24[[#This Row],[T1]:[T7]])</f>
        <v>0</v>
      </c>
      <c r="P446" s="76">
        <f>TABELA24[[#This Row],[QTDE]]*TABELA24[[#This Row],[PREÇO]]</f>
        <v>0</v>
      </c>
    </row>
    <row r="447" spans="1:16" x14ac:dyDescent="0.2">
      <c r="A447" s="70" t="s">
        <v>2116</v>
      </c>
      <c r="B447" s="71" t="s">
        <v>2114</v>
      </c>
      <c r="C447" s="72" t="s">
        <v>2115</v>
      </c>
      <c r="D447" s="73" t="s">
        <v>1317</v>
      </c>
      <c r="E447" s="72" t="s">
        <v>1319</v>
      </c>
      <c r="F447" s="84">
        <v>116.25</v>
      </c>
      <c r="G447" s="73" t="s">
        <v>826</v>
      </c>
      <c r="H447" s="73"/>
      <c r="I447" s="73"/>
      <c r="J447" s="73"/>
      <c r="K447" s="73"/>
      <c r="L447" s="73"/>
      <c r="M447" s="73"/>
      <c r="N447" s="73"/>
      <c r="O447" s="75">
        <f>SUM(TABELA24[[#This Row],[T1]:[T7]])</f>
        <v>0</v>
      </c>
      <c r="P447" s="76">
        <f>TABELA24[[#This Row],[QTDE]]*TABELA24[[#This Row],[PREÇO]]</f>
        <v>0</v>
      </c>
    </row>
    <row r="448" spans="1:16" x14ac:dyDescent="0.2">
      <c r="A448" s="70" t="s">
        <v>2113</v>
      </c>
      <c r="B448" s="71" t="s">
        <v>2114</v>
      </c>
      <c r="C448" s="72" t="s">
        <v>2115</v>
      </c>
      <c r="D448" s="73" t="s">
        <v>32</v>
      </c>
      <c r="E448" s="72" t="s">
        <v>33</v>
      </c>
      <c r="F448" s="84">
        <v>116.25</v>
      </c>
      <c r="G448" s="73" t="s">
        <v>826</v>
      </c>
      <c r="H448" s="73"/>
      <c r="I448" s="73"/>
      <c r="J448" s="73"/>
      <c r="K448" s="73"/>
      <c r="L448" s="73"/>
      <c r="M448" s="73"/>
      <c r="N448" s="73"/>
      <c r="O448" s="75">
        <f>SUM(TABELA24[[#This Row],[T1]:[T7]])</f>
        <v>0</v>
      </c>
      <c r="P448" s="76">
        <f>TABELA24[[#This Row],[QTDE]]*TABELA24[[#This Row],[PREÇO]]</f>
        <v>0</v>
      </c>
    </row>
    <row r="449" spans="1:16" x14ac:dyDescent="0.2">
      <c r="A449" s="70" t="s">
        <v>2117</v>
      </c>
      <c r="B449" s="71" t="s">
        <v>2118</v>
      </c>
      <c r="C449" s="72" t="s">
        <v>2119</v>
      </c>
      <c r="D449" s="73" t="s">
        <v>1474</v>
      </c>
      <c r="E449" s="72" t="s">
        <v>1475</v>
      </c>
      <c r="F449" s="84">
        <v>82.92</v>
      </c>
      <c r="G449" s="73" t="s">
        <v>826</v>
      </c>
      <c r="H449" s="73"/>
      <c r="I449" s="73"/>
      <c r="J449" s="73"/>
      <c r="K449" s="73"/>
      <c r="L449" s="73"/>
      <c r="M449" s="73"/>
      <c r="N449" s="73"/>
      <c r="O449" s="75">
        <f>SUM(TABELA24[[#This Row],[T1]:[T7]])</f>
        <v>0</v>
      </c>
      <c r="P449" s="76">
        <f>TABELA24[[#This Row],[QTDE]]*TABELA24[[#This Row],[PREÇO]]</f>
        <v>0</v>
      </c>
    </row>
    <row r="450" spans="1:16" x14ac:dyDescent="0.2">
      <c r="A450" s="70" t="s">
        <v>2123</v>
      </c>
      <c r="B450" s="71" t="s">
        <v>2121</v>
      </c>
      <c r="C450" s="72" t="s">
        <v>2122</v>
      </c>
      <c r="D450" s="73" t="s">
        <v>1317</v>
      </c>
      <c r="E450" s="72" t="s">
        <v>1319</v>
      </c>
      <c r="F450" s="84">
        <v>91.25</v>
      </c>
      <c r="G450" s="73" t="s">
        <v>826</v>
      </c>
      <c r="H450" s="73"/>
      <c r="I450" s="73"/>
      <c r="J450" s="73"/>
      <c r="K450" s="73"/>
      <c r="L450" s="73"/>
      <c r="M450" s="73"/>
      <c r="N450" s="73"/>
      <c r="O450" s="75">
        <f>SUM(TABELA24[[#This Row],[T1]:[T7]])</f>
        <v>0</v>
      </c>
      <c r="P450" s="76">
        <f>TABELA24[[#This Row],[QTDE]]*TABELA24[[#This Row],[PREÇO]]</f>
        <v>0</v>
      </c>
    </row>
    <row r="451" spans="1:16" x14ac:dyDescent="0.2">
      <c r="A451" s="70" t="s">
        <v>2120</v>
      </c>
      <c r="B451" s="71" t="s">
        <v>2121</v>
      </c>
      <c r="C451" s="72" t="s">
        <v>2122</v>
      </c>
      <c r="D451" s="73" t="s">
        <v>32</v>
      </c>
      <c r="E451" s="72" t="s">
        <v>33</v>
      </c>
      <c r="F451" s="84">
        <v>91.25</v>
      </c>
      <c r="G451" s="73" t="s">
        <v>826</v>
      </c>
      <c r="H451" s="73"/>
      <c r="I451" s="73"/>
      <c r="J451" s="73"/>
      <c r="K451" s="73"/>
      <c r="L451" s="73"/>
      <c r="M451" s="73"/>
      <c r="N451" s="73"/>
      <c r="O451" s="75">
        <f>SUM(TABELA24[[#This Row],[T1]:[T7]])</f>
        <v>0</v>
      </c>
      <c r="P451" s="76">
        <f>TABELA24[[#This Row],[QTDE]]*TABELA24[[#This Row],[PREÇO]]</f>
        <v>0</v>
      </c>
    </row>
    <row r="452" spans="1:16" x14ac:dyDescent="0.2">
      <c r="A452" s="70" t="s">
        <v>2126</v>
      </c>
      <c r="B452" s="71" t="s">
        <v>2124</v>
      </c>
      <c r="C452" s="72" t="s">
        <v>2125</v>
      </c>
      <c r="D452" s="73" t="s">
        <v>821</v>
      </c>
      <c r="E452" s="72" t="s">
        <v>822</v>
      </c>
      <c r="F452" s="84">
        <v>195.42</v>
      </c>
      <c r="G452" s="73" t="s">
        <v>826</v>
      </c>
      <c r="H452" s="73"/>
      <c r="I452" s="73"/>
      <c r="J452" s="73"/>
      <c r="K452" s="73"/>
      <c r="L452" s="73"/>
      <c r="M452" s="73"/>
      <c r="N452" s="73"/>
      <c r="O452" s="75">
        <f>SUM(TABELA24[[#This Row],[T1]:[T7]])</f>
        <v>0</v>
      </c>
      <c r="P452" s="76">
        <f>TABELA24[[#This Row],[QTDE]]*TABELA24[[#This Row],[PREÇO]]</f>
        <v>0</v>
      </c>
    </row>
    <row r="453" spans="1:16" x14ac:dyDescent="0.2">
      <c r="A453" s="70" t="s">
        <v>2129</v>
      </c>
      <c r="B453" s="71" t="s">
        <v>2127</v>
      </c>
      <c r="C453" s="72" t="s">
        <v>2128</v>
      </c>
      <c r="D453" s="73" t="s">
        <v>830</v>
      </c>
      <c r="E453" s="72" t="s">
        <v>43</v>
      </c>
      <c r="F453" s="84">
        <v>82.92</v>
      </c>
      <c r="G453" s="73" t="s">
        <v>829</v>
      </c>
      <c r="H453" s="73"/>
      <c r="I453" s="73"/>
      <c r="J453" s="73"/>
      <c r="K453" s="73"/>
      <c r="L453" s="73"/>
      <c r="M453" s="73"/>
      <c r="N453" s="73"/>
      <c r="O453" s="75">
        <f>SUM(TABELA24[[#This Row],[T1]:[T7]])</f>
        <v>0</v>
      </c>
      <c r="P453" s="76">
        <f>TABELA24[[#This Row],[QTDE]]*TABELA24[[#This Row],[PREÇO]]</f>
        <v>0</v>
      </c>
    </row>
    <row r="454" spans="1:16" x14ac:dyDescent="0.2">
      <c r="A454" s="70" t="s">
        <v>2131</v>
      </c>
      <c r="B454" s="71" t="s">
        <v>2127</v>
      </c>
      <c r="C454" s="72" t="s">
        <v>2128</v>
      </c>
      <c r="D454" s="73" t="s">
        <v>895</v>
      </c>
      <c r="E454" s="72" t="s">
        <v>896</v>
      </c>
      <c r="F454" s="84">
        <v>82.92</v>
      </c>
      <c r="G454" s="73" t="s">
        <v>829</v>
      </c>
      <c r="H454" s="73"/>
      <c r="I454" s="73"/>
      <c r="J454" s="73"/>
      <c r="K454" s="73"/>
      <c r="L454" s="73"/>
      <c r="M454" s="73"/>
      <c r="N454" s="73"/>
      <c r="O454" s="75">
        <f>SUM(TABELA24[[#This Row],[T1]:[T7]])</f>
        <v>0</v>
      </c>
      <c r="P454" s="76">
        <f>TABELA24[[#This Row],[QTDE]]*TABELA24[[#This Row],[PREÇO]]</f>
        <v>0</v>
      </c>
    </row>
    <row r="455" spans="1:16" x14ac:dyDescent="0.2">
      <c r="A455" s="70" t="s">
        <v>2130</v>
      </c>
      <c r="B455" s="71" t="s">
        <v>2127</v>
      </c>
      <c r="C455" s="72" t="s">
        <v>2128</v>
      </c>
      <c r="D455" s="73" t="s">
        <v>924</v>
      </c>
      <c r="E455" s="72" t="s">
        <v>926</v>
      </c>
      <c r="F455" s="84">
        <v>82.92</v>
      </c>
      <c r="G455" s="73" t="s">
        <v>829</v>
      </c>
      <c r="H455" s="73"/>
      <c r="I455" s="73"/>
      <c r="J455" s="73"/>
      <c r="K455" s="73"/>
      <c r="L455" s="73"/>
      <c r="M455" s="73"/>
      <c r="N455" s="73"/>
      <c r="O455" s="75">
        <f>SUM(TABELA24[[#This Row],[T1]:[T7]])</f>
        <v>0</v>
      </c>
      <c r="P455" s="76">
        <f>TABELA24[[#This Row],[QTDE]]*TABELA24[[#This Row],[PREÇO]]</f>
        <v>0</v>
      </c>
    </row>
    <row r="456" spans="1:16" x14ac:dyDescent="0.2">
      <c r="A456" s="70" t="s">
        <v>2134</v>
      </c>
      <c r="B456" s="71" t="s">
        <v>2132</v>
      </c>
      <c r="C456" s="72" t="s">
        <v>2133</v>
      </c>
      <c r="D456" s="73" t="s">
        <v>32</v>
      </c>
      <c r="E456" s="72" t="s">
        <v>33</v>
      </c>
      <c r="F456" s="84">
        <v>78.75</v>
      </c>
      <c r="G456" s="73" t="s">
        <v>829</v>
      </c>
      <c r="H456" s="73"/>
      <c r="I456" s="73"/>
      <c r="J456" s="73"/>
      <c r="K456" s="73"/>
      <c r="L456" s="73"/>
      <c r="M456" s="73"/>
      <c r="N456" s="73"/>
      <c r="O456" s="75">
        <f>SUM(TABELA24[[#This Row],[T1]:[T7]])</f>
        <v>0</v>
      </c>
      <c r="P456" s="76">
        <f>TABELA24[[#This Row],[QTDE]]*TABELA24[[#This Row],[PREÇO]]</f>
        <v>0</v>
      </c>
    </row>
    <row r="457" spans="1:16" x14ac:dyDescent="0.2">
      <c r="A457" s="70" t="s">
        <v>2137</v>
      </c>
      <c r="B457" s="71" t="s">
        <v>2135</v>
      </c>
      <c r="C457" s="72" t="s">
        <v>2136</v>
      </c>
      <c r="D457" s="73" t="s">
        <v>1068</v>
      </c>
      <c r="E457" s="72" t="s">
        <v>1069</v>
      </c>
      <c r="F457" s="84">
        <v>224.58</v>
      </c>
      <c r="G457" s="73" t="s">
        <v>829</v>
      </c>
      <c r="H457" s="73"/>
      <c r="I457" s="73"/>
      <c r="J457" s="73"/>
      <c r="K457" s="73"/>
      <c r="L457" s="73"/>
      <c r="M457" s="73"/>
      <c r="N457" s="73"/>
      <c r="O457" s="75">
        <f>SUM(TABELA24[[#This Row],[T1]:[T7]])</f>
        <v>0</v>
      </c>
      <c r="P457" s="76">
        <f>TABELA24[[#This Row],[QTDE]]*TABELA24[[#This Row],[PREÇO]]</f>
        <v>0</v>
      </c>
    </row>
    <row r="458" spans="1:16" x14ac:dyDescent="0.2">
      <c r="A458" s="70" t="s">
        <v>2139</v>
      </c>
      <c r="B458" s="71" t="s">
        <v>2138</v>
      </c>
      <c r="C458" s="72" t="s">
        <v>1224</v>
      </c>
      <c r="D458" s="73" t="s">
        <v>898</v>
      </c>
      <c r="E458" s="72" t="s">
        <v>900</v>
      </c>
      <c r="F458" s="84">
        <v>137.08000000000001</v>
      </c>
      <c r="G458" s="73" t="s">
        <v>829</v>
      </c>
      <c r="H458" s="73"/>
      <c r="I458" s="73"/>
      <c r="J458" s="73"/>
      <c r="K458" s="73"/>
      <c r="L458" s="73"/>
      <c r="M458" s="73"/>
      <c r="N458" s="73"/>
      <c r="O458" s="75">
        <f>SUM(TABELA24[[#This Row],[T1]:[T7]])</f>
        <v>0</v>
      </c>
      <c r="P458" s="76">
        <f>TABELA24[[#This Row],[QTDE]]*TABELA24[[#This Row],[PREÇO]]</f>
        <v>0</v>
      </c>
    </row>
    <row r="459" spans="1:16" x14ac:dyDescent="0.2">
      <c r="A459" s="70" t="s">
        <v>2142</v>
      </c>
      <c r="B459" s="71" t="s">
        <v>2140</v>
      </c>
      <c r="C459" s="72" t="s">
        <v>2141</v>
      </c>
      <c r="D459" s="73" t="s">
        <v>929</v>
      </c>
      <c r="E459" s="72" t="s">
        <v>931</v>
      </c>
      <c r="F459" s="84">
        <v>187.08</v>
      </c>
      <c r="G459" s="73" t="s">
        <v>829</v>
      </c>
      <c r="H459" s="73"/>
      <c r="I459" s="73"/>
      <c r="J459" s="73"/>
      <c r="K459" s="73"/>
      <c r="L459" s="73"/>
      <c r="M459" s="73"/>
      <c r="N459" s="73"/>
      <c r="O459" s="75">
        <f>SUM(TABELA24[[#This Row],[T1]:[T7]])</f>
        <v>0</v>
      </c>
      <c r="P459" s="76">
        <f>TABELA24[[#This Row],[QTDE]]*TABELA24[[#This Row],[PREÇO]]</f>
        <v>0</v>
      </c>
    </row>
    <row r="460" spans="1:16" x14ac:dyDescent="0.2">
      <c r="A460" s="70" t="s">
        <v>2145</v>
      </c>
      <c r="B460" s="71" t="s">
        <v>2143</v>
      </c>
      <c r="C460" s="72" t="s">
        <v>2144</v>
      </c>
      <c r="D460" s="73" t="s">
        <v>898</v>
      </c>
      <c r="E460" s="72" t="s">
        <v>900</v>
      </c>
      <c r="F460" s="84">
        <v>141.25</v>
      </c>
      <c r="G460" s="73" t="s">
        <v>829</v>
      </c>
      <c r="H460" s="73"/>
      <c r="I460" s="73"/>
      <c r="J460" s="73"/>
      <c r="K460" s="73"/>
      <c r="L460" s="73"/>
      <c r="M460" s="73"/>
      <c r="N460" s="73"/>
      <c r="O460" s="75">
        <f>SUM(TABELA24[[#This Row],[T1]:[T7]])</f>
        <v>0</v>
      </c>
      <c r="P460" s="76">
        <f>TABELA24[[#This Row],[QTDE]]*TABELA24[[#This Row],[PREÇO]]</f>
        <v>0</v>
      </c>
    </row>
    <row r="461" spans="1:16" x14ac:dyDescent="0.2">
      <c r="A461" s="70" t="s">
        <v>2148</v>
      </c>
      <c r="B461" s="71" t="s">
        <v>2146</v>
      </c>
      <c r="C461" s="72" t="s">
        <v>2147</v>
      </c>
      <c r="D461" s="73" t="s">
        <v>895</v>
      </c>
      <c r="E461" s="72" t="s">
        <v>896</v>
      </c>
      <c r="F461" s="84">
        <v>191.25</v>
      </c>
      <c r="G461" s="73" t="s">
        <v>829</v>
      </c>
      <c r="H461" s="73"/>
      <c r="I461" s="73"/>
      <c r="J461" s="73"/>
      <c r="K461" s="73"/>
      <c r="L461" s="73"/>
      <c r="M461" s="73"/>
      <c r="N461" s="73"/>
      <c r="O461" s="75">
        <f>SUM(TABELA24[[#This Row],[T1]:[T7]])</f>
        <v>0</v>
      </c>
      <c r="P461" s="76">
        <f>TABELA24[[#This Row],[QTDE]]*TABELA24[[#This Row],[PREÇO]]</f>
        <v>0</v>
      </c>
    </row>
    <row r="462" spans="1:16" x14ac:dyDescent="0.2">
      <c r="A462" s="70" t="s">
        <v>2151</v>
      </c>
      <c r="B462" s="71" t="s">
        <v>2149</v>
      </c>
      <c r="C462" s="72" t="s">
        <v>2150</v>
      </c>
      <c r="D462" s="73" t="s">
        <v>882</v>
      </c>
      <c r="E462" s="72" t="s">
        <v>817</v>
      </c>
      <c r="F462" s="84">
        <v>266.25</v>
      </c>
      <c r="G462" s="73" t="s">
        <v>829</v>
      </c>
      <c r="H462" s="73"/>
      <c r="I462" s="73"/>
      <c r="J462" s="73"/>
      <c r="K462" s="73"/>
      <c r="L462" s="73"/>
      <c r="M462" s="73"/>
      <c r="N462" s="73"/>
      <c r="O462" s="75">
        <f>SUM(TABELA24[[#This Row],[T1]:[T7]])</f>
        <v>0</v>
      </c>
      <c r="P462" s="76">
        <f>TABELA24[[#This Row],[QTDE]]*TABELA24[[#This Row],[PREÇO]]</f>
        <v>0</v>
      </c>
    </row>
    <row r="463" spans="1:16" x14ac:dyDescent="0.2">
      <c r="A463" s="70" t="s">
        <v>2155</v>
      </c>
      <c r="B463" s="71" t="s">
        <v>2152</v>
      </c>
      <c r="C463" s="72" t="s">
        <v>2153</v>
      </c>
      <c r="D463" s="73" t="s">
        <v>955</v>
      </c>
      <c r="E463" s="72" t="s">
        <v>2154</v>
      </c>
      <c r="F463" s="84">
        <v>374.58</v>
      </c>
      <c r="G463" s="73" t="s">
        <v>829</v>
      </c>
      <c r="H463" s="73"/>
      <c r="I463" s="73"/>
      <c r="J463" s="73"/>
      <c r="K463" s="73"/>
      <c r="L463" s="73"/>
      <c r="M463" s="73"/>
      <c r="N463" s="73"/>
      <c r="O463" s="75">
        <f>SUM(TABELA24[[#This Row],[T1]:[T7]])</f>
        <v>0</v>
      </c>
      <c r="P463" s="76">
        <f>TABELA24[[#This Row],[QTDE]]*TABELA24[[#This Row],[PREÇO]]</f>
        <v>0</v>
      </c>
    </row>
    <row r="464" spans="1:16" x14ac:dyDescent="0.2">
      <c r="A464" s="70" t="s">
        <v>2158</v>
      </c>
      <c r="B464" s="71" t="s">
        <v>2156</v>
      </c>
      <c r="C464" s="72" t="s">
        <v>2157</v>
      </c>
      <c r="D464" s="73" t="s">
        <v>882</v>
      </c>
      <c r="E464" s="72" t="s">
        <v>817</v>
      </c>
      <c r="F464" s="84">
        <v>345.42</v>
      </c>
      <c r="G464" s="73" t="s">
        <v>829</v>
      </c>
      <c r="H464" s="73"/>
      <c r="I464" s="73"/>
      <c r="J464" s="73"/>
      <c r="K464" s="73"/>
      <c r="L464" s="73"/>
      <c r="M464" s="73"/>
      <c r="N464" s="73"/>
      <c r="O464" s="75">
        <f>SUM(TABELA24[[#This Row],[T1]:[T7]])</f>
        <v>0</v>
      </c>
      <c r="P464" s="76">
        <f>TABELA24[[#This Row],[QTDE]]*TABELA24[[#This Row],[PREÇO]]</f>
        <v>0</v>
      </c>
    </row>
    <row r="465" spans="1:16" x14ac:dyDescent="0.2">
      <c r="A465" s="70" t="s">
        <v>2161</v>
      </c>
      <c r="B465" s="71" t="s">
        <v>2159</v>
      </c>
      <c r="C465" s="72" t="s">
        <v>2160</v>
      </c>
      <c r="D465" s="73" t="s">
        <v>830</v>
      </c>
      <c r="E465" s="72" t="s">
        <v>43</v>
      </c>
      <c r="F465" s="84">
        <v>207.92</v>
      </c>
      <c r="G465" s="73" t="s">
        <v>829</v>
      </c>
      <c r="H465" s="73"/>
      <c r="I465" s="73"/>
      <c r="J465" s="73"/>
      <c r="K465" s="73"/>
      <c r="L465" s="73"/>
      <c r="M465" s="73"/>
      <c r="N465" s="73"/>
      <c r="O465" s="75">
        <f>SUM(TABELA24[[#This Row],[T1]:[T7]])</f>
        <v>0</v>
      </c>
      <c r="P465" s="76">
        <f>TABELA24[[#This Row],[QTDE]]*TABELA24[[#This Row],[PREÇO]]</f>
        <v>0</v>
      </c>
    </row>
    <row r="466" spans="1:16" x14ac:dyDescent="0.2">
      <c r="A466" s="70" t="s">
        <v>2164</v>
      </c>
      <c r="B466" s="71" t="s">
        <v>2162</v>
      </c>
      <c r="C466" s="72" t="s">
        <v>2163</v>
      </c>
      <c r="D466" s="73" t="s">
        <v>32</v>
      </c>
      <c r="E466" s="72" t="s">
        <v>33</v>
      </c>
      <c r="F466" s="84">
        <v>207.92</v>
      </c>
      <c r="G466" s="73" t="s">
        <v>829</v>
      </c>
      <c r="H466" s="73"/>
      <c r="I466" s="73"/>
      <c r="J466" s="73"/>
      <c r="K466" s="73"/>
      <c r="L466" s="73"/>
      <c r="M466" s="73"/>
      <c r="N466" s="73"/>
      <c r="O466" s="75">
        <f>SUM(TABELA24[[#This Row],[T1]:[T7]])</f>
        <v>0</v>
      </c>
      <c r="P466" s="76">
        <f>TABELA24[[#This Row],[QTDE]]*TABELA24[[#This Row],[PREÇO]]</f>
        <v>0</v>
      </c>
    </row>
    <row r="467" spans="1:16" x14ac:dyDescent="0.2">
      <c r="A467" s="70" t="s">
        <v>2167</v>
      </c>
      <c r="B467" s="71" t="s">
        <v>2165</v>
      </c>
      <c r="C467" s="72" t="s">
        <v>2166</v>
      </c>
      <c r="D467" s="73" t="s">
        <v>1263</v>
      </c>
      <c r="E467" s="72" t="s">
        <v>1265</v>
      </c>
      <c r="F467" s="84">
        <v>207.92</v>
      </c>
      <c r="G467" s="73" t="s">
        <v>829</v>
      </c>
      <c r="H467" s="73"/>
      <c r="I467" s="73"/>
      <c r="J467" s="73"/>
      <c r="K467" s="73"/>
      <c r="L467" s="73"/>
      <c r="M467" s="73"/>
      <c r="N467" s="73"/>
      <c r="O467" s="75">
        <f>SUM(TABELA24[[#This Row],[T1]:[T7]])</f>
        <v>0</v>
      </c>
      <c r="P467" s="76">
        <f>TABELA24[[#This Row],[QTDE]]*TABELA24[[#This Row],[PREÇO]]</f>
        <v>0</v>
      </c>
    </row>
    <row r="468" spans="1:16" x14ac:dyDescent="0.2">
      <c r="A468" s="70" t="s">
        <v>2169</v>
      </c>
      <c r="B468" s="71" t="s">
        <v>2168</v>
      </c>
      <c r="C468" s="72" t="s">
        <v>832</v>
      </c>
      <c r="D468" s="73" t="s">
        <v>895</v>
      </c>
      <c r="E468" s="72" t="s">
        <v>896</v>
      </c>
      <c r="F468" s="84">
        <v>228.75</v>
      </c>
      <c r="G468" s="73" t="s">
        <v>829</v>
      </c>
      <c r="H468" s="73"/>
      <c r="I468" s="73"/>
      <c r="J468" s="73"/>
      <c r="K468" s="73"/>
      <c r="L468" s="73"/>
      <c r="M468" s="73"/>
      <c r="N468" s="73"/>
      <c r="O468" s="75">
        <f>SUM(TABELA24[[#This Row],[T1]:[T7]])</f>
        <v>0</v>
      </c>
      <c r="P468" s="76">
        <f>TABELA24[[#This Row],[QTDE]]*TABELA24[[#This Row],[PREÇO]]</f>
        <v>0</v>
      </c>
    </row>
    <row r="469" spans="1:16" x14ac:dyDescent="0.2">
      <c r="A469" s="70" t="s">
        <v>2172</v>
      </c>
      <c r="B469" s="71" t="s">
        <v>2170</v>
      </c>
      <c r="C469" s="72" t="s">
        <v>2171</v>
      </c>
      <c r="D469" s="73" t="s">
        <v>1193</v>
      </c>
      <c r="E469" s="72" t="s">
        <v>1195</v>
      </c>
      <c r="F469" s="84">
        <v>182.92</v>
      </c>
      <c r="G469" s="73" t="s">
        <v>829</v>
      </c>
      <c r="H469" s="73"/>
      <c r="I469" s="73"/>
      <c r="J469" s="73"/>
      <c r="K469" s="73"/>
      <c r="L469" s="73"/>
      <c r="M469" s="73"/>
      <c r="N469" s="73"/>
      <c r="O469" s="75">
        <f>SUM(TABELA24[[#This Row],[T1]:[T7]])</f>
        <v>0</v>
      </c>
      <c r="P469" s="76">
        <f>TABELA24[[#This Row],[QTDE]]*TABELA24[[#This Row],[PREÇO]]</f>
        <v>0</v>
      </c>
    </row>
    <row r="470" spans="1:16" x14ac:dyDescent="0.2">
      <c r="A470" s="70" t="s">
        <v>2175</v>
      </c>
      <c r="B470" s="71" t="s">
        <v>2173</v>
      </c>
      <c r="C470" s="72" t="s">
        <v>2174</v>
      </c>
      <c r="D470" s="73" t="s">
        <v>1059</v>
      </c>
      <c r="E470" s="72" t="s">
        <v>1061</v>
      </c>
      <c r="F470" s="84">
        <v>166.25</v>
      </c>
      <c r="G470" s="73" t="s">
        <v>829</v>
      </c>
      <c r="H470" s="73"/>
      <c r="I470" s="73"/>
      <c r="J470" s="73"/>
      <c r="K470" s="73"/>
      <c r="L470" s="73"/>
      <c r="M470" s="73"/>
      <c r="N470" s="73"/>
      <c r="O470" s="75">
        <f>SUM(TABELA24[[#This Row],[T1]:[T7]])</f>
        <v>0</v>
      </c>
      <c r="P470" s="76">
        <f>TABELA24[[#This Row],[QTDE]]*TABELA24[[#This Row],[PREÇO]]</f>
        <v>0</v>
      </c>
    </row>
    <row r="471" spans="1:16" x14ac:dyDescent="0.2">
      <c r="A471" s="70" t="s">
        <v>2178</v>
      </c>
      <c r="B471" s="71" t="s">
        <v>2176</v>
      </c>
      <c r="C471" s="72" t="s">
        <v>2177</v>
      </c>
      <c r="D471" s="73" t="s">
        <v>1059</v>
      </c>
      <c r="E471" s="72" t="s">
        <v>1061</v>
      </c>
      <c r="F471" s="84">
        <v>249.58</v>
      </c>
      <c r="G471" s="73" t="s">
        <v>829</v>
      </c>
      <c r="H471" s="73"/>
      <c r="I471" s="73"/>
      <c r="J471" s="73"/>
      <c r="K471" s="73"/>
      <c r="L471" s="73"/>
      <c r="M471" s="73"/>
      <c r="N471" s="73"/>
      <c r="O471" s="75">
        <f>SUM(TABELA24[[#This Row],[T1]:[T7]])</f>
        <v>0</v>
      </c>
      <c r="P471" s="76">
        <f>TABELA24[[#This Row],[QTDE]]*TABELA24[[#This Row],[PREÇO]]</f>
        <v>0</v>
      </c>
    </row>
    <row r="472" spans="1:16" x14ac:dyDescent="0.2">
      <c r="A472" s="70" t="s">
        <v>2181</v>
      </c>
      <c r="B472" s="71" t="s">
        <v>2179</v>
      </c>
      <c r="C472" s="72" t="s">
        <v>2180</v>
      </c>
      <c r="D472" s="73" t="s">
        <v>1216</v>
      </c>
      <c r="E472" s="72" t="s">
        <v>1218</v>
      </c>
      <c r="F472" s="84">
        <v>332.92</v>
      </c>
      <c r="G472" s="73" t="s">
        <v>829</v>
      </c>
      <c r="H472" s="73"/>
      <c r="I472" s="73"/>
      <c r="J472" s="73"/>
      <c r="K472" s="73"/>
      <c r="L472" s="73"/>
      <c r="M472" s="73"/>
      <c r="N472" s="73"/>
      <c r="O472" s="75">
        <f>SUM(TABELA24[[#This Row],[T1]:[T7]])</f>
        <v>0</v>
      </c>
      <c r="P472" s="76">
        <f>TABELA24[[#This Row],[QTDE]]*TABELA24[[#This Row],[PREÇO]]</f>
        <v>0</v>
      </c>
    </row>
    <row r="473" spans="1:16" x14ac:dyDescent="0.2">
      <c r="A473" s="70" t="s">
        <v>2183</v>
      </c>
      <c r="B473" s="71" t="s">
        <v>2182</v>
      </c>
      <c r="C473" s="72" t="s">
        <v>907</v>
      </c>
      <c r="D473" s="73" t="s">
        <v>32</v>
      </c>
      <c r="E473" s="72" t="s">
        <v>33</v>
      </c>
      <c r="F473" s="84">
        <v>207.92</v>
      </c>
      <c r="G473" s="73" t="s">
        <v>829</v>
      </c>
      <c r="H473" s="73"/>
      <c r="I473" s="73"/>
      <c r="J473" s="73"/>
      <c r="K473" s="73"/>
      <c r="L473" s="73"/>
      <c r="M473" s="73"/>
      <c r="N473" s="73"/>
      <c r="O473" s="75">
        <f>SUM(TABELA24[[#This Row],[T1]:[T7]])</f>
        <v>0</v>
      </c>
      <c r="P473" s="76">
        <f>TABELA24[[#This Row],[QTDE]]*TABELA24[[#This Row],[PREÇO]]</f>
        <v>0</v>
      </c>
    </row>
    <row r="474" spans="1:16" x14ac:dyDescent="0.2">
      <c r="A474" s="70" t="s">
        <v>2185</v>
      </c>
      <c r="B474" s="71" t="s">
        <v>2184</v>
      </c>
      <c r="C474" s="72" t="s">
        <v>1515</v>
      </c>
      <c r="D474" s="73" t="s">
        <v>929</v>
      </c>
      <c r="E474" s="72" t="s">
        <v>931</v>
      </c>
      <c r="F474" s="84">
        <v>145.41999999999999</v>
      </c>
      <c r="G474" s="73" t="s">
        <v>828</v>
      </c>
      <c r="H474" s="73"/>
      <c r="I474" s="73"/>
      <c r="J474" s="73"/>
      <c r="K474" s="73"/>
      <c r="L474" s="73"/>
      <c r="M474" s="73"/>
      <c r="N474" s="73"/>
      <c r="O474" s="75">
        <f>SUM(TABELA24[[#This Row],[T1]:[T7]])</f>
        <v>0</v>
      </c>
      <c r="P474" s="76">
        <f>TABELA24[[#This Row],[QTDE]]*TABELA24[[#This Row],[PREÇO]]</f>
        <v>0</v>
      </c>
    </row>
    <row r="475" spans="1:16" x14ac:dyDescent="0.2">
      <c r="A475" s="70" t="s">
        <v>2188</v>
      </c>
      <c r="B475" s="71" t="s">
        <v>2186</v>
      </c>
      <c r="C475" s="72" t="s">
        <v>2187</v>
      </c>
      <c r="D475" s="73" t="s">
        <v>1836</v>
      </c>
      <c r="E475" s="72" t="s">
        <v>1838</v>
      </c>
      <c r="F475" s="84">
        <v>166.25</v>
      </c>
      <c r="G475" s="73" t="s">
        <v>829</v>
      </c>
      <c r="H475" s="73"/>
      <c r="I475" s="73"/>
      <c r="J475" s="73"/>
      <c r="K475" s="73"/>
      <c r="L475" s="73"/>
      <c r="M475" s="73"/>
      <c r="N475" s="73"/>
      <c r="O475" s="75">
        <f>SUM(TABELA24[[#This Row],[T1]:[T7]])</f>
        <v>0</v>
      </c>
      <c r="P475" s="76">
        <f>TABELA24[[#This Row],[QTDE]]*TABELA24[[#This Row],[PREÇO]]</f>
        <v>0</v>
      </c>
    </row>
    <row r="476" spans="1:16" x14ac:dyDescent="0.2">
      <c r="A476" s="70" t="s">
        <v>2189</v>
      </c>
      <c r="B476" s="71" t="s">
        <v>2190</v>
      </c>
      <c r="C476" s="72" t="s">
        <v>2191</v>
      </c>
      <c r="D476" s="73" t="s">
        <v>815</v>
      </c>
      <c r="E476" s="72" t="s">
        <v>816</v>
      </c>
      <c r="F476" s="84">
        <v>499.58</v>
      </c>
      <c r="G476" s="73" t="s">
        <v>17</v>
      </c>
      <c r="H476" s="73"/>
      <c r="I476" s="73"/>
      <c r="J476" s="73"/>
      <c r="K476" s="73"/>
      <c r="L476" s="73"/>
      <c r="M476" s="73"/>
      <c r="N476" s="73"/>
      <c r="O476" s="75">
        <f>SUM(TABELA24[[#This Row],[T1]:[T7]])</f>
        <v>0</v>
      </c>
      <c r="P476" s="76">
        <f>TABELA24[[#This Row],[QTDE]]*TABELA24[[#This Row],[PREÇO]]</f>
        <v>0</v>
      </c>
    </row>
    <row r="477" spans="1:16" x14ac:dyDescent="0.2">
      <c r="A477" s="70" t="s">
        <v>2193</v>
      </c>
      <c r="B477" s="71" t="s">
        <v>2192</v>
      </c>
      <c r="C477" s="72" t="s">
        <v>1864</v>
      </c>
      <c r="D477" s="73" t="s">
        <v>1474</v>
      </c>
      <c r="E477" s="72" t="s">
        <v>1475</v>
      </c>
      <c r="F477" s="84">
        <v>199.58</v>
      </c>
      <c r="G477" s="73" t="s">
        <v>829</v>
      </c>
      <c r="H477" s="73"/>
      <c r="I477" s="73"/>
      <c r="J477" s="73"/>
      <c r="K477" s="73"/>
      <c r="L477" s="73"/>
      <c r="M477" s="73"/>
      <c r="N477" s="73"/>
      <c r="O477" s="75">
        <f>SUM(TABELA24[[#This Row],[T1]:[T7]])</f>
        <v>0</v>
      </c>
      <c r="P477" s="76">
        <f>TABELA24[[#This Row],[QTDE]]*TABELA24[[#This Row],[PREÇO]]</f>
        <v>0</v>
      </c>
    </row>
    <row r="478" spans="1:16" x14ac:dyDescent="0.2">
      <c r="A478" s="70" t="s">
        <v>2196</v>
      </c>
      <c r="B478" s="71" t="s">
        <v>2194</v>
      </c>
      <c r="C478" s="72" t="s">
        <v>2195</v>
      </c>
      <c r="D478" s="73" t="s">
        <v>821</v>
      </c>
      <c r="E478" s="72" t="s">
        <v>822</v>
      </c>
      <c r="F478" s="84">
        <v>312.08</v>
      </c>
      <c r="G478" s="73" t="s">
        <v>826</v>
      </c>
      <c r="H478" s="73"/>
      <c r="I478" s="73"/>
      <c r="J478" s="73"/>
      <c r="K478" s="73"/>
      <c r="L478" s="73"/>
      <c r="M478" s="73"/>
      <c r="N478" s="73"/>
      <c r="O478" s="75">
        <f>SUM(TABELA24[[#This Row],[T1]:[T7]])</f>
        <v>0</v>
      </c>
      <c r="P478" s="76">
        <f>TABELA24[[#This Row],[QTDE]]*TABELA24[[#This Row],[PREÇO]]</f>
        <v>0</v>
      </c>
    </row>
    <row r="479" spans="1:16" x14ac:dyDescent="0.2">
      <c r="A479" s="70" t="s">
        <v>2197</v>
      </c>
      <c r="B479" s="71" t="s">
        <v>2198</v>
      </c>
      <c r="C479" s="72" t="s">
        <v>2199</v>
      </c>
      <c r="D479" s="73" t="s">
        <v>1317</v>
      </c>
      <c r="E479" s="72" t="s">
        <v>1319</v>
      </c>
      <c r="F479" s="84">
        <v>312.08</v>
      </c>
      <c r="G479" s="73" t="s">
        <v>826</v>
      </c>
      <c r="H479" s="73"/>
      <c r="I479" s="73"/>
      <c r="J479" s="73"/>
      <c r="K479" s="73"/>
      <c r="L479" s="73"/>
      <c r="M479" s="73"/>
      <c r="N479" s="73"/>
      <c r="O479" s="75">
        <f>SUM(TABELA24[[#This Row],[T1]:[T7]])</f>
        <v>0</v>
      </c>
      <c r="P479" s="76">
        <f>TABELA24[[#This Row],[QTDE]]*TABELA24[[#This Row],[PREÇO]]</f>
        <v>0</v>
      </c>
    </row>
    <row r="480" spans="1:16" x14ac:dyDescent="0.2">
      <c r="A480" s="70" t="s">
        <v>2200</v>
      </c>
      <c r="B480" s="71" t="s">
        <v>2201</v>
      </c>
      <c r="C480" s="72" t="s">
        <v>2203</v>
      </c>
      <c r="D480" s="73" t="s">
        <v>2202</v>
      </c>
      <c r="E480" s="72" t="s">
        <v>2318</v>
      </c>
      <c r="F480" s="84">
        <v>207.92</v>
      </c>
      <c r="G480" s="73" t="s">
        <v>826</v>
      </c>
      <c r="H480" s="73"/>
      <c r="I480" s="73"/>
      <c r="J480" s="73"/>
      <c r="K480" s="73"/>
      <c r="L480" s="73"/>
      <c r="M480" s="73"/>
      <c r="N480" s="73"/>
      <c r="O480" s="75">
        <f>SUM(TABELA24[[#This Row],[T1]:[T7]])</f>
        <v>0</v>
      </c>
      <c r="P480" s="76">
        <f>TABELA24[[#This Row],[QTDE]]*TABELA24[[#This Row],[PREÇO]]</f>
        <v>0</v>
      </c>
    </row>
    <row r="481" spans="1:16" x14ac:dyDescent="0.2">
      <c r="A481" s="70" t="s">
        <v>2204</v>
      </c>
      <c r="B481" s="71" t="s">
        <v>2205</v>
      </c>
      <c r="C481" s="72" t="s">
        <v>2206</v>
      </c>
      <c r="D481" s="73" t="s">
        <v>898</v>
      </c>
      <c r="E481" s="72" t="s">
        <v>900</v>
      </c>
      <c r="F481" s="84">
        <v>207.92</v>
      </c>
      <c r="G481" s="73" t="s">
        <v>826</v>
      </c>
      <c r="H481" s="73"/>
      <c r="I481" s="73"/>
      <c r="J481" s="73"/>
      <c r="K481" s="73"/>
      <c r="L481" s="73"/>
      <c r="M481" s="73"/>
      <c r="N481" s="73"/>
      <c r="O481" s="75">
        <f>SUM(TABELA24[[#This Row],[T1]:[T7]])</f>
        <v>0</v>
      </c>
      <c r="P481" s="76">
        <f>TABELA24[[#This Row],[QTDE]]*TABELA24[[#This Row],[PREÇO]]</f>
        <v>0</v>
      </c>
    </row>
    <row r="482" spans="1:16" x14ac:dyDescent="0.2">
      <c r="A482" s="70" t="s">
        <v>2208</v>
      </c>
      <c r="B482" s="71" t="s">
        <v>2207</v>
      </c>
      <c r="C482" s="72" t="s">
        <v>899</v>
      </c>
      <c r="D482" s="73" t="s">
        <v>1118</v>
      </c>
      <c r="E482" s="72" t="s">
        <v>1119</v>
      </c>
      <c r="F482" s="84">
        <v>249.58</v>
      </c>
      <c r="G482" s="73" t="s">
        <v>829</v>
      </c>
      <c r="H482" s="73"/>
      <c r="I482" s="73"/>
      <c r="J482" s="73"/>
      <c r="K482" s="73"/>
      <c r="L482" s="73"/>
      <c r="M482" s="73"/>
      <c r="N482" s="73"/>
      <c r="O482" s="75">
        <f>SUM(TABELA24[[#This Row],[T1]:[T7]])</f>
        <v>0</v>
      </c>
      <c r="P482" s="76">
        <f>TABELA24[[#This Row],[QTDE]]*TABELA24[[#This Row],[PREÇO]]</f>
        <v>0</v>
      </c>
    </row>
    <row r="483" spans="1:16" x14ac:dyDescent="0.2">
      <c r="A483" s="70" t="s">
        <v>2211</v>
      </c>
      <c r="B483" s="71" t="s">
        <v>2209</v>
      </c>
      <c r="C483" s="72" t="s">
        <v>2210</v>
      </c>
      <c r="D483" s="73" t="s">
        <v>1054</v>
      </c>
      <c r="E483" s="72" t="s">
        <v>1056</v>
      </c>
      <c r="F483" s="84">
        <v>374.58</v>
      </c>
      <c r="G483" s="73" t="s">
        <v>829</v>
      </c>
      <c r="H483" s="73"/>
      <c r="I483" s="73"/>
      <c r="J483" s="73"/>
      <c r="K483" s="73"/>
      <c r="L483" s="73"/>
      <c r="M483" s="73"/>
      <c r="N483" s="73"/>
      <c r="O483" s="75">
        <f>SUM(TABELA24[[#This Row],[T1]:[T7]])</f>
        <v>0</v>
      </c>
      <c r="P483" s="76">
        <f>TABELA24[[#This Row],[QTDE]]*TABELA24[[#This Row],[PREÇO]]</f>
        <v>0</v>
      </c>
    </row>
    <row r="484" spans="1:16" x14ac:dyDescent="0.2">
      <c r="A484" s="70" t="s">
        <v>2213</v>
      </c>
      <c r="B484" s="71" t="s">
        <v>2212</v>
      </c>
      <c r="C484" s="72" t="s">
        <v>2133</v>
      </c>
      <c r="D484" s="73" t="s">
        <v>888</v>
      </c>
      <c r="E484" s="72" t="s">
        <v>890</v>
      </c>
      <c r="F484" s="84">
        <v>103.75</v>
      </c>
      <c r="G484" s="73" t="s">
        <v>2319</v>
      </c>
      <c r="H484" s="73"/>
      <c r="I484" s="73"/>
      <c r="J484" s="73"/>
      <c r="K484" s="73"/>
      <c r="L484" s="73"/>
      <c r="M484" s="73"/>
      <c r="N484" s="73"/>
      <c r="O484" s="75">
        <f>SUM(TABELA24[[#This Row],[T1]:[T7]])</f>
        <v>0</v>
      </c>
      <c r="P484" s="76">
        <f>TABELA24[[#This Row],[QTDE]]*TABELA24[[#This Row],[PREÇO]]</f>
        <v>0</v>
      </c>
    </row>
    <row r="485" spans="1:16" x14ac:dyDescent="0.2">
      <c r="A485" s="70" t="s">
        <v>2217</v>
      </c>
      <c r="B485" s="71" t="s">
        <v>2214</v>
      </c>
      <c r="C485" s="72" t="s">
        <v>2215</v>
      </c>
      <c r="D485" s="73" t="s">
        <v>914</v>
      </c>
      <c r="E485" s="72" t="s">
        <v>915</v>
      </c>
      <c r="F485" s="84">
        <v>166.25</v>
      </c>
      <c r="G485" s="73" t="s">
        <v>829</v>
      </c>
      <c r="H485" s="73"/>
      <c r="I485" s="73"/>
      <c r="J485" s="73"/>
      <c r="K485" s="73"/>
      <c r="L485" s="73"/>
      <c r="M485" s="73"/>
      <c r="N485" s="73"/>
      <c r="O485" s="75">
        <f>SUM(TABELA24[[#This Row],[T1]:[T7]])</f>
        <v>0</v>
      </c>
      <c r="P485" s="76">
        <f>TABELA24[[#This Row],[QTDE]]*TABELA24[[#This Row],[PREÇO]]</f>
        <v>0</v>
      </c>
    </row>
    <row r="486" spans="1:16" x14ac:dyDescent="0.2">
      <c r="A486" s="70" t="s">
        <v>2216</v>
      </c>
      <c r="B486" s="71" t="s">
        <v>2214</v>
      </c>
      <c r="C486" s="72" t="s">
        <v>2215</v>
      </c>
      <c r="D486" s="73" t="s">
        <v>32</v>
      </c>
      <c r="E486" s="72" t="s">
        <v>33</v>
      </c>
      <c r="F486" s="84">
        <v>166.25</v>
      </c>
      <c r="G486" s="73" t="s">
        <v>829</v>
      </c>
      <c r="H486" s="73"/>
      <c r="I486" s="73"/>
      <c r="J486" s="73"/>
      <c r="K486" s="73"/>
      <c r="L486" s="73"/>
      <c r="M486" s="73"/>
      <c r="N486" s="73"/>
      <c r="O486" s="75">
        <f>SUM(TABELA24[[#This Row],[T1]:[T7]])</f>
        <v>0</v>
      </c>
      <c r="P486" s="76">
        <f>TABELA24[[#This Row],[QTDE]]*TABELA24[[#This Row],[PREÇO]]</f>
        <v>0</v>
      </c>
    </row>
    <row r="487" spans="1:16" x14ac:dyDescent="0.2">
      <c r="A487" s="70" t="s">
        <v>2221</v>
      </c>
      <c r="B487" s="71" t="s">
        <v>2218</v>
      </c>
      <c r="C487" s="72" t="s">
        <v>2219</v>
      </c>
      <c r="D487" s="73" t="s">
        <v>873</v>
      </c>
      <c r="E487" s="72" t="s">
        <v>2220</v>
      </c>
      <c r="F487" s="84">
        <v>366.25</v>
      </c>
      <c r="G487" s="73" t="s">
        <v>829</v>
      </c>
      <c r="H487" s="73"/>
      <c r="I487" s="73"/>
      <c r="J487" s="73"/>
      <c r="K487" s="73"/>
      <c r="L487" s="73"/>
      <c r="M487" s="73"/>
      <c r="N487" s="73"/>
      <c r="O487" s="75">
        <f>SUM(TABELA24[[#This Row],[T1]:[T7]])</f>
        <v>0</v>
      </c>
      <c r="P487" s="76">
        <f>TABELA24[[#This Row],[QTDE]]*TABELA24[[#This Row],[PREÇO]]</f>
        <v>0</v>
      </c>
    </row>
    <row r="488" spans="1:16" x14ac:dyDescent="0.2">
      <c r="A488" s="70" t="s">
        <v>2222</v>
      </c>
      <c r="B488" s="71" t="s">
        <v>2223</v>
      </c>
      <c r="C488" s="72" t="s">
        <v>2224</v>
      </c>
      <c r="D488" s="73" t="s">
        <v>32</v>
      </c>
      <c r="E488" s="72" t="s">
        <v>33</v>
      </c>
      <c r="F488" s="84">
        <v>49.58</v>
      </c>
      <c r="G488" s="73" t="s">
        <v>826</v>
      </c>
      <c r="H488" s="73"/>
      <c r="I488" s="73"/>
      <c r="J488" s="73"/>
      <c r="K488" s="73"/>
      <c r="L488" s="73"/>
      <c r="M488" s="73"/>
      <c r="N488" s="73"/>
      <c r="O488" s="75">
        <f>SUM(TABELA24[[#This Row],[T1]:[T7]])</f>
        <v>0</v>
      </c>
      <c r="P488" s="76">
        <f>TABELA24[[#This Row],[QTDE]]*TABELA24[[#This Row],[PREÇO]]</f>
        <v>0</v>
      </c>
    </row>
    <row r="489" spans="1:16" x14ac:dyDescent="0.2">
      <c r="A489" s="70" t="s">
        <v>2225</v>
      </c>
      <c r="B489" s="71" t="s">
        <v>2223</v>
      </c>
      <c r="C489" s="72" t="s">
        <v>2224</v>
      </c>
      <c r="D489" s="73" t="s">
        <v>819</v>
      </c>
      <c r="E489" s="72" t="s">
        <v>73</v>
      </c>
      <c r="F489" s="84">
        <v>49.58</v>
      </c>
      <c r="G489" s="73" t="s">
        <v>826</v>
      </c>
      <c r="H489" s="73"/>
      <c r="I489" s="73"/>
      <c r="J489" s="73"/>
      <c r="K489" s="73"/>
      <c r="L489" s="73"/>
      <c r="M489" s="73"/>
      <c r="N489" s="73"/>
      <c r="O489" s="75">
        <f>SUM(TABELA24[[#This Row],[T1]:[T7]])</f>
        <v>0</v>
      </c>
      <c r="P489" s="76">
        <f>TABELA24[[#This Row],[QTDE]]*TABELA24[[#This Row],[PREÇO]]</f>
        <v>0</v>
      </c>
    </row>
    <row r="490" spans="1:16" x14ac:dyDescent="0.2">
      <c r="A490" s="70" t="s">
        <v>2226</v>
      </c>
      <c r="B490" s="71" t="s">
        <v>2227</v>
      </c>
      <c r="C490" s="72" t="s">
        <v>2228</v>
      </c>
      <c r="D490" s="73" t="s">
        <v>32</v>
      </c>
      <c r="E490" s="72" t="s">
        <v>33</v>
      </c>
      <c r="F490" s="84">
        <v>166.25</v>
      </c>
      <c r="G490" s="73" t="s">
        <v>826</v>
      </c>
      <c r="H490" s="73"/>
      <c r="I490" s="73"/>
      <c r="J490" s="73"/>
      <c r="K490" s="73"/>
      <c r="L490" s="73"/>
      <c r="M490" s="73"/>
      <c r="N490" s="73"/>
      <c r="O490" s="75">
        <f>SUM(TABELA24[[#This Row],[T1]:[T7]])</f>
        <v>0</v>
      </c>
      <c r="P490" s="76">
        <f>TABELA24[[#This Row],[QTDE]]*TABELA24[[#This Row],[PREÇO]]</f>
        <v>0</v>
      </c>
    </row>
    <row r="491" spans="1:16" x14ac:dyDescent="0.2">
      <c r="A491" s="70" t="s">
        <v>2229</v>
      </c>
      <c r="B491" s="71" t="s">
        <v>2227</v>
      </c>
      <c r="C491" s="72" t="s">
        <v>2228</v>
      </c>
      <c r="D491" s="73" t="s">
        <v>1317</v>
      </c>
      <c r="E491" s="72" t="s">
        <v>1571</v>
      </c>
      <c r="F491" s="84">
        <v>166.25</v>
      </c>
      <c r="G491" s="73" t="s">
        <v>826</v>
      </c>
      <c r="H491" s="73"/>
      <c r="I491" s="73"/>
      <c r="J491" s="73"/>
      <c r="K491" s="73"/>
      <c r="L491" s="73"/>
      <c r="M491" s="73"/>
      <c r="N491" s="73"/>
      <c r="O491" s="75">
        <f>SUM(TABELA24[[#This Row],[T1]:[T7]])</f>
        <v>0</v>
      </c>
      <c r="P491" s="76">
        <f>TABELA24[[#This Row],[QTDE]]*TABELA24[[#This Row],[PREÇO]]</f>
        <v>0</v>
      </c>
    </row>
    <row r="492" spans="1:16" x14ac:dyDescent="0.2">
      <c r="A492" s="70" t="s">
        <v>2230</v>
      </c>
      <c r="B492" s="71" t="s">
        <v>2231</v>
      </c>
      <c r="C492" s="72" t="s">
        <v>1314</v>
      </c>
      <c r="D492" s="73" t="s">
        <v>830</v>
      </c>
      <c r="E492" s="72" t="s">
        <v>2316</v>
      </c>
      <c r="F492" s="84">
        <v>99.58</v>
      </c>
      <c r="G492" s="73" t="s">
        <v>826</v>
      </c>
      <c r="H492" s="73"/>
      <c r="I492" s="73"/>
      <c r="J492" s="73"/>
      <c r="K492" s="73"/>
      <c r="L492" s="73"/>
      <c r="M492" s="73"/>
      <c r="N492" s="73"/>
      <c r="O492" s="75">
        <f>SUM(TABELA24[[#This Row],[T1]:[T7]])</f>
        <v>0</v>
      </c>
      <c r="P492" s="76">
        <f>TABELA24[[#This Row],[QTDE]]*TABELA24[[#This Row],[PREÇO]]</f>
        <v>0</v>
      </c>
    </row>
    <row r="493" spans="1:16" x14ac:dyDescent="0.2">
      <c r="A493" s="70" t="s">
        <v>2232</v>
      </c>
      <c r="B493" s="71" t="s">
        <v>2231</v>
      </c>
      <c r="C493" s="72" t="s">
        <v>1314</v>
      </c>
      <c r="D493" s="73" t="s">
        <v>929</v>
      </c>
      <c r="E493" s="72" t="s">
        <v>931</v>
      </c>
      <c r="F493" s="84">
        <v>99.58</v>
      </c>
      <c r="G493" s="73" t="s">
        <v>826</v>
      </c>
      <c r="H493" s="73"/>
      <c r="I493" s="73"/>
      <c r="J493" s="73"/>
      <c r="K493" s="73"/>
      <c r="L493" s="73"/>
      <c r="M493" s="73"/>
      <c r="N493" s="73"/>
      <c r="O493" s="75">
        <f>SUM(TABELA24[[#This Row],[T1]:[T7]])</f>
        <v>0</v>
      </c>
      <c r="P493" s="76">
        <f>TABELA24[[#This Row],[QTDE]]*TABELA24[[#This Row],[PREÇO]]</f>
        <v>0</v>
      </c>
    </row>
    <row r="494" spans="1:16" x14ac:dyDescent="0.2">
      <c r="A494" s="70" t="s">
        <v>2233</v>
      </c>
      <c r="B494" s="71" t="s">
        <v>2234</v>
      </c>
      <c r="C494" s="72" t="s">
        <v>1311</v>
      </c>
      <c r="D494" s="73" t="s">
        <v>32</v>
      </c>
      <c r="E494" s="72" t="s">
        <v>33</v>
      </c>
      <c r="F494" s="84">
        <v>153.75</v>
      </c>
      <c r="G494" s="73" t="s">
        <v>826</v>
      </c>
      <c r="H494" s="73"/>
      <c r="I494" s="73"/>
      <c r="J494" s="73"/>
      <c r="K494" s="73"/>
      <c r="L494" s="73"/>
      <c r="M494" s="73"/>
      <c r="N494" s="73"/>
      <c r="O494" s="75">
        <f>SUM(TABELA24[[#This Row],[T1]:[T7]])</f>
        <v>0</v>
      </c>
      <c r="P494" s="76">
        <f>TABELA24[[#This Row],[QTDE]]*TABELA24[[#This Row],[PREÇO]]</f>
        <v>0</v>
      </c>
    </row>
    <row r="495" spans="1:16" x14ac:dyDescent="0.2">
      <c r="A495" s="70" t="s">
        <v>2235</v>
      </c>
      <c r="B495" s="71" t="s">
        <v>2234</v>
      </c>
      <c r="C495" s="72" t="s">
        <v>1311</v>
      </c>
      <c r="D495" s="73" t="s">
        <v>2236</v>
      </c>
      <c r="E495" s="72" t="s">
        <v>2237</v>
      </c>
      <c r="F495" s="84">
        <v>153.75</v>
      </c>
      <c r="G495" s="73" t="s">
        <v>826</v>
      </c>
      <c r="H495" s="73"/>
      <c r="I495" s="73"/>
      <c r="J495" s="73"/>
      <c r="K495" s="73"/>
      <c r="L495" s="73"/>
      <c r="M495" s="73"/>
      <c r="N495" s="73"/>
      <c r="O495" s="75">
        <f>SUM(TABELA24[[#This Row],[T1]:[T7]])</f>
        <v>0</v>
      </c>
      <c r="P495" s="76">
        <f>TABELA24[[#This Row],[QTDE]]*TABELA24[[#This Row],[PREÇO]]</f>
        <v>0</v>
      </c>
    </row>
    <row r="496" spans="1:16" x14ac:dyDescent="0.2">
      <c r="A496" s="70" t="s">
        <v>2238</v>
      </c>
      <c r="B496" s="71" t="s">
        <v>2239</v>
      </c>
      <c r="C496" s="72" t="s">
        <v>1306</v>
      </c>
      <c r="D496" s="73" t="s">
        <v>32</v>
      </c>
      <c r="E496" s="72" t="s">
        <v>33</v>
      </c>
      <c r="F496" s="84">
        <v>137.08000000000001</v>
      </c>
      <c r="G496" s="73" t="s">
        <v>826</v>
      </c>
      <c r="H496" s="73"/>
      <c r="I496" s="73"/>
      <c r="J496" s="73"/>
      <c r="K496" s="73"/>
      <c r="L496" s="73"/>
      <c r="M496" s="73"/>
      <c r="N496" s="73"/>
      <c r="O496" s="75">
        <f>SUM(TABELA24[[#This Row],[T1]:[T7]])</f>
        <v>0</v>
      </c>
      <c r="P496" s="76">
        <f>TABELA24[[#This Row],[QTDE]]*TABELA24[[#This Row],[PREÇO]]</f>
        <v>0</v>
      </c>
    </row>
    <row r="497" spans="1:16" x14ac:dyDescent="0.2">
      <c r="A497" s="70" t="s">
        <v>2240</v>
      </c>
      <c r="B497" s="71" t="s">
        <v>2239</v>
      </c>
      <c r="C497" s="72" t="s">
        <v>1306</v>
      </c>
      <c r="D497" s="73" t="s">
        <v>2236</v>
      </c>
      <c r="E497" s="72" t="s">
        <v>2237</v>
      </c>
      <c r="F497" s="84">
        <v>137.08000000000001</v>
      </c>
      <c r="G497" s="73" t="s">
        <v>826</v>
      </c>
      <c r="H497" s="73"/>
      <c r="I497" s="73"/>
      <c r="J497" s="73"/>
      <c r="K497" s="73"/>
      <c r="L497" s="73"/>
      <c r="M497" s="73"/>
      <c r="N497" s="73"/>
      <c r="O497" s="75">
        <f>SUM(TABELA24[[#This Row],[T1]:[T7]])</f>
        <v>0</v>
      </c>
      <c r="P497" s="76">
        <f>TABELA24[[#This Row],[QTDE]]*TABELA24[[#This Row],[PREÇO]]</f>
        <v>0</v>
      </c>
    </row>
    <row r="498" spans="1:16" x14ac:dyDescent="0.2">
      <c r="A498" s="70" t="s">
        <v>2241</v>
      </c>
      <c r="B498" s="71" t="s">
        <v>2242</v>
      </c>
      <c r="C498" s="72" t="s">
        <v>2315</v>
      </c>
      <c r="D498" s="73" t="s">
        <v>929</v>
      </c>
      <c r="E498" s="72" t="s">
        <v>931</v>
      </c>
      <c r="F498" s="84">
        <v>124.58</v>
      </c>
      <c r="G498" s="73" t="s">
        <v>826</v>
      </c>
      <c r="H498" s="73"/>
      <c r="I498" s="73"/>
      <c r="J498" s="73"/>
      <c r="K498" s="73"/>
      <c r="L498" s="73"/>
      <c r="M498" s="73"/>
      <c r="N498" s="73"/>
      <c r="O498" s="75">
        <f>SUM(TABELA24[[#This Row],[T1]:[T7]])</f>
        <v>0</v>
      </c>
      <c r="P498" s="76">
        <f>TABELA24[[#This Row],[QTDE]]*TABELA24[[#This Row],[PREÇO]]</f>
        <v>0</v>
      </c>
    </row>
    <row r="499" spans="1:16" x14ac:dyDescent="0.2">
      <c r="A499" s="70" t="s">
        <v>2243</v>
      </c>
      <c r="B499" s="71" t="s">
        <v>2244</v>
      </c>
      <c r="C499" s="72" t="s">
        <v>2245</v>
      </c>
      <c r="D499" s="73" t="s">
        <v>32</v>
      </c>
      <c r="E499" s="72" t="s">
        <v>33</v>
      </c>
      <c r="F499" s="84">
        <v>99.58</v>
      </c>
      <c r="G499" s="73" t="s">
        <v>826</v>
      </c>
      <c r="H499" s="73"/>
      <c r="I499" s="73"/>
      <c r="J499" s="73"/>
      <c r="K499" s="73"/>
      <c r="L499" s="73"/>
      <c r="M499" s="73"/>
      <c r="N499" s="73"/>
      <c r="O499" s="75">
        <f>SUM(TABELA24[[#This Row],[T1]:[T7]])</f>
        <v>0</v>
      </c>
      <c r="P499" s="76">
        <f>TABELA24[[#This Row],[QTDE]]*TABELA24[[#This Row],[PREÇO]]</f>
        <v>0</v>
      </c>
    </row>
    <row r="500" spans="1:16" x14ac:dyDescent="0.2">
      <c r="A500" s="70" t="s">
        <v>2246</v>
      </c>
      <c r="B500" s="71" t="s">
        <v>2244</v>
      </c>
      <c r="C500" s="72" t="s">
        <v>2245</v>
      </c>
      <c r="D500" s="73" t="s">
        <v>830</v>
      </c>
      <c r="E500" s="72" t="s">
        <v>2316</v>
      </c>
      <c r="F500" s="84">
        <v>99.58</v>
      </c>
      <c r="G500" s="73" t="s">
        <v>826</v>
      </c>
      <c r="H500" s="73"/>
      <c r="I500" s="73"/>
      <c r="J500" s="73"/>
      <c r="K500" s="73"/>
      <c r="L500" s="73"/>
      <c r="M500" s="73"/>
      <c r="N500" s="73"/>
      <c r="O500" s="75">
        <f>SUM(TABELA24[[#This Row],[T1]:[T7]])</f>
        <v>0</v>
      </c>
      <c r="P500" s="76">
        <f>TABELA24[[#This Row],[QTDE]]*TABELA24[[#This Row],[PREÇO]]</f>
        <v>0</v>
      </c>
    </row>
    <row r="501" spans="1:16" x14ac:dyDescent="0.2">
      <c r="A501" s="70" t="s">
        <v>2247</v>
      </c>
      <c r="B501" s="71" t="s">
        <v>2248</v>
      </c>
      <c r="C501" s="72" t="s">
        <v>2249</v>
      </c>
      <c r="D501" s="73" t="s">
        <v>32</v>
      </c>
      <c r="E501" s="72" t="s">
        <v>33</v>
      </c>
      <c r="F501" s="84">
        <v>107.92</v>
      </c>
      <c r="G501" s="73" t="s">
        <v>826</v>
      </c>
      <c r="H501" s="73"/>
      <c r="I501" s="73"/>
      <c r="J501" s="73"/>
      <c r="K501" s="73"/>
      <c r="L501" s="73"/>
      <c r="M501" s="73"/>
      <c r="N501" s="73"/>
      <c r="O501" s="75">
        <f>SUM(TABELA24[[#This Row],[T1]:[T7]])</f>
        <v>0</v>
      </c>
      <c r="P501" s="76">
        <f>TABELA24[[#This Row],[QTDE]]*TABELA24[[#This Row],[PREÇO]]</f>
        <v>0</v>
      </c>
    </row>
    <row r="502" spans="1:16" x14ac:dyDescent="0.2">
      <c r="A502" s="70" t="s">
        <v>2250</v>
      </c>
      <c r="B502" s="71" t="s">
        <v>2251</v>
      </c>
      <c r="C502" s="72" t="s">
        <v>2252</v>
      </c>
      <c r="D502" s="73" t="s">
        <v>32</v>
      </c>
      <c r="E502" s="72" t="s">
        <v>33</v>
      </c>
      <c r="F502" s="84">
        <v>162.08000000000001</v>
      </c>
      <c r="G502" s="73" t="s">
        <v>826</v>
      </c>
      <c r="H502" s="73"/>
      <c r="I502" s="73"/>
      <c r="J502" s="73"/>
      <c r="K502" s="73"/>
      <c r="L502" s="73"/>
      <c r="M502" s="73"/>
      <c r="N502" s="73"/>
      <c r="O502" s="75">
        <f>SUM(TABELA24[[#This Row],[T1]:[T7]])</f>
        <v>0</v>
      </c>
      <c r="P502" s="76">
        <f>TABELA24[[#This Row],[QTDE]]*TABELA24[[#This Row],[PREÇO]]</f>
        <v>0</v>
      </c>
    </row>
    <row r="503" spans="1:16" x14ac:dyDescent="0.2">
      <c r="A503" s="70" t="s">
        <v>2255</v>
      </c>
      <c r="B503" s="71" t="s">
        <v>2253</v>
      </c>
      <c r="C503" s="72" t="s">
        <v>2254</v>
      </c>
      <c r="D503" s="73" t="s">
        <v>32</v>
      </c>
      <c r="E503" s="72" t="s">
        <v>33</v>
      </c>
      <c r="F503" s="84">
        <v>228.75</v>
      </c>
      <c r="G503" s="73" t="s">
        <v>829</v>
      </c>
      <c r="H503" s="73"/>
      <c r="I503" s="73"/>
      <c r="J503" s="73"/>
      <c r="K503" s="73"/>
      <c r="L503" s="73"/>
      <c r="M503" s="73"/>
      <c r="N503" s="73"/>
      <c r="O503" s="75">
        <f>SUM(TABELA24[[#This Row],[T1]:[T7]])</f>
        <v>0</v>
      </c>
      <c r="P503" s="76">
        <f>TABELA24[[#This Row],[QTDE]]*TABELA24[[#This Row],[PREÇO]]</f>
        <v>0</v>
      </c>
    </row>
    <row r="504" spans="1:16" x14ac:dyDescent="0.2">
      <c r="A504" s="70" t="s">
        <v>2258</v>
      </c>
      <c r="B504" s="71" t="s">
        <v>2256</v>
      </c>
      <c r="C504" s="72" t="s">
        <v>2257</v>
      </c>
      <c r="D504" s="73" t="s">
        <v>32</v>
      </c>
      <c r="E504" s="72" t="s">
        <v>33</v>
      </c>
      <c r="F504" s="84">
        <v>149.58000000000001</v>
      </c>
      <c r="G504" s="73" t="s">
        <v>829</v>
      </c>
      <c r="H504" s="73"/>
      <c r="I504" s="73"/>
      <c r="J504" s="73"/>
      <c r="K504" s="73"/>
      <c r="L504" s="73"/>
      <c r="M504" s="73"/>
      <c r="N504" s="73"/>
      <c r="O504" s="75">
        <f>SUM(TABELA24[[#This Row],[T1]:[T7]])</f>
        <v>0</v>
      </c>
      <c r="P504" s="76">
        <f>TABELA24[[#This Row],[QTDE]]*TABELA24[[#This Row],[PREÇO]]</f>
        <v>0</v>
      </c>
    </row>
    <row r="505" spans="1:16" x14ac:dyDescent="0.2">
      <c r="A505" s="70" t="s">
        <v>2261</v>
      </c>
      <c r="B505" s="71" t="s">
        <v>2259</v>
      </c>
      <c r="C505" s="72" t="s">
        <v>2260</v>
      </c>
      <c r="D505" s="73" t="s">
        <v>32</v>
      </c>
      <c r="E505" s="72" t="s">
        <v>33</v>
      </c>
      <c r="F505" s="84">
        <v>203.75</v>
      </c>
      <c r="G505" s="73" t="s">
        <v>829</v>
      </c>
      <c r="H505" s="73"/>
      <c r="I505" s="73"/>
      <c r="J505" s="73"/>
      <c r="K505" s="73"/>
      <c r="L505" s="73"/>
      <c r="M505" s="73"/>
      <c r="N505" s="73"/>
      <c r="O505" s="75">
        <f>SUM(TABELA24[[#This Row],[T1]:[T7]])</f>
        <v>0</v>
      </c>
      <c r="P505" s="76">
        <f>TABELA24[[#This Row],[QTDE]]*TABELA24[[#This Row],[PREÇO]]</f>
        <v>0</v>
      </c>
    </row>
    <row r="506" spans="1:16" x14ac:dyDescent="0.2">
      <c r="A506" s="70" t="s">
        <v>2262</v>
      </c>
      <c r="B506" s="71" t="s">
        <v>2259</v>
      </c>
      <c r="C506" s="72" t="s">
        <v>2260</v>
      </c>
      <c r="D506" s="73" t="s">
        <v>929</v>
      </c>
      <c r="E506" s="72" t="s">
        <v>931</v>
      </c>
      <c r="F506" s="84">
        <v>203.75</v>
      </c>
      <c r="G506" s="73" t="s">
        <v>829</v>
      </c>
      <c r="H506" s="73"/>
      <c r="I506" s="73"/>
      <c r="J506" s="73"/>
      <c r="K506" s="73"/>
      <c r="L506" s="73"/>
      <c r="M506" s="73"/>
      <c r="N506" s="73"/>
      <c r="O506" s="75">
        <f>SUM(TABELA24[[#This Row],[T1]:[T7]])</f>
        <v>0</v>
      </c>
      <c r="P506" s="76">
        <f>TABELA24[[#This Row],[QTDE]]*TABELA24[[#This Row],[PREÇO]]</f>
        <v>0</v>
      </c>
    </row>
    <row r="507" spans="1:16" x14ac:dyDescent="0.2">
      <c r="A507" s="70" t="s">
        <v>2265</v>
      </c>
      <c r="B507" s="71" t="s">
        <v>2263</v>
      </c>
      <c r="C507" s="72" t="s">
        <v>2264</v>
      </c>
      <c r="D507" s="73" t="s">
        <v>32</v>
      </c>
      <c r="E507" s="72" t="s">
        <v>33</v>
      </c>
      <c r="F507" s="84">
        <v>370.42</v>
      </c>
      <c r="G507" s="73" t="s">
        <v>829</v>
      </c>
      <c r="H507" s="73"/>
      <c r="I507" s="73"/>
      <c r="J507" s="73"/>
      <c r="K507" s="73"/>
      <c r="L507" s="73"/>
      <c r="M507" s="73"/>
      <c r="N507" s="73"/>
      <c r="O507" s="75">
        <f>SUM(TABELA24[[#This Row],[T1]:[T7]])</f>
        <v>0</v>
      </c>
      <c r="P507" s="76">
        <f>TABELA24[[#This Row],[QTDE]]*TABELA24[[#This Row],[PREÇO]]</f>
        <v>0</v>
      </c>
    </row>
    <row r="508" spans="1:16" x14ac:dyDescent="0.2">
      <c r="A508" s="70" t="s">
        <v>2266</v>
      </c>
      <c r="B508" s="71" t="s">
        <v>2267</v>
      </c>
      <c r="C508" s="72" t="s">
        <v>2268</v>
      </c>
      <c r="D508" s="73" t="s">
        <v>824</v>
      </c>
      <c r="E508" s="72" t="s">
        <v>825</v>
      </c>
      <c r="F508" s="84">
        <v>112.08</v>
      </c>
      <c r="G508" s="73" t="s">
        <v>17</v>
      </c>
      <c r="H508" s="73"/>
      <c r="I508" s="73"/>
      <c r="J508" s="73"/>
      <c r="K508" s="73"/>
      <c r="L508" s="73"/>
      <c r="M508" s="73"/>
      <c r="N508" s="73"/>
      <c r="O508" s="75">
        <f>SUM(TABELA24[[#This Row],[T1]:[T7]])</f>
        <v>0</v>
      </c>
      <c r="P508" s="76">
        <f>TABELA24[[#This Row],[QTDE]]*TABELA24[[#This Row],[PREÇO]]</f>
        <v>0</v>
      </c>
    </row>
    <row r="509" spans="1:16" x14ac:dyDescent="0.2">
      <c r="A509" s="70" t="s">
        <v>2269</v>
      </c>
      <c r="B509" s="77" t="s">
        <v>2267</v>
      </c>
      <c r="C509" s="72" t="s">
        <v>2268</v>
      </c>
      <c r="D509" s="73" t="s">
        <v>1354</v>
      </c>
      <c r="E509" s="72" t="s">
        <v>1355</v>
      </c>
      <c r="F509" s="84">
        <v>112.08</v>
      </c>
      <c r="G509" s="73" t="s">
        <v>17</v>
      </c>
      <c r="H509" s="73"/>
      <c r="I509" s="73"/>
      <c r="J509" s="73"/>
      <c r="K509" s="73"/>
      <c r="L509" s="73"/>
      <c r="M509" s="73"/>
      <c r="N509" s="73"/>
      <c r="O509" s="75">
        <f>SUM(TABELA24[[#This Row],[T1]:[T7]])</f>
        <v>0</v>
      </c>
      <c r="P509" s="76">
        <f>TABELA24[[#This Row],[QTDE]]*TABELA24[[#This Row],[PREÇO]]</f>
        <v>0</v>
      </c>
    </row>
    <row r="510" spans="1:16" x14ac:dyDescent="0.2">
      <c r="A510" s="70" t="s">
        <v>2272</v>
      </c>
      <c r="B510" s="71" t="s">
        <v>2270</v>
      </c>
      <c r="C510" s="72" t="s">
        <v>2271</v>
      </c>
      <c r="D510" s="73" t="s">
        <v>824</v>
      </c>
      <c r="E510" s="72" t="s">
        <v>825</v>
      </c>
      <c r="F510" s="84">
        <v>103.75</v>
      </c>
      <c r="G510" s="73" t="s">
        <v>17</v>
      </c>
      <c r="H510" s="73"/>
      <c r="I510" s="73"/>
      <c r="J510" s="73"/>
      <c r="K510" s="73"/>
      <c r="L510" s="73"/>
      <c r="M510" s="73"/>
      <c r="N510" s="73"/>
      <c r="O510" s="75">
        <f>SUM(TABELA24[[#This Row],[T1]:[T7]])</f>
        <v>0</v>
      </c>
      <c r="P510" s="76">
        <f>TABELA24[[#This Row],[QTDE]]*TABELA24[[#This Row],[PREÇO]]</f>
        <v>0</v>
      </c>
    </row>
    <row r="511" spans="1:16" x14ac:dyDescent="0.2">
      <c r="A511" s="70" t="s">
        <v>2273</v>
      </c>
      <c r="B511" s="77" t="s">
        <v>2274</v>
      </c>
      <c r="C511" s="72" t="s">
        <v>2275</v>
      </c>
      <c r="D511" s="73" t="s">
        <v>824</v>
      </c>
      <c r="E511" s="72" t="s">
        <v>825</v>
      </c>
      <c r="F511" s="84">
        <v>145.41999999999999</v>
      </c>
      <c r="G511" s="73" t="s">
        <v>17</v>
      </c>
      <c r="H511" s="73"/>
      <c r="I511" s="73"/>
      <c r="J511" s="73"/>
      <c r="K511" s="73"/>
      <c r="L511" s="73"/>
      <c r="M511" s="73"/>
      <c r="N511" s="73"/>
      <c r="O511" s="75">
        <f>SUM(TABELA24[[#This Row],[T1]:[T7]])</f>
        <v>0</v>
      </c>
      <c r="P511" s="76">
        <f>TABELA24[[#This Row],[QTDE]]*TABELA24[[#This Row],[PREÇO]]</f>
        <v>0</v>
      </c>
    </row>
    <row r="512" spans="1:16" x14ac:dyDescent="0.2">
      <c r="A512" s="70" t="s">
        <v>2276</v>
      </c>
      <c r="B512" s="77" t="s">
        <v>2277</v>
      </c>
      <c r="C512" s="72" t="s">
        <v>2278</v>
      </c>
      <c r="D512" s="73" t="s">
        <v>1522</v>
      </c>
      <c r="E512" s="72" t="s">
        <v>1524</v>
      </c>
      <c r="F512" s="84">
        <v>182.92</v>
      </c>
      <c r="G512" s="73" t="s">
        <v>826</v>
      </c>
      <c r="H512" s="73"/>
      <c r="I512" s="73"/>
      <c r="J512" s="73"/>
      <c r="K512" s="73"/>
      <c r="L512" s="73"/>
      <c r="M512" s="73"/>
      <c r="N512" s="73"/>
      <c r="O512" s="75">
        <f>SUM(TABELA24[[#This Row],[T1]:[T7]])</f>
        <v>0</v>
      </c>
      <c r="P512" s="76">
        <f>TABELA24[[#This Row],[QTDE]]*TABELA24[[#This Row],[PREÇO]]</f>
        <v>0</v>
      </c>
    </row>
    <row r="513" spans="1:16" x14ac:dyDescent="0.2">
      <c r="A513" s="70" t="s">
        <v>2279</v>
      </c>
      <c r="B513" s="77" t="s">
        <v>2280</v>
      </c>
      <c r="C513" s="72" t="s">
        <v>2281</v>
      </c>
      <c r="D513" s="73" t="s">
        <v>32</v>
      </c>
      <c r="E513" s="72" t="s">
        <v>33</v>
      </c>
      <c r="F513" s="84">
        <v>195.42</v>
      </c>
      <c r="G513" s="73" t="s">
        <v>826</v>
      </c>
      <c r="H513" s="73"/>
      <c r="I513" s="73"/>
      <c r="J513" s="73"/>
      <c r="K513" s="73"/>
      <c r="L513" s="73"/>
      <c r="M513" s="73"/>
      <c r="N513" s="73"/>
      <c r="O513" s="75">
        <f>SUM(TABELA24[[#This Row],[T1]:[T7]])</f>
        <v>0</v>
      </c>
      <c r="P513" s="76">
        <f>TABELA24[[#This Row],[QTDE]]*TABELA24[[#This Row],[PREÇO]]</f>
        <v>0</v>
      </c>
    </row>
    <row r="514" spans="1:16" x14ac:dyDescent="0.2">
      <c r="A514" s="70" t="s">
        <v>2284</v>
      </c>
      <c r="B514" s="77" t="s">
        <v>2282</v>
      </c>
      <c r="C514" s="72" t="s">
        <v>2283</v>
      </c>
      <c r="D514" s="73" t="s">
        <v>830</v>
      </c>
      <c r="E514" s="72" t="s">
        <v>43</v>
      </c>
      <c r="F514" s="84">
        <v>82.92</v>
      </c>
      <c r="G514" s="73" t="s">
        <v>17</v>
      </c>
      <c r="H514" s="73"/>
      <c r="I514" s="73"/>
      <c r="J514" s="73"/>
      <c r="K514" s="73"/>
      <c r="L514" s="73"/>
      <c r="M514" s="73"/>
      <c r="N514" s="73"/>
      <c r="O514" s="75">
        <f>SUM(TABELA24[[#This Row],[T1]:[T7]])</f>
        <v>0</v>
      </c>
      <c r="P514" s="76">
        <f>TABELA24[[#This Row],[QTDE]]*TABELA24[[#This Row],[PREÇO]]</f>
        <v>0</v>
      </c>
    </row>
    <row r="515" spans="1:16" x14ac:dyDescent="0.2">
      <c r="A515" s="70" t="s">
        <v>2287</v>
      </c>
      <c r="B515" s="77" t="s">
        <v>2285</v>
      </c>
      <c r="C515" s="72" t="s">
        <v>2286</v>
      </c>
      <c r="D515" s="73" t="s">
        <v>830</v>
      </c>
      <c r="E515" s="72" t="s">
        <v>43</v>
      </c>
      <c r="F515" s="84">
        <v>70.42</v>
      </c>
      <c r="G515" s="73" t="s">
        <v>17</v>
      </c>
      <c r="H515" s="73"/>
      <c r="I515" s="73"/>
      <c r="J515" s="73"/>
      <c r="K515" s="73"/>
      <c r="L515" s="73"/>
      <c r="M515" s="73"/>
      <c r="N515" s="73"/>
      <c r="O515" s="75">
        <f>SUM(TABELA24[[#This Row],[T1]:[T7]])</f>
        <v>0</v>
      </c>
      <c r="P515" s="76">
        <f>TABELA24[[#This Row],[QTDE]]*TABELA24[[#This Row],[PREÇO]]</f>
        <v>0</v>
      </c>
    </row>
    <row r="516" spans="1:16" x14ac:dyDescent="0.2">
      <c r="A516" s="70" t="s">
        <v>2288</v>
      </c>
      <c r="B516" s="77" t="s">
        <v>2289</v>
      </c>
      <c r="C516" s="72" t="s">
        <v>2290</v>
      </c>
      <c r="D516" s="73" t="s">
        <v>824</v>
      </c>
      <c r="E516" s="72" t="s">
        <v>825</v>
      </c>
      <c r="F516" s="84">
        <v>49.58</v>
      </c>
      <c r="G516" s="73" t="s">
        <v>17</v>
      </c>
      <c r="H516" s="73"/>
      <c r="I516" s="73"/>
      <c r="J516" s="73"/>
      <c r="K516" s="73"/>
      <c r="L516" s="73"/>
      <c r="M516" s="73"/>
      <c r="N516" s="73"/>
      <c r="O516" s="75">
        <f>SUM(TABELA24[[#This Row],[T1]:[T7]])</f>
        <v>0</v>
      </c>
      <c r="P516" s="76">
        <f>TABELA24[[#This Row],[QTDE]]*TABELA24[[#This Row],[PREÇO]]</f>
        <v>0</v>
      </c>
    </row>
    <row r="517" spans="1:16" x14ac:dyDescent="0.2">
      <c r="A517" s="70" t="s">
        <v>2293</v>
      </c>
      <c r="B517" s="77" t="s">
        <v>2291</v>
      </c>
      <c r="C517" s="72" t="s">
        <v>2292</v>
      </c>
      <c r="D517" s="73" t="s">
        <v>824</v>
      </c>
      <c r="E517" s="72" t="s">
        <v>825</v>
      </c>
      <c r="F517" s="84">
        <v>70.42</v>
      </c>
      <c r="G517" s="73" t="s">
        <v>17</v>
      </c>
      <c r="H517" s="73"/>
      <c r="I517" s="73"/>
      <c r="J517" s="73"/>
      <c r="K517" s="73"/>
      <c r="L517" s="73"/>
      <c r="M517" s="73"/>
      <c r="N517" s="73"/>
      <c r="O517" s="75">
        <f>SUM(TABELA24[[#This Row],[T1]:[T7]])</f>
        <v>0</v>
      </c>
      <c r="P517" s="76">
        <f>TABELA24[[#This Row],[QTDE]]*TABELA24[[#This Row],[PREÇO]]</f>
        <v>0</v>
      </c>
    </row>
    <row r="518" spans="1:16" x14ac:dyDescent="0.2">
      <c r="A518" s="70" t="s">
        <v>2294</v>
      </c>
      <c r="B518" s="77" t="s">
        <v>2295</v>
      </c>
      <c r="C518" s="72" t="s">
        <v>2296</v>
      </c>
      <c r="D518" s="73" t="s">
        <v>824</v>
      </c>
      <c r="E518" s="72" t="s">
        <v>825</v>
      </c>
      <c r="F518" s="84">
        <v>74.58</v>
      </c>
      <c r="G518" s="73" t="s">
        <v>17</v>
      </c>
      <c r="H518" s="73"/>
      <c r="I518" s="73"/>
      <c r="J518" s="73"/>
      <c r="K518" s="73"/>
      <c r="L518" s="73"/>
      <c r="M518" s="73"/>
      <c r="N518" s="73"/>
      <c r="O518" s="75">
        <f>SUM(TABELA24[[#This Row],[T1]:[T7]])</f>
        <v>0</v>
      </c>
      <c r="P518" s="76">
        <f>TABELA24[[#This Row],[QTDE]]*TABELA24[[#This Row],[PREÇO]]</f>
        <v>0</v>
      </c>
    </row>
    <row r="519" spans="1:16" x14ac:dyDescent="0.2">
      <c r="A519" s="70" t="s">
        <v>2300</v>
      </c>
      <c r="B519" s="77" t="s">
        <v>2298</v>
      </c>
      <c r="C519" s="72" t="s">
        <v>2299</v>
      </c>
      <c r="D519" s="73" t="s">
        <v>2301</v>
      </c>
      <c r="E519" s="72" t="s">
        <v>1475</v>
      </c>
      <c r="F519" s="84">
        <v>45.42</v>
      </c>
      <c r="G519" s="73" t="s">
        <v>17</v>
      </c>
      <c r="H519" s="73"/>
      <c r="I519" s="73"/>
      <c r="J519" s="73"/>
      <c r="K519" s="73"/>
      <c r="L519" s="73"/>
      <c r="M519" s="73"/>
      <c r="N519" s="73"/>
      <c r="O519" s="75">
        <f>SUM(TABELA24[[#This Row],[T1]:[T7]])</f>
        <v>0</v>
      </c>
      <c r="P519" s="76">
        <f>TABELA24[[#This Row],[QTDE]]*TABELA24[[#This Row],[PREÇO]]</f>
        <v>0</v>
      </c>
    </row>
    <row r="520" spans="1:16" x14ac:dyDescent="0.2">
      <c r="A520" s="70" t="s">
        <v>2297</v>
      </c>
      <c r="B520" s="77" t="s">
        <v>2298</v>
      </c>
      <c r="C520" s="72" t="s">
        <v>2299</v>
      </c>
      <c r="D520" s="73" t="s">
        <v>830</v>
      </c>
      <c r="E520" s="72" t="s">
        <v>43</v>
      </c>
      <c r="F520" s="84">
        <v>45.42</v>
      </c>
      <c r="G520" s="73" t="s">
        <v>17</v>
      </c>
      <c r="H520" s="73"/>
      <c r="I520" s="73"/>
      <c r="J520" s="73"/>
      <c r="K520" s="73"/>
      <c r="L520" s="73"/>
      <c r="M520" s="73"/>
      <c r="N520" s="73"/>
      <c r="O520" s="75">
        <f>SUM(TABELA24[[#This Row],[T1]:[T7]])</f>
        <v>0</v>
      </c>
      <c r="P520" s="76">
        <f>TABELA24[[#This Row],[QTDE]]*TABELA24[[#This Row],[PREÇO]]</f>
        <v>0</v>
      </c>
    </row>
    <row r="521" spans="1:16" x14ac:dyDescent="0.2">
      <c r="A521" s="70" t="s">
        <v>2304</v>
      </c>
      <c r="B521" s="77" t="s">
        <v>2302</v>
      </c>
      <c r="C521" s="72" t="s">
        <v>2303</v>
      </c>
      <c r="D521" s="73" t="s">
        <v>1317</v>
      </c>
      <c r="E521" s="72" t="s">
        <v>1571</v>
      </c>
      <c r="F521" s="84">
        <v>291.25</v>
      </c>
      <c r="G521" s="73" t="s">
        <v>827</v>
      </c>
      <c r="H521" s="73"/>
      <c r="I521" s="73"/>
      <c r="J521" s="73"/>
      <c r="K521" s="73"/>
      <c r="L521" s="73"/>
      <c r="M521" s="73"/>
      <c r="N521" s="73"/>
      <c r="O521" s="75">
        <f>SUM(TABELA24[[#This Row],[T1]:[T7]])</f>
        <v>0</v>
      </c>
      <c r="P521" s="76">
        <f>TABELA24[[#This Row],[QTDE]]*TABELA24[[#This Row],[PREÇO]]</f>
        <v>0</v>
      </c>
    </row>
    <row r="522" spans="1:16" x14ac:dyDescent="0.2">
      <c r="A522" s="70" t="s">
        <v>2306</v>
      </c>
      <c r="B522" s="77" t="s">
        <v>2305</v>
      </c>
      <c r="C522" s="72" t="s">
        <v>1408</v>
      </c>
      <c r="D522" s="73" t="s">
        <v>32</v>
      </c>
      <c r="E522" s="72" t="s">
        <v>33</v>
      </c>
      <c r="F522" s="84">
        <v>191.25</v>
      </c>
      <c r="G522" s="73" t="s">
        <v>829</v>
      </c>
      <c r="H522" s="73"/>
      <c r="I522" s="73"/>
      <c r="J522" s="73"/>
      <c r="K522" s="73"/>
      <c r="L522" s="73"/>
      <c r="M522" s="73"/>
      <c r="N522" s="73"/>
      <c r="O522" s="75">
        <f>SUM(TABELA24[[#This Row],[T1]:[T7]])</f>
        <v>0</v>
      </c>
      <c r="P522" s="76">
        <f>TABELA24[[#This Row],[QTDE]]*TABELA24[[#This Row],[PREÇO]]</f>
        <v>0</v>
      </c>
    </row>
    <row r="523" spans="1:16" x14ac:dyDescent="0.2">
      <c r="A523" s="70" t="s">
        <v>2307</v>
      </c>
      <c r="B523" s="77" t="s">
        <v>2305</v>
      </c>
      <c r="C523" s="72" t="s">
        <v>1408</v>
      </c>
      <c r="D523" s="73" t="s">
        <v>1514</v>
      </c>
      <c r="E523" s="72" t="s">
        <v>1516</v>
      </c>
      <c r="F523" s="84">
        <v>191.25</v>
      </c>
      <c r="G523" s="73" t="s">
        <v>829</v>
      </c>
      <c r="H523" s="73"/>
      <c r="I523" s="73"/>
      <c r="J523" s="73"/>
      <c r="K523" s="73"/>
      <c r="L523" s="73"/>
      <c r="M523" s="73"/>
      <c r="N523" s="73"/>
      <c r="O523" s="75">
        <f>SUM(TABELA24[[#This Row],[T1]:[T7]])</f>
        <v>0</v>
      </c>
      <c r="P523" s="76">
        <f>TABELA24[[#This Row],[QTDE]]*TABELA24[[#This Row],[PREÇO]]</f>
        <v>0</v>
      </c>
    </row>
    <row r="524" spans="1:16" x14ac:dyDescent="0.2">
      <c r="A524" s="70" t="s">
        <v>1680</v>
      </c>
      <c r="B524" s="77" t="s">
        <v>1678</v>
      </c>
      <c r="C524" s="72" t="s">
        <v>1679</v>
      </c>
      <c r="D524" s="73" t="s">
        <v>1604</v>
      </c>
      <c r="E524" s="72" t="s">
        <v>1175</v>
      </c>
      <c r="F524" s="84">
        <v>187.08</v>
      </c>
      <c r="G524" s="73" t="s">
        <v>826</v>
      </c>
      <c r="H524" s="73"/>
      <c r="I524" s="73"/>
      <c r="J524" s="73"/>
      <c r="K524" s="73"/>
      <c r="L524" s="73"/>
      <c r="M524" s="73"/>
      <c r="N524" s="73"/>
      <c r="O524" s="75">
        <f>SUM(TABELA24[[#This Row],[T1]:[T7]])</f>
        <v>0</v>
      </c>
      <c r="P524" s="76">
        <f>TABELA24[[#This Row],[QTDE]]*TABELA24[[#This Row],[PREÇO]]</f>
        <v>0</v>
      </c>
    </row>
    <row r="525" spans="1:16" x14ac:dyDescent="0.2">
      <c r="A525" s="70" t="s">
        <v>1674</v>
      </c>
      <c r="B525" s="77" t="s">
        <v>1671</v>
      </c>
      <c r="C525" s="72" t="s">
        <v>1672</v>
      </c>
      <c r="D525" s="73" t="s">
        <v>1184</v>
      </c>
      <c r="E525" s="72" t="s">
        <v>1469</v>
      </c>
      <c r="F525" s="84">
        <v>162.08000000000001</v>
      </c>
      <c r="G525" s="73" t="s">
        <v>826</v>
      </c>
      <c r="H525" s="73"/>
      <c r="I525" s="73"/>
      <c r="J525" s="73"/>
      <c r="K525" s="73"/>
      <c r="L525" s="73"/>
      <c r="M525" s="73"/>
      <c r="N525" s="73"/>
      <c r="O525" s="75">
        <f>SUM(TABELA24[[#This Row],[T1]:[T7]])</f>
        <v>0</v>
      </c>
      <c r="P525" s="76">
        <f>TABELA24[[#This Row],[QTDE]]*TABELA24[[#This Row],[PREÇO]]</f>
        <v>0</v>
      </c>
    </row>
    <row r="526" spans="1:16" x14ac:dyDescent="0.2">
      <c r="A526" s="70" t="s">
        <v>1689</v>
      </c>
      <c r="B526" s="77" t="s">
        <v>1686</v>
      </c>
      <c r="C526" s="72" t="s">
        <v>1687</v>
      </c>
      <c r="D526" s="73" t="s">
        <v>821</v>
      </c>
      <c r="E526" s="72" t="s">
        <v>822</v>
      </c>
      <c r="F526" s="84">
        <v>137.08000000000001</v>
      </c>
      <c r="G526" s="73" t="s">
        <v>826</v>
      </c>
      <c r="H526" s="73"/>
      <c r="I526" s="73"/>
      <c r="J526" s="73"/>
      <c r="K526" s="73"/>
      <c r="L526" s="73"/>
      <c r="M526" s="73"/>
      <c r="N526" s="73"/>
      <c r="O526" s="75">
        <f>SUM(TABELA24[[#This Row],[T1]:[T7]])</f>
        <v>0</v>
      </c>
      <c r="P526" s="76">
        <f>TABELA24[[#This Row],[QTDE]]*TABELA24[[#This Row],[PREÇO]]</f>
        <v>0</v>
      </c>
    </row>
    <row r="527" spans="1:16" x14ac:dyDescent="0.2">
      <c r="A527" s="70" t="s">
        <v>1556</v>
      </c>
      <c r="B527" s="77" t="s">
        <v>1557</v>
      </c>
      <c r="C527" s="72" t="s">
        <v>1558</v>
      </c>
      <c r="D527" s="73" t="s">
        <v>32</v>
      </c>
      <c r="E527" s="72" t="s">
        <v>33</v>
      </c>
      <c r="F527" s="84">
        <v>207.92</v>
      </c>
      <c r="G527" s="73" t="s">
        <v>826</v>
      </c>
      <c r="H527" s="73"/>
      <c r="I527" s="73"/>
      <c r="J527" s="73"/>
      <c r="K527" s="73"/>
      <c r="L527" s="73"/>
      <c r="M527" s="73"/>
      <c r="N527" s="73"/>
      <c r="O527" s="75">
        <f>SUM(TABELA24[[#This Row],[T1]:[T7]])</f>
        <v>0</v>
      </c>
      <c r="P527" s="76">
        <f>TABELA24[[#This Row],[QTDE]]*TABELA24[[#This Row],[PREÇO]]</f>
        <v>0</v>
      </c>
    </row>
    <row r="528" spans="1:16" x14ac:dyDescent="0.2">
      <c r="A528" s="70" t="s">
        <v>1466</v>
      </c>
      <c r="B528" s="77" t="s">
        <v>1464</v>
      </c>
      <c r="C528" s="72" t="s">
        <v>1465</v>
      </c>
      <c r="D528" s="73" t="s">
        <v>1417</v>
      </c>
      <c r="E528" s="72" t="s">
        <v>1419</v>
      </c>
      <c r="F528" s="84">
        <v>207.92</v>
      </c>
      <c r="G528" s="73" t="s">
        <v>828</v>
      </c>
      <c r="H528" s="73"/>
      <c r="I528" s="73"/>
      <c r="J528" s="73"/>
      <c r="K528" s="73"/>
      <c r="L528" s="73"/>
      <c r="M528" s="73"/>
      <c r="N528" s="73"/>
      <c r="O528" s="75">
        <f>SUM(TABELA24[[#This Row],[T1]:[T7]])</f>
        <v>0</v>
      </c>
      <c r="P528" s="76">
        <f>TABELA24[[#This Row],[QTDE]]*TABELA24[[#This Row],[PREÇO]]</f>
        <v>0</v>
      </c>
    </row>
    <row r="529" spans="1:16" x14ac:dyDescent="0.2">
      <c r="A529" s="70"/>
      <c r="B529" s="78"/>
      <c r="C529" s="72"/>
      <c r="D529" s="73"/>
      <c r="E529" s="73"/>
      <c r="F529" s="85"/>
      <c r="G529" s="73"/>
      <c r="H529" s="75"/>
      <c r="I529" s="75"/>
      <c r="J529" s="75"/>
      <c r="K529" s="75"/>
      <c r="L529" s="75"/>
      <c r="M529" s="75"/>
      <c r="N529" s="75"/>
      <c r="O529" s="75">
        <f>SUM(TABELA24[[#This Row],[T1]:[T7]])</f>
        <v>0</v>
      </c>
      <c r="P529" s="76">
        <f>TABELA24[[#This Row],[QTDE]]*TABELA24[[#This Row],[PREÇO]]</f>
        <v>0</v>
      </c>
    </row>
    <row r="530" spans="1:16" x14ac:dyDescent="0.2">
      <c r="A530" s="70"/>
      <c r="B530" s="78"/>
      <c r="C530" s="72"/>
      <c r="D530" s="73"/>
      <c r="E530" s="73"/>
      <c r="F530" s="85"/>
      <c r="G530" s="73"/>
      <c r="H530" s="75"/>
      <c r="I530" s="75"/>
      <c r="J530" s="75"/>
      <c r="K530" s="75"/>
      <c r="L530" s="75"/>
      <c r="M530" s="75"/>
      <c r="N530" s="75"/>
      <c r="O530" s="75">
        <f>SUM(TABELA24[[#This Row],[T1]:[T7]])</f>
        <v>0</v>
      </c>
      <c r="P530" s="76">
        <f>TABELA24[[#This Row],[QTDE]]*TABELA24[[#This Row],[PREÇO]]</f>
        <v>0</v>
      </c>
    </row>
    <row r="531" spans="1:16" x14ac:dyDescent="0.2">
      <c r="A531" s="70"/>
      <c r="B531" s="78"/>
      <c r="C531" s="72"/>
      <c r="D531" s="73"/>
      <c r="E531" s="73"/>
      <c r="F531" s="85"/>
      <c r="G531" s="73"/>
      <c r="H531" s="75"/>
      <c r="I531" s="75"/>
      <c r="J531" s="75"/>
      <c r="K531" s="75"/>
      <c r="L531" s="75"/>
      <c r="M531" s="75"/>
      <c r="N531" s="75"/>
      <c r="O531" s="75">
        <f>SUM(TABELA24[[#This Row],[T1]:[T7]])</f>
        <v>0</v>
      </c>
      <c r="P531" s="76">
        <f>TABELA24[[#This Row],[QTDE]]*TABELA24[[#This Row],[PREÇO]]</f>
        <v>0</v>
      </c>
    </row>
    <row r="532" spans="1:16" x14ac:dyDescent="0.2">
      <c r="A532" s="70"/>
      <c r="B532" s="78"/>
      <c r="C532" s="72"/>
      <c r="D532" s="73"/>
      <c r="E532" s="73"/>
      <c r="F532" s="85"/>
      <c r="G532" s="73"/>
      <c r="H532" s="75"/>
      <c r="I532" s="75"/>
      <c r="J532" s="75"/>
      <c r="K532" s="75"/>
      <c r="L532" s="75"/>
      <c r="M532" s="75"/>
      <c r="N532" s="75"/>
      <c r="O532" s="75">
        <f>SUM(TABELA24[[#This Row],[T1]:[T7]])</f>
        <v>0</v>
      </c>
      <c r="P532" s="76">
        <f>TABELA24[[#This Row],[QTDE]]*TABELA24[[#This Row],[PREÇO]]</f>
        <v>0</v>
      </c>
    </row>
    <row r="533" spans="1:16" x14ac:dyDescent="0.2">
      <c r="A533" s="70"/>
      <c r="B533" s="78"/>
      <c r="C533" s="72"/>
      <c r="D533" s="73"/>
      <c r="E533" s="73"/>
      <c r="F533" s="85"/>
      <c r="G533" s="73"/>
      <c r="H533" s="75"/>
      <c r="I533" s="75"/>
      <c r="J533" s="75"/>
      <c r="K533" s="75"/>
      <c r="L533" s="75"/>
      <c r="M533" s="75"/>
      <c r="N533" s="75"/>
      <c r="O533" s="75">
        <f>SUM(TABELA24[[#This Row],[T1]:[T7]])</f>
        <v>0</v>
      </c>
      <c r="P533" s="76">
        <f>TABELA24[[#This Row],[QTDE]]*TABELA24[[#This Row],[PREÇO]]</f>
        <v>0</v>
      </c>
    </row>
    <row r="534" spans="1:16" x14ac:dyDescent="0.2">
      <c r="A534" s="70"/>
      <c r="B534" s="78"/>
      <c r="C534" s="72"/>
      <c r="D534" s="73"/>
      <c r="E534" s="73"/>
      <c r="F534" s="85"/>
      <c r="G534" s="73"/>
      <c r="H534" s="75"/>
      <c r="I534" s="75"/>
      <c r="J534" s="75"/>
      <c r="K534" s="75"/>
      <c r="L534" s="75"/>
      <c r="M534" s="75"/>
      <c r="N534" s="75"/>
      <c r="O534" s="75">
        <f>SUM(TABELA24[[#This Row],[T1]:[T7]])</f>
        <v>0</v>
      </c>
      <c r="P534" s="76">
        <f>TABELA24[[#This Row],[QTDE]]*TABELA24[[#This Row],[PREÇO]]</f>
        <v>0</v>
      </c>
    </row>
    <row r="535" spans="1:16" x14ac:dyDescent="0.2">
      <c r="A535" s="70"/>
      <c r="B535" s="78"/>
      <c r="C535" s="72"/>
      <c r="D535" s="73"/>
      <c r="E535" s="73"/>
      <c r="F535" s="85"/>
      <c r="G535" s="73"/>
      <c r="H535" s="75"/>
      <c r="I535" s="75"/>
      <c r="J535" s="75"/>
      <c r="K535" s="75"/>
      <c r="L535" s="75"/>
      <c r="M535" s="75"/>
      <c r="N535" s="75"/>
      <c r="O535" s="75">
        <f>SUM(TABELA24[[#This Row],[T1]:[T7]])</f>
        <v>0</v>
      </c>
      <c r="P535" s="76">
        <f>TABELA24[[#This Row],[QTDE]]*TABELA24[[#This Row],[PREÇO]]</f>
        <v>0</v>
      </c>
    </row>
    <row r="536" spans="1:16" x14ac:dyDescent="0.2">
      <c r="B536" s="79" t="s">
        <v>842</v>
      </c>
      <c r="C536" s="86"/>
      <c r="D536" s="80"/>
      <c r="E536" s="80"/>
      <c r="F536" s="87"/>
      <c r="G536" s="80"/>
      <c r="H536" s="75"/>
      <c r="I536" s="75"/>
      <c r="J536" s="75"/>
      <c r="K536" s="75"/>
      <c r="L536" s="75"/>
      <c r="M536" s="75"/>
      <c r="N536" s="75"/>
      <c r="O536" s="75">
        <f>SUM(TABELA24[QTDE])</f>
        <v>0</v>
      </c>
      <c r="P536" s="82">
        <f>SUM(TABELA24[VALOR])</f>
        <v>0</v>
      </c>
    </row>
  </sheetData>
  <mergeCells count="11">
    <mergeCell ref="A10:A14"/>
    <mergeCell ref="O10:O14"/>
    <mergeCell ref="P10:P14"/>
    <mergeCell ref="B2:P2"/>
    <mergeCell ref="B10:B14"/>
    <mergeCell ref="C10:C14"/>
    <mergeCell ref="D10:D14"/>
    <mergeCell ref="E10:E14"/>
    <mergeCell ref="F10:F14"/>
    <mergeCell ref="G10:G14"/>
    <mergeCell ref="H14:N14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4"/>
  <dimension ref="A2:P534"/>
  <sheetViews>
    <sheetView showGridLines="0" topLeftCell="C1" workbookViewId="0">
      <selection activeCell="F17" sqref="F17"/>
    </sheetView>
  </sheetViews>
  <sheetFormatPr defaultColWidth="9.140625" defaultRowHeight="12" x14ac:dyDescent="0.2"/>
  <cols>
    <col min="1" max="1" width="16.5703125" style="45" customWidth="1"/>
    <col min="2" max="2" width="13" style="45" customWidth="1"/>
    <col min="3" max="3" width="30.28515625" style="45" customWidth="1"/>
    <col min="4" max="4" width="12.42578125" style="47" customWidth="1"/>
    <col min="5" max="5" width="35.42578125" style="45" customWidth="1"/>
    <col min="6" max="6" width="13.7109375" style="48" customWidth="1"/>
    <col min="7" max="7" width="18.85546875" style="47" customWidth="1"/>
    <col min="8" max="14" width="4.7109375" style="45" customWidth="1"/>
    <col min="15" max="15" width="7.7109375" style="45" customWidth="1"/>
    <col min="16" max="16" width="14.85546875" style="48" customWidth="1"/>
    <col min="17" max="16384" width="9.140625" style="45"/>
  </cols>
  <sheetData>
    <row r="2" spans="1:16" ht="18.75" x14ac:dyDescent="0.3">
      <c r="B2" s="97" t="s">
        <v>844</v>
      </c>
      <c r="C2" s="97"/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</row>
    <row r="3" spans="1:16" x14ac:dyDescent="0.2">
      <c r="C3" s="46"/>
    </row>
    <row r="4" spans="1:16" ht="12.75" x14ac:dyDescent="0.2">
      <c r="B4" s="3" t="s">
        <v>21</v>
      </c>
      <c r="C4" s="8"/>
      <c r="D4" s="4"/>
      <c r="E4" s="1"/>
      <c r="F4" s="9"/>
      <c r="G4" s="11"/>
    </row>
    <row r="5" spans="1:16" ht="12.75" x14ac:dyDescent="0.2">
      <c r="B5" s="3" t="s">
        <v>22</v>
      </c>
      <c r="C5" s="8"/>
      <c r="D5" s="39" t="s">
        <v>27</v>
      </c>
      <c r="E5" s="8"/>
      <c r="F5" s="10" t="s">
        <v>30</v>
      </c>
      <c r="G5" s="36">
        <f>SUM(TABELA25[VALOR])</f>
        <v>0</v>
      </c>
    </row>
    <row r="6" spans="1:16" ht="12.75" x14ac:dyDescent="0.2">
      <c r="B6" s="3" t="s">
        <v>23</v>
      </c>
      <c r="C6" s="8"/>
      <c r="D6" s="39" t="s">
        <v>25</v>
      </c>
      <c r="E6" s="8"/>
      <c r="F6" s="6" t="s">
        <v>28</v>
      </c>
      <c r="G6" s="12"/>
    </row>
    <row r="7" spans="1:16" ht="12.75" x14ac:dyDescent="0.2">
      <c r="B7" s="3" t="s">
        <v>24</v>
      </c>
      <c r="C7" s="8"/>
      <c r="D7" s="39" t="s">
        <v>26</v>
      </c>
      <c r="E7" s="8" t="s">
        <v>6</v>
      </c>
      <c r="F7" s="6" t="s">
        <v>29</v>
      </c>
      <c r="G7" s="12"/>
    </row>
    <row r="8" spans="1:16" x14ac:dyDescent="0.2">
      <c r="F8" s="49"/>
    </row>
    <row r="9" spans="1:16" x14ac:dyDescent="0.2">
      <c r="B9" s="50"/>
      <c r="C9" s="50"/>
      <c r="D9" s="50"/>
      <c r="E9" s="50"/>
      <c r="F9" s="51"/>
      <c r="G9" s="50"/>
      <c r="H9" s="52"/>
      <c r="N9" s="53"/>
      <c r="O9" s="51"/>
      <c r="P9" s="50"/>
    </row>
    <row r="10" spans="1:16" x14ac:dyDescent="0.2">
      <c r="A10" s="98" t="s">
        <v>843</v>
      </c>
      <c r="B10" s="98" t="s">
        <v>0</v>
      </c>
      <c r="C10" s="98" t="s">
        <v>1</v>
      </c>
      <c r="D10" s="98" t="s">
        <v>2</v>
      </c>
      <c r="E10" s="105" t="s">
        <v>3</v>
      </c>
      <c r="F10" s="100" t="s">
        <v>4</v>
      </c>
      <c r="G10" s="105" t="s">
        <v>5</v>
      </c>
      <c r="H10" s="54" t="s">
        <v>17</v>
      </c>
      <c r="I10" s="55"/>
      <c r="J10" s="55"/>
      <c r="K10" s="55"/>
      <c r="L10" s="55"/>
      <c r="M10" s="55"/>
      <c r="N10" s="56"/>
      <c r="O10" s="98" t="s">
        <v>16</v>
      </c>
      <c r="P10" s="100" t="s">
        <v>15</v>
      </c>
    </row>
    <row r="11" spans="1:16" x14ac:dyDescent="0.2">
      <c r="A11" s="99"/>
      <c r="B11" s="99"/>
      <c r="C11" s="99"/>
      <c r="D11" s="99"/>
      <c r="E11" s="106"/>
      <c r="F11" s="101"/>
      <c r="G11" s="106"/>
      <c r="H11" s="57" t="s">
        <v>813</v>
      </c>
      <c r="I11" s="58" t="s">
        <v>18</v>
      </c>
      <c r="J11" s="58" t="s">
        <v>19</v>
      </c>
      <c r="K11" s="58" t="s">
        <v>20</v>
      </c>
      <c r="L11" s="58" t="s">
        <v>814</v>
      </c>
      <c r="M11" s="58"/>
      <c r="N11" s="59"/>
      <c r="O11" s="99"/>
      <c r="P11" s="101"/>
    </row>
    <row r="12" spans="1:16" x14ac:dyDescent="0.2">
      <c r="A12" s="99"/>
      <c r="B12" s="99"/>
      <c r="C12" s="99"/>
      <c r="D12" s="99"/>
      <c r="E12" s="106"/>
      <c r="F12" s="101"/>
      <c r="G12" s="106"/>
      <c r="H12" s="57">
        <v>36</v>
      </c>
      <c r="I12" s="58">
        <v>38</v>
      </c>
      <c r="J12" s="58">
        <v>40</v>
      </c>
      <c r="K12" s="58">
        <v>42</v>
      </c>
      <c r="L12" s="58">
        <v>44</v>
      </c>
      <c r="M12" s="58"/>
      <c r="N12" s="59"/>
      <c r="O12" s="99"/>
      <c r="P12" s="101"/>
    </row>
    <row r="13" spans="1:16" x14ac:dyDescent="0.2">
      <c r="A13" s="99"/>
      <c r="B13" s="99"/>
      <c r="C13" s="99"/>
      <c r="D13" s="99"/>
      <c r="E13" s="106"/>
      <c r="F13" s="101"/>
      <c r="G13" s="106"/>
      <c r="H13" s="60">
        <v>34</v>
      </c>
      <c r="I13" s="61">
        <v>35</v>
      </c>
      <c r="J13" s="61">
        <v>36</v>
      </c>
      <c r="K13" s="61">
        <v>37</v>
      </c>
      <c r="L13" s="61">
        <v>38</v>
      </c>
      <c r="M13" s="61">
        <v>39</v>
      </c>
      <c r="N13" s="62">
        <v>40</v>
      </c>
      <c r="O13" s="99"/>
      <c r="P13" s="101"/>
    </row>
    <row r="14" spans="1:16" ht="12" customHeight="1" x14ac:dyDescent="0.2">
      <c r="A14" s="99"/>
      <c r="B14" s="99"/>
      <c r="C14" s="99"/>
      <c r="D14" s="99"/>
      <c r="E14" s="106"/>
      <c r="F14" s="101"/>
      <c r="G14" s="106"/>
      <c r="H14" s="102" t="s">
        <v>7</v>
      </c>
      <c r="I14" s="103"/>
      <c r="J14" s="103"/>
      <c r="K14" s="103"/>
      <c r="L14" s="103"/>
      <c r="M14" s="103"/>
      <c r="N14" s="104"/>
      <c r="O14" s="99"/>
      <c r="P14" s="101"/>
    </row>
    <row r="15" spans="1:16" s="69" customFormat="1" ht="7.5" customHeight="1" x14ac:dyDescent="0.2">
      <c r="A15" s="63"/>
      <c r="B15" s="64" t="s">
        <v>0</v>
      </c>
      <c r="C15" s="64" t="s">
        <v>1</v>
      </c>
      <c r="D15" s="64" t="s">
        <v>2</v>
      </c>
      <c r="E15" s="65" t="s">
        <v>3</v>
      </c>
      <c r="F15" s="66" t="s">
        <v>4</v>
      </c>
      <c r="G15" s="65" t="s">
        <v>5</v>
      </c>
      <c r="H15" s="67" t="s">
        <v>8</v>
      </c>
      <c r="I15" s="65" t="s">
        <v>9</v>
      </c>
      <c r="J15" s="65" t="s">
        <v>10</v>
      </c>
      <c r="K15" s="65" t="s">
        <v>11</v>
      </c>
      <c r="L15" s="65" t="s">
        <v>12</v>
      </c>
      <c r="M15" s="65" t="s">
        <v>13</v>
      </c>
      <c r="N15" s="68" t="s">
        <v>14</v>
      </c>
      <c r="O15" s="65" t="s">
        <v>16</v>
      </c>
      <c r="P15" s="66" t="s">
        <v>15</v>
      </c>
    </row>
    <row r="16" spans="1:16" x14ac:dyDescent="0.2">
      <c r="A16" s="70" t="s">
        <v>849</v>
      </c>
      <c r="B16" s="71" t="s">
        <v>845</v>
      </c>
      <c r="C16" s="72" t="s">
        <v>847</v>
      </c>
      <c r="D16" s="73" t="s">
        <v>846</v>
      </c>
      <c r="E16" s="72" t="s">
        <v>848</v>
      </c>
      <c r="F16" s="74">
        <v>115.6</v>
      </c>
      <c r="G16" s="73" t="s">
        <v>829</v>
      </c>
      <c r="H16" s="75"/>
      <c r="I16" s="75"/>
      <c r="J16" s="75"/>
      <c r="K16" s="75"/>
      <c r="L16" s="75"/>
      <c r="M16" s="75"/>
      <c r="N16" s="75"/>
      <c r="O16" s="75">
        <f>SUM(TABELA25[[#This Row],[T1]:[T7]])</f>
        <v>0</v>
      </c>
      <c r="P16" s="76">
        <f>TABELA25[[#This Row],[PREÇO]]*TABELA25[[#This Row],[QTDE]]</f>
        <v>0</v>
      </c>
    </row>
    <row r="17" spans="1:16" x14ac:dyDescent="0.2">
      <c r="A17" s="70" t="s">
        <v>854</v>
      </c>
      <c r="B17" s="71" t="s">
        <v>850</v>
      </c>
      <c r="C17" s="72" t="s">
        <v>852</v>
      </c>
      <c r="D17" s="73" t="s">
        <v>851</v>
      </c>
      <c r="E17" s="72" t="s">
        <v>853</v>
      </c>
      <c r="F17" s="74">
        <v>219.6</v>
      </c>
      <c r="G17" s="73" t="s">
        <v>829</v>
      </c>
      <c r="H17" s="75"/>
      <c r="I17" s="75"/>
      <c r="J17" s="75"/>
      <c r="K17" s="75"/>
      <c r="L17" s="75"/>
      <c r="M17" s="75"/>
      <c r="N17" s="75"/>
      <c r="O17" s="75">
        <f>SUM(TABELA25[[#This Row],[T1]:[T7]])</f>
        <v>0</v>
      </c>
      <c r="P17" s="76">
        <f>TABELA25[[#This Row],[PREÇO]]*TABELA25[[#This Row],[QTDE]]</f>
        <v>0</v>
      </c>
    </row>
    <row r="18" spans="1:16" x14ac:dyDescent="0.2">
      <c r="A18" s="70" t="s">
        <v>857</v>
      </c>
      <c r="B18" s="71" t="s">
        <v>855</v>
      </c>
      <c r="C18" s="72" t="s">
        <v>856</v>
      </c>
      <c r="D18" s="73" t="s">
        <v>823</v>
      </c>
      <c r="E18" s="72" t="s">
        <v>820</v>
      </c>
      <c r="F18" s="74">
        <v>139.6</v>
      </c>
      <c r="G18" s="73" t="s">
        <v>828</v>
      </c>
      <c r="H18" s="75"/>
      <c r="I18" s="75"/>
      <c r="J18" s="75"/>
      <c r="K18" s="75"/>
      <c r="L18" s="75"/>
      <c r="M18" s="75"/>
      <c r="N18" s="75"/>
      <c r="O18" s="75">
        <f>SUM(TABELA25[[#This Row],[T1]:[T7]])</f>
        <v>0</v>
      </c>
      <c r="P18" s="76">
        <f>TABELA25[[#This Row],[PREÇO]]*TABELA25[[#This Row],[QTDE]]</f>
        <v>0</v>
      </c>
    </row>
    <row r="19" spans="1:16" x14ac:dyDescent="0.2">
      <c r="A19" s="70" t="s">
        <v>858</v>
      </c>
      <c r="B19" s="71" t="s">
        <v>859</v>
      </c>
      <c r="C19" s="72" t="s">
        <v>2308</v>
      </c>
      <c r="D19" s="73" t="s">
        <v>823</v>
      </c>
      <c r="E19" s="72" t="s">
        <v>820</v>
      </c>
      <c r="F19" s="74">
        <v>235.6</v>
      </c>
      <c r="G19" s="73" t="s">
        <v>826</v>
      </c>
      <c r="H19" s="75"/>
      <c r="I19" s="75"/>
      <c r="J19" s="75"/>
      <c r="K19" s="75"/>
      <c r="L19" s="75"/>
      <c r="M19" s="75"/>
      <c r="N19" s="75"/>
      <c r="O19" s="75">
        <f>SUM(TABELA25[[#This Row],[T1]:[T7]])</f>
        <v>0</v>
      </c>
      <c r="P19" s="76">
        <f>TABELA25[[#This Row],[PREÇO]]*TABELA25[[#This Row],[QTDE]]</f>
        <v>0</v>
      </c>
    </row>
    <row r="20" spans="1:16" x14ac:dyDescent="0.2">
      <c r="A20" s="70" t="s">
        <v>860</v>
      </c>
      <c r="B20" s="71" t="s">
        <v>861</v>
      </c>
      <c r="C20" s="72" t="s">
        <v>862</v>
      </c>
      <c r="D20" s="73" t="s">
        <v>823</v>
      </c>
      <c r="E20" s="72" t="s">
        <v>820</v>
      </c>
      <c r="F20" s="74">
        <v>291.60000000000002</v>
      </c>
      <c r="G20" s="73" t="s">
        <v>826</v>
      </c>
      <c r="H20" s="75"/>
      <c r="I20" s="75"/>
      <c r="J20" s="75"/>
      <c r="K20" s="75"/>
      <c r="L20" s="75"/>
      <c r="M20" s="75"/>
      <c r="N20" s="75"/>
      <c r="O20" s="75">
        <f>SUM(TABELA25[[#This Row],[T1]:[T7]])</f>
        <v>0</v>
      </c>
      <c r="P20" s="76">
        <f>TABELA25[[#This Row],[PREÇO]]*TABELA25[[#This Row],[QTDE]]</f>
        <v>0</v>
      </c>
    </row>
    <row r="21" spans="1:16" x14ac:dyDescent="0.2">
      <c r="A21" s="70" t="s">
        <v>867</v>
      </c>
      <c r="B21" s="71" t="s">
        <v>863</v>
      </c>
      <c r="C21" s="72" t="s">
        <v>865</v>
      </c>
      <c r="D21" s="73" t="s">
        <v>864</v>
      </c>
      <c r="E21" s="72" t="s">
        <v>866</v>
      </c>
      <c r="F21" s="74">
        <v>239.6</v>
      </c>
      <c r="G21" s="73" t="s">
        <v>829</v>
      </c>
      <c r="H21" s="75"/>
      <c r="I21" s="75"/>
      <c r="J21" s="75"/>
      <c r="K21" s="75"/>
      <c r="L21" s="75"/>
      <c r="M21" s="75"/>
      <c r="N21" s="75"/>
      <c r="O21" s="75">
        <f>SUM(TABELA25[[#This Row],[T1]:[T7]])</f>
        <v>0</v>
      </c>
      <c r="P21" s="76">
        <f>TABELA25[[#This Row],[PREÇO]]*TABELA25[[#This Row],[QTDE]]</f>
        <v>0</v>
      </c>
    </row>
    <row r="22" spans="1:16" x14ac:dyDescent="0.2">
      <c r="A22" s="70" t="s">
        <v>872</v>
      </c>
      <c r="B22" s="71" t="s">
        <v>868</v>
      </c>
      <c r="C22" s="72" t="s">
        <v>870</v>
      </c>
      <c r="D22" s="73" t="s">
        <v>869</v>
      </c>
      <c r="E22" s="72" t="s">
        <v>871</v>
      </c>
      <c r="F22" s="74">
        <v>75.599999999999994</v>
      </c>
      <c r="G22" s="73" t="s">
        <v>829</v>
      </c>
      <c r="H22" s="75"/>
      <c r="I22" s="75"/>
      <c r="J22" s="75"/>
      <c r="K22" s="75"/>
      <c r="L22" s="75"/>
      <c r="M22" s="75"/>
      <c r="N22" s="75"/>
      <c r="O22" s="75">
        <f>SUM(TABELA25[[#This Row],[T1]:[T7]])</f>
        <v>0</v>
      </c>
      <c r="P22" s="76">
        <f>TABELA25[[#This Row],[PREÇO]]*TABELA25[[#This Row],[QTDE]]</f>
        <v>0</v>
      </c>
    </row>
    <row r="23" spans="1:16" x14ac:dyDescent="0.2">
      <c r="A23" s="70" t="s">
        <v>876</v>
      </c>
      <c r="B23" s="71" t="s">
        <v>874</v>
      </c>
      <c r="C23" s="72" t="s">
        <v>875</v>
      </c>
      <c r="D23" s="73" t="s">
        <v>821</v>
      </c>
      <c r="E23" s="72" t="s">
        <v>822</v>
      </c>
      <c r="F23" s="74">
        <v>239.6</v>
      </c>
      <c r="G23" s="73" t="s">
        <v>829</v>
      </c>
      <c r="H23" s="75"/>
      <c r="I23" s="75"/>
      <c r="J23" s="75"/>
      <c r="K23" s="75"/>
      <c r="L23" s="75"/>
      <c r="M23" s="75"/>
      <c r="N23" s="75"/>
      <c r="O23" s="75">
        <f>SUM(TABELA25[[#This Row],[T1]:[T7]])</f>
        <v>0</v>
      </c>
      <c r="P23" s="76">
        <f>TABELA25[[#This Row],[PREÇO]]*TABELA25[[#This Row],[QTDE]]</f>
        <v>0</v>
      </c>
    </row>
    <row r="24" spans="1:16" x14ac:dyDescent="0.2">
      <c r="A24" s="70" t="s">
        <v>881</v>
      </c>
      <c r="B24" s="71" t="s">
        <v>877</v>
      </c>
      <c r="C24" s="72" t="s">
        <v>879</v>
      </c>
      <c r="D24" s="73" t="s">
        <v>878</v>
      </c>
      <c r="E24" s="72" t="s">
        <v>880</v>
      </c>
      <c r="F24" s="74">
        <v>111.6</v>
      </c>
      <c r="G24" s="73" t="s">
        <v>829</v>
      </c>
      <c r="H24" s="75"/>
      <c r="I24" s="75"/>
      <c r="J24" s="75"/>
      <c r="K24" s="75"/>
      <c r="L24" s="75"/>
      <c r="M24" s="75"/>
      <c r="N24" s="75"/>
      <c r="O24" s="75">
        <f>SUM(TABELA25[[#This Row],[T1]:[T7]])</f>
        <v>0</v>
      </c>
      <c r="P24" s="76">
        <f>TABELA25[[#This Row],[PREÇO]]*TABELA25[[#This Row],[QTDE]]</f>
        <v>0</v>
      </c>
    </row>
    <row r="25" spans="1:16" x14ac:dyDescent="0.2">
      <c r="A25" s="70" t="s">
        <v>883</v>
      </c>
      <c r="B25" s="71" t="s">
        <v>877</v>
      </c>
      <c r="C25" s="72" t="s">
        <v>879</v>
      </c>
      <c r="D25" s="73" t="s">
        <v>882</v>
      </c>
      <c r="E25" s="72" t="s">
        <v>817</v>
      </c>
      <c r="F25" s="74">
        <v>111.6</v>
      </c>
      <c r="G25" s="73" t="s">
        <v>829</v>
      </c>
      <c r="H25" s="75"/>
      <c r="I25" s="75"/>
      <c r="J25" s="75"/>
      <c r="K25" s="75"/>
      <c r="L25" s="75"/>
      <c r="M25" s="75"/>
      <c r="N25" s="75"/>
      <c r="O25" s="75">
        <f>SUM(TABELA25[[#This Row],[T1]:[T7]])</f>
        <v>0</v>
      </c>
      <c r="P25" s="76">
        <f>TABELA25[[#This Row],[PREÇO]]*TABELA25[[#This Row],[QTDE]]</f>
        <v>0</v>
      </c>
    </row>
    <row r="26" spans="1:16" x14ac:dyDescent="0.2">
      <c r="A26" s="70" t="s">
        <v>886</v>
      </c>
      <c r="B26" s="71" t="s">
        <v>884</v>
      </c>
      <c r="C26" s="72" t="s">
        <v>885</v>
      </c>
      <c r="D26" s="73" t="s">
        <v>882</v>
      </c>
      <c r="E26" s="72" t="s">
        <v>817</v>
      </c>
      <c r="F26" s="74">
        <v>263.60000000000002</v>
      </c>
      <c r="G26" s="73" t="s">
        <v>829</v>
      </c>
      <c r="H26" s="75"/>
      <c r="I26" s="75"/>
      <c r="J26" s="75"/>
      <c r="K26" s="75"/>
      <c r="L26" s="75"/>
      <c r="M26" s="75"/>
      <c r="N26" s="75"/>
      <c r="O26" s="75">
        <f>SUM(TABELA25[[#This Row],[T1]:[T7]])</f>
        <v>0</v>
      </c>
      <c r="P26" s="76">
        <f>TABELA25[[#This Row],[PREÇO]]*TABELA25[[#This Row],[QTDE]]</f>
        <v>0</v>
      </c>
    </row>
    <row r="27" spans="1:16" x14ac:dyDescent="0.2">
      <c r="A27" s="70" t="s">
        <v>891</v>
      </c>
      <c r="B27" s="71" t="s">
        <v>887</v>
      </c>
      <c r="C27" s="72" t="s">
        <v>889</v>
      </c>
      <c r="D27" s="73" t="s">
        <v>888</v>
      </c>
      <c r="E27" s="72" t="s">
        <v>890</v>
      </c>
      <c r="F27" s="74">
        <v>239.6</v>
      </c>
      <c r="G27" s="73" t="s">
        <v>829</v>
      </c>
      <c r="H27" s="75"/>
      <c r="I27" s="75"/>
      <c r="J27" s="75"/>
      <c r="K27" s="75"/>
      <c r="L27" s="75"/>
      <c r="M27" s="75"/>
      <c r="N27" s="75"/>
      <c r="O27" s="75">
        <f>SUM(TABELA25[[#This Row],[T1]:[T7]])</f>
        <v>0</v>
      </c>
      <c r="P27" s="76">
        <f>TABELA25[[#This Row],[PREÇO]]*TABELA25[[#This Row],[QTDE]]</f>
        <v>0</v>
      </c>
    </row>
    <row r="28" spans="1:16" x14ac:dyDescent="0.2">
      <c r="A28" s="70" t="s">
        <v>894</v>
      </c>
      <c r="B28" s="71" t="s">
        <v>892</v>
      </c>
      <c r="C28" s="72" t="s">
        <v>893</v>
      </c>
      <c r="D28" s="73" t="s">
        <v>830</v>
      </c>
      <c r="E28" s="72" t="s">
        <v>43</v>
      </c>
      <c r="F28" s="74">
        <v>111.6</v>
      </c>
      <c r="G28" s="73" t="s">
        <v>829</v>
      </c>
      <c r="H28" s="75"/>
      <c r="I28" s="75"/>
      <c r="J28" s="75"/>
      <c r="K28" s="75"/>
      <c r="L28" s="75"/>
      <c r="M28" s="75"/>
      <c r="N28" s="75"/>
      <c r="O28" s="75">
        <f>SUM(TABELA25[[#This Row],[T1]:[T7]])</f>
        <v>0</v>
      </c>
      <c r="P28" s="76">
        <f>TABELA25[[#This Row],[PREÇO]]*TABELA25[[#This Row],[QTDE]]</f>
        <v>0</v>
      </c>
    </row>
    <row r="29" spans="1:16" x14ac:dyDescent="0.2">
      <c r="A29" s="70" t="s">
        <v>897</v>
      </c>
      <c r="B29" s="71" t="s">
        <v>892</v>
      </c>
      <c r="C29" s="72" t="s">
        <v>893</v>
      </c>
      <c r="D29" s="73" t="s">
        <v>895</v>
      </c>
      <c r="E29" s="72" t="s">
        <v>896</v>
      </c>
      <c r="F29" s="74">
        <v>111.6</v>
      </c>
      <c r="G29" s="73" t="s">
        <v>829</v>
      </c>
      <c r="H29" s="75"/>
      <c r="I29" s="75"/>
      <c r="J29" s="75"/>
      <c r="K29" s="75"/>
      <c r="L29" s="75"/>
      <c r="M29" s="75"/>
      <c r="N29" s="75"/>
      <c r="O29" s="75">
        <f>SUM(TABELA25[[#This Row],[T1]:[T7]])</f>
        <v>0</v>
      </c>
      <c r="P29" s="76">
        <f>TABELA25[[#This Row],[PREÇO]]*TABELA25[[#This Row],[QTDE]]</f>
        <v>0</v>
      </c>
    </row>
    <row r="30" spans="1:16" x14ac:dyDescent="0.2">
      <c r="A30" s="70" t="s">
        <v>905</v>
      </c>
      <c r="B30" s="71" t="s">
        <v>901</v>
      </c>
      <c r="C30" s="72" t="s">
        <v>903</v>
      </c>
      <c r="D30" s="73" t="s">
        <v>902</v>
      </c>
      <c r="E30" s="72" t="s">
        <v>904</v>
      </c>
      <c r="F30" s="74">
        <v>171.6</v>
      </c>
      <c r="G30" s="73" t="s">
        <v>829</v>
      </c>
      <c r="H30" s="75"/>
      <c r="I30" s="75"/>
      <c r="J30" s="75"/>
      <c r="K30" s="75"/>
      <c r="L30" s="75"/>
      <c r="M30" s="75"/>
      <c r="N30" s="75"/>
      <c r="O30" s="75">
        <f>SUM(TABELA25[[#This Row],[T1]:[T7]])</f>
        <v>0</v>
      </c>
      <c r="P30" s="76">
        <f>TABELA25[[#This Row],[PREÇO]]*TABELA25[[#This Row],[QTDE]]</f>
        <v>0</v>
      </c>
    </row>
    <row r="31" spans="1:16" x14ac:dyDescent="0.2">
      <c r="A31" s="70" t="s">
        <v>908</v>
      </c>
      <c r="B31" s="71" t="s">
        <v>906</v>
      </c>
      <c r="C31" s="72" t="s">
        <v>907</v>
      </c>
      <c r="D31" s="73" t="s">
        <v>898</v>
      </c>
      <c r="E31" s="72" t="s">
        <v>900</v>
      </c>
      <c r="F31" s="74">
        <v>199.6</v>
      </c>
      <c r="G31" s="73" t="s">
        <v>829</v>
      </c>
      <c r="H31" s="75"/>
      <c r="I31" s="75"/>
      <c r="J31" s="75"/>
      <c r="K31" s="75"/>
      <c r="L31" s="75"/>
      <c r="M31" s="75"/>
      <c r="N31" s="75"/>
      <c r="O31" s="75">
        <f>SUM(TABELA25[[#This Row],[T1]:[T7]])</f>
        <v>0</v>
      </c>
      <c r="P31" s="76">
        <f>TABELA25[[#This Row],[PREÇO]]*TABELA25[[#This Row],[QTDE]]</f>
        <v>0</v>
      </c>
    </row>
    <row r="32" spans="1:16" x14ac:dyDescent="0.2">
      <c r="A32" s="70" t="s">
        <v>913</v>
      </c>
      <c r="B32" s="71" t="s">
        <v>909</v>
      </c>
      <c r="C32" s="72" t="s">
        <v>911</v>
      </c>
      <c r="D32" s="73" t="s">
        <v>910</v>
      </c>
      <c r="E32" s="72" t="s">
        <v>912</v>
      </c>
      <c r="F32" s="74">
        <v>103.6</v>
      </c>
      <c r="G32" s="73" t="s">
        <v>829</v>
      </c>
      <c r="H32" s="75"/>
      <c r="I32" s="75"/>
      <c r="J32" s="75"/>
      <c r="K32" s="75"/>
      <c r="L32" s="75"/>
      <c r="M32" s="75"/>
      <c r="N32" s="75"/>
      <c r="O32" s="75">
        <f>SUM(TABELA25[[#This Row],[T1]:[T7]])</f>
        <v>0</v>
      </c>
      <c r="P32" s="76">
        <f>TABELA25[[#This Row],[PREÇO]]*TABELA25[[#This Row],[QTDE]]</f>
        <v>0</v>
      </c>
    </row>
    <row r="33" spans="1:16" x14ac:dyDescent="0.2">
      <c r="A33" s="70" t="s">
        <v>916</v>
      </c>
      <c r="B33" s="71" t="s">
        <v>909</v>
      </c>
      <c r="C33" s="72" t="s">
        <v>911</v>
      </c>
      <c r="D33" s="73" t="s">
        <v>914</v>
      </c>
      <c r="E33" s="72" t="s">
        <v>915</v>
      </c>
      <c r="F33" s="74">
        <v>103.6</v>
      </c>
      <c r="G33" s="73" t="s">
        <v>829</v>
      </c>
      <c r="H33" s="75"/>
      <c r="I33" s="75"/>
      <c r="J33" s="75"/>
      <c r="K33" s="75"/>
      <c r="L33" s="75"/>
      <c r="M33" s="75"/>
      <c r="N33" s="75"/>
      <c r="O33" s="75">
        <f>SUM(TABELA25[[#This Row],[T1]:[T7]])</f>
        <v>0</v>
      </c>
      <c r="P33" s="76">
        <f>TABELA25[[#This Row],[PREÇO]]*TABELA25[[#This Row],[QTDE]]</f>
        <v>0</v>
      </c>
    </row>
    <row r="34" spans="1:16" x14ac:dyDescent="0.2">
      <c r="A34" s="70" t="s">
        <v>919</v>
      </c>
      <c r="B34" s="71" t="s">
        <v>917</v>
      </c>
      <c r="C34" s="72" t="s">
        <v>918</v>
      </c>
      <c r="D34" s="73">
        <v>2206</v>
      </c>
      <c r="E34" s="72" t="s">
        <v>915</v>
      </c>
      <c r="F34" s="74">
        <v>219.6</v>
      </c>
      <c r="G34" s="73" t="s">
        <v>829</v>
      </c>
      <c r="H34" s="75"/>
      <c r="I34" s="75"/>
      <c r="J34" s="75"/>
      <c r="K34" s="75"/>
      <c r="L34" s="75"/>
      <c r="M34" s="75"/>
      <c r="N34" s="75"/>
      <c r="O34" s="75">
        <f>SUM(TABELA25[[#This Row],[T1]:[T7]])</f>
        <v>0</v>
      </c>
      <c r="P34" s="76">
        <f>TABELA25[[#This Row],[PREÇO]]*TABELA25[[#This Row],[QTDE]]</f>
        <v>0</v>
      </c>
    </row>
    <row r="35" spans="1:16" x14ac:dyDescent="0.2">
      <c r="A35" s="70" t="s">
        <v>922</v>
      </c>
      <c r="B35" s="71" t="s">
        <v>920</v>
      </c>
      <c r="C35" s="72" t="s">
        <v>921</v>
      </c>
      <c r="D35" s="73" t="s">
        <v>910</v>
      </c>
      <c r="E35" s="72" t="s">
        <v>912</v>
      </c>
      <c r="F35" s="74">
        <v>199.6</v>
      </c>
      <c r="G35" s="73" t="s">
        <v>829</v>
      </c>
      <c r="H35" s="75"/>
      <c r="I35" s="75"/>
      <c r="J35" s="75"/>
      <c r="K35" s="75"/>
      <c r="L35" s="75"/>
      <c r="M35" s="75"/>
      <c r="N35" s="75"/>
      <c r="O35" s="75">
        <f>SUM(TABELA25[[#This Row],[T1]:[T7]])</f>
        <v>0</v>
      </c>
      <c r="P35" s="76">
        <f>TABELA25[[#This Row],[PREÇO]]*TABELA25[[#This Row],[QTDE]]</f>
        <v>0</v>
      </c>
    </row>
    <row r="36" spans="1:16" x14ac:dyDescent="0.2">
      <c r="A36" s="70" t="s">
        <v>927</v>
      </c>
      <c r="B36" s="71" t="s">
        <v>923</v>
      </c>
      <c r="C36" s="72" t="s">
        <v>925</v>
      </c>
      <c r="D36" s="73" t="s">
        <v>924</v>
      </c>
      <c r="E36" s="72" t="s">
        <v>926</v>
      </c>
      <c r="F36" s="74">
        <v>239.6</v>
      </c>
      <c r="G36" s="73" t="s">
        <v>829</v>
      </c>
      <c r="H36" s="75"/>
      <c r="I36" s="75"/>
      <c r="J36" s="75"/>
      <c r="K36" s="75"/>
      <c r="L36" s="75"/>
      <c r="M36" s="75"/>
      <c r="N36" s="75"/>
      <c r="O36" s="75">
        <f>SUM(TABELA25[[#This Row],[T1]:[T7]])</f>
        <v>0</v>
      </c>
      <c r="P36" s="76">
        <f>TABELA25[[#This Row],[PREÇO]]*TABELA25[[#This Row],[QTDE]]</f>
        <v>0</v>
      </c>
    </row>
    <row r="37" spans="1:16" x14ac:dyDescent="0.2">
      <c r="A37" s="70" t="s">
        <v>932</v>
      </c>
      <c r="B37" s="71" t="s">
        <v>928</v>
      </c>
      <c r="C37" s="72" t="s">
        <v>930</v>
      </c>
      <c r="D37" s="73" t="s">
        <v>929</v>
      </c>
      <c r="E37" s="72" t="s">
        <v>931</v>
      </c>
      <c r="F37" s="74">
        <v>187.6</v>
      </c>
      <c r="G37" s="73" t="s">
        <v>829</v>
      </c>
      <c r="H37" s="75"/>
      <c r="I37" s="75"/>
      <c r="J37" s="75"/>
      <c r="K37" s="75"/>
      <c r="L37" s="75"/>
      <c r="M37" s="75"/>
      <c r="N37" s="75"/>
      <c r="O37" s="75">
        <f>SUM(TABELA25[[#This Row],[T1]:[T7]])</f>
        <v>0</v>
      </c>
      <c r="P37" s="76">
        <f>TABELA25[[#This Row],[PREÇO]]*TABELA25[[#This Row],[QTDE]]</f>
        <v>0</v>
      </c>
    </row>
    <row r="38" spans="1:16" x14ac:dyDescent="0.2">
      <c r="A38" s="70" t="s">
        <v>935</v>
      </c>
      <c r="B38" s="71" t="s">
        <v>933</v>
      </c>
      <c r="C38" s="72" t="s">
        <v>934</v>
      </c>
      <c r="D38" s="73" t="s">
        <v>830</v>
      </c>
      <c r="E38" s="72" t="s">
        <v>43</v>
      </c>
      <c r="F38" s="74">
        <v>119.6</v>
      </c>
      <c r="G38" s="73" t="s">
        <v>829</v>
      </c>
      <c r="H38" s="75"/>
      <c r="I38" s="75"/>
      <c r="J38" s="75"/>
      <c r="K38" s="75"/>
      <c r="L38" s="75"/>
      <c r="M38" s="75"/>
      <c r="N38" s="75"/>
      <c r="O38" s="75">
        <f>SUM(TABELA25[[#This Row],[T1]:[T7]])</f>
        <v>0</v>
      </c>
      <c r="P38" s="76">
        <f>TABELA25[[#This Row],[PREÇO]]*TABELA25[[#This Row],[QTDE]]</f>
        <v>0</v>
      </c>
    </row>
    <row r="39" spans="1:16" x14ac:dyDescent="0.2">
      <c r="A39" s="70" t="s">
        <v>936</v>
      </c>
      <c r="B39" s="71" t="s">
        <v>933</v>
      </c>
      <c r="C39" s="72" t="s">
        <v>934</v>
      </c>
      <c r="D39" s="73" t="s">
        <v>929</v>
      </c>
      <c r="E39" s="72" t="s">
        <v>931</v>
      </c>
      <c r="F39" s="74">
        <v>119.6</v>
      </c>
      <c r="G39" s="73" t="s">
        <v>829</v>
      </c>
      <c r="H39" s="75"/>
      <c r="I39" s="75"/>
      <c r="J39" s="75"/>
      <c r="K39" s="75"/>
      <c r="L39" s="75"/>
      <c r="M39" s="75"/>
      <c r="N39" s="75"/>
      <c r="O39" s="75">
        <f>SUM(TABELA25[[#This Row],[T1]:[T7]])</f>
        <v>0</v>
      </c>
      <c r="P39" s="76">
        <f>TABELA25[[#This Row],[PREÇO]]*TABELA25[[#This Row],[QTDE]]</f>
        <v>0</v>
      </c>
    </row>
    <row r="40" spans="1:16" x14ac:dyDescent="0.2">
      <c r="A40" s="70" t="s">
        <v>941</v>
      </c>
      <c r="B40" s="71" t="s">
        <v>937</v>
      </c>
      <c r="C40" s="72" t="s">
        <v>939</v>
      </c>
      <c r="D40" s="73" t="s">
        <v>938</v>
      </c>
      <c r="E40" s="72" t="s">
        <v>940</v>
      </c>
      <c r="F40" s="74">
        <v>159.6</v>
      </c>
      <c r="G40" s="73" t="s">
        <v>829</v>
      </c>
      <c r="H40" s="75"/>
      <c r="I40" s="75"/>
      <c r="J40" s="75"/>
      <c r="K40" s="75"/>
      <c r="L40" s="75"/>
      <c r="M40" s="75"/>
      <c r="N40" s="75"/>
      <c r="O40" s="75">
        <f>SUM(TABELA25[[#This Row],[T1]:[T7]])</f>
        <v>0</v>
      </c>
      <c r="P40" s="76">
        <f>TABELA25[[#This Row],[PREÇO]]*TABELA25[[#This Row],[QTDE]]</f>
        <v>0</v>
      </c>
    </row>
    <row r="41" spans="1:16" x14ac:dyDescent="0.2">
      <c r="A41" s="70" t="s">
        <v>944</v>
      </c>
      <c r="B41" s="71" t="s">
        <v>942</v>
      </c>
      <c r="C41" s="72" t="s">
        <v>943</v>
      </c>
      <c r="D41" s="73" t="s">
        <v>938</v>
      </c>
      <c r="E41" s="72" t="s">
        <v>940</v>
      </c>
      <c r="F41" s="74">
        <v>183.6</v>
      </c>
      <c r="G41" s="73" t="s">
        <v>829</v>
      </c>
      <c r="H41" s="75"/>
      <c r="I41" s="75"/>
      <c r="J41" s="75"/>
      <c r="K41" s="75"/>
      <c r="L41" s="75"/>
      <c r="M41" s="75"/>
      <c r="N41" s="75"/>
      <c r="O41" s="75">
        <f>SUM(TABELA25[[#This Row],[T1]:[T7]])</f>
        <v>0</v>
      </c>
      <c r="P41" s="76">
        <f>TABELA25[[#This Row],[PREÇO]]*TABELA25[[#This Row],[QTDE]]</f>
        <v>0</v>
      </c>
    </row>
    <row r="42" spans="1:16" x14ac:dyDescent="0.2">
      <c r="A42" s="70" t="s">
        <v>947</v>
      </c>
      <c r="B42" s="71" t="s">
        <v>945</v>
      </c>
      <c r="C42" s="72" t="s">
        <v>946</v>
      </c>
      <c r="D42" s="73" t="s">
        <v>938</v>
      </c>
      <c r="E42" s="72" t="s">
        <v>940</v>
      </c>
      <c r="F42" s="74">
        <v>183.6</v>
      </c>
      <c r="G42" s="73" t="s">
        <v>829</v>
      </c>
      <c r="H42" s="75"/>
      <c r="I42" s="75"/>
      <c r="J42" s="75"/>
      <c r="K42" s="75"/>
      <c r="L42" s="75"/>
      <c r="M42" s="75"/>
      <c r="N42" s="75"/>
      <c r="O42" s="75">
        <f>SUM(TABELA25[[#This Row],[T1]:[T7]])</f>
        <v>0</v>
      </c>
      <c r="P42" s="76">
        <f>TABELA25[[#This Row],[PREÇO]]*TABELA25[[#This Row],[QTDE]]</f>
        <v>0</v>
      </c>
    </row>
    <row r="43" spans="1:16" x14ac:dyDescent="0.2">
      <c r="A43" s="70" t="s">
        <v>950</v>
      </c>
      <c r="B43" s="71" t="s">
        <v>948</v>
      </c>
      <c r="C43" s="72" t="s">
        <v>949</v>
      </c>
      <c r="D43" s="73" t="s">
        <v>938</v>
      </c>
      <c r="E43" s="72" t="s">
        <v>940</v>
      </c>
      <c r="F43" s="74">
        <v>127.6</v>
      </c>
      <c r="G43" s="73" t="s">
        <v>829</v>
      </c>
      <c r="H43" s="75"/>
      <c r="I43" s="75"/>
      <c r="J43" s="75"/>
      <c r="K43" s="75"/>
      <c r="L43" s="75"/>
      <c r="M43" s="75"/>
      <c r="N43" s="75"/>
      <c r="O43" s="75">
        <f>SUM(TABELA25[[#This Row],[T1]:[T7]])</f>
        <v>0</v>
      </c>
      <c r="P43" s="76">
        <f>TABELA25[[#This Row],[PREÇO]]*TABELA25[[#This Row],[QTDE]]</f>
        <v>0</v>
      </c>
    </row>
    <row r="44" spans="1:16" x14ac:dyDescent="0.2">
      <c r="A44" s="70" t="s">
        <v>953</v>
      </c>
      <c r="B44" s="71" t="s">
        <v>951</v>
      </c>
      <c r="C44" s="72" t="s">
        <v>952</v>
      </c>
      <c r="D44" s="73" t="s">
        <v>938</v>
      </c>
      <c r="E44" s="72" t="s">
        <v>940</v>
      </c>
      <c r="F44" s="74">
        <v>187.6</v>
      </c>
      <c r="G44" s="73" t="s">
        <v>829</v>
      </c>
      <c r="H44" s="75"/>
      <c r="I44" s="75"/>
      <c r="J44" s="75"/>
      <c r="K44" s="75"/>
      <c r="L44" s="75"/>
      <c r="M44" s="75"/>
      <c r="N44" s="75"/>
      <c r="O44" s="75">
        <f>SUM(TABELA25[[#This Row],[T1]:[T7]])</f>
        <v>0</v>
      </c>
      <c r="P44" s="76">
        <f>TABELA25[[#This Row],[PREÇO]]*TABELA25[[#This Row],[QTDE]]</f>
        <v>0</v>
      </c>
    </row>
    <row r="45" spans="1:16" x14ac:dyDescent="0.2">
      <c r="A45" s="70" t="s">
        <v>958</v>
      </c>
      <c r="B45" s="71" t="s">
        <v>954</v>
      </c>
      <c r="C45" s="72" t="s">
        <v>956</v>
      </c>
      <c r="D45" s="73" t="s">
        <v>955</v>
      </c>
      <c r="E45" s="72" t="s">
        <v>957</v>
      </c>
      <c r="F45" s="74">
        <v>111.6</v>
      </c>
      <c r="G45" s="73" t="s">
        <v>829</v>
      </c>
      <c r="H45" s="75"/>
      <c r="I45" s="75"/>
      <c r="J45" s="75"/>
      <c r="K45" s="75"/>
      <c r="L45" s="75"/>
      <c r="M45" s="75"/>
      <c r="N45" s="75"/>
      <c r="O45" s="75">
        <f>SUM(TABELA25[[#This Row],[T1]:[T7]])</f>
        <v>0</v>
      </c>
      <c r="P45" s="76">
        <f>TABELA25[[#This Row],[PREÇO]]*TABELA25[[#This Row],[QTDE]]</f>
        <v>0</v>
      </c>
    </row>
    <row r="46" spans="1:16" x14ac:dyDescent="0.2">
      <c r="A46" s="70" t="s">
        <v>963</v>
      </c>
      <c r="B46" s="71" t="s">
        <v>959</v>
      </c>
      <c r="C46" s="72" t="s">
        <v>961</v>
      </c>
      <c r="D46" s="73" t="s">
        <v>960</v>
      </c>
      <c r="E46" s="72" t="s">
        <v>962</v>
      </c>
      <c r="F46" s="74">
        <v>179.6</v>
      </c>
      <c r="G46" s="73" t="s">
        <v>829</v>
      </c>
      <c r="H46" s="75"/>
      <c r="I46" s="75"/>
      <c r="J46" s="75"/>
      <c r="K46" s="75"/>
      <c r="L46" s="75"/>
      <c r="M46" s="75"/>
      <c r="N46" s="75"/>
      <c r="O46" s="75">
        <f>SUM(TABELA25[[#This Row],[T1]:[T7]])</f>
        <v>0</v>
      </c>
      <c r="P46" s="76">
        <f>TABELA25[[#This Row],[PREÇO]]*TABELA25[[#This Row],[QTDE]]</f>
        <v>0</v>
      </c>
    </row>
    <row r="47" spans="1:16" x14ac:dyDescent="0.2">
      <c r="A47" s="70" t="s">
        <v>966</v>
      </c>
      <c r="B47" s="71" t="s">
        <v>964</v>
      </c>
      <c r="C47" s="72" t="s">
        <v>965</v>
      </c>
      <c r="D47" s="73" t="s">
        <v>955</v>
      </c>
      <c r="E47" s="72" t="s">
        <v>957</v>
      </c>
      <c r="F47" s="74">
        <v>299.60000000000002</v>
      </c>
      <c r="G47" s="73" t="s">
        <v>829</v>
      </c>
      <c r="H47" s="75"/>
      <c r="I47" s="75"/>
      <c r="J47" s="75"/>
      <c r="K47" s="75"/>
      <c r="L47" s="75"/>
      <c r="M47" s="75"/>
      <c r="N47" s="75"/>
      <c r="O47" s="75">
        <f>SUM(TABELA25[[#This Row],[T1]:[T7]])</f>
        <v>0</v>
      </c>
      <c r="P47" s="76">
        <f>TABELA25[[#This Row],[PREÇO]]*TABELA25[[#This Row],[QTDE]]</f>
        <v>0</v>
      </c>
    </row>
    <row r="48" spans="1:16" x14ac:dyDescent="0.2">
      <c r="A48" s="70" t="s">
        <v>971</v>
      </c>
      <c r="B48" s="71" t="s">
        <v>967</v>
      </c>
      <c r="C48" s="72" t="s">
        <v>969</v>
      </c>
      <c r="D48" s="73" t="s">
        <v>968</v>
      </c>
      <c r="E48" s="72" t="s">
        <v>970</v>
      </c>
      <c r="F48" s="74">
        <v>239.6</v>
      </c>
      <c r="G48" s="73" t="s">
        <v>829</v>
      </c>
      <c r="H48" s="75"/>
      <c r="I48" s="75"/>
      <c r="J48" s="75"/>
      <c r="K48" s="75"/>
      <c r="L48" s="75"/>
      <c r="M48" s="75"/>
      <c r="N48" s="75"/>
      <c r="O48" s="75">
        <f>SUM(TABELA25[[#This Row],[T1]:[T7]])</f>
        <v>0</v>
      </c>
      <c r="P48" s="76">
        <f>TABELA25[[#This Row],[PREÇO]]*TABELA25[[#This Row],[QTDE]]</f>
        <v>0</v>
      </c>
    </row>
    <row r="49" spans="1:16" x14ac:dyDescent="0.2">
      <c r="A49" s="70" t="s">
        <v>974</v>
      </c>
      <c r="B49" s="71" t="s">
        <v>972</v>
      </c>
      <c r="C49" s="72" t="s">
        <v>973</v>
      </c>
      <c r="D49" s="73" t="s">
        <v>882</v>
      </c>
      <c r="E49" s="72" t="s">
        <v>817</v>
      </c>
      <c r="F49" s="74">
        <v>315.60000000000002</v>
      </c>
      <c r="G49" s="73" t="s">
        <v>829</v>
      </c>
      <c r="H49" s="75"/>
      <c r="I49" s="75"/>
      <c r="J49" s="75"/>
      <c r="K49" s="75"/>
      <c r="L49" s="75"/>
      <c r="M49" s="75"/>
      <c r="N49" s="75"/>
      <c r="O49" s="75">
        <f>SUM(TABELA25[[#This Row],[T1]:[T7]])</f>
        <v>0</v>
      </c>
      <c r="P49" s="76">
        <f>TABELA25[[#This Row],[PREÇO]]*TABELA25[[#This Row],[QTDE]]</f>
        <v>0</v>
      </c>
    </row>
    <row r="50" spans="1:16" x14ac:dyDescent="0.2">
      <c r="A50" s="70" t="s">
        <v>977</v>
      </c>
      <c r="B50" s="71" t="s">
        <v>975</v>
      </c>
      <c r="C50" s="72" t="s">
        <v>976</v>
      </c>
      <c r="D50" s="73" t="s">
        <v>960</v>
      </c>
      <c r="E50" s="72" t="s">
        <v>962</v>
      </c>
      <c r="F50" s="74">
        <v>319.60000000000002</v>
      </c>
      <c r="G50" s="73" t="s">
        <v>829</v>
      </c>
      <c r="H50" s="75"/>
      <c r="I50" s="75"/>
      <c r="J50" s="75"/>
      <c r="K50" s="75"/>
      <c r="L50" s="75"/>
      <c r="M50" s="75"/>
      <c r="N50" s="75"/>
      <c r="O50" s="75">
        <f>SUM(TABELA25[[#This Row],[T1]:[T7]])</f>
        <v>0</v>
      </c>
      <c r="P50" s="76">
        <f>TABELA25[[#This Row],[PREÇO]]*TABELA25[[#This Row],[QTDE]]</f>
        <v>0</v>
      </c>
    </row>
    <row r="51" spans="1:16" x14ac:dyDescent="0.2">
      <c r="A51" s="70" t="s">
        <v>980</v>
      </c>
      <c r="B51" s="71" t="s">
        <v>978</v>
      </c>
      <c r="C51" s="72" t="s">
        <v>979</v>
      </c>
      <c r="D51" s="73" t="s">
        <v>968</v>
      </c>
      <c r="E51" s="72" t="s">
        <v>970</v>
      </c>
      <c r="F51" s="74">
        <v>215.6</v>
      </c>
      <c r="G51" s="73" t="s">
        <v>829</v>
      </c>
      <c r="H51" s="75"/>
      <c r="I51" s="75"/>
      <c r="J51" s="75"/>
      <c r="K51" s="75"/>
      <c r="L51" s="75"/>
      <c r="M51" s="75"/>
      <c r="N51" s="75"/>
      <c r="O51" s="75">
        <f>SUM(TABELA25[[#This Row],[T1]:[T7]])</f>
        <v>0</v>
      </c>
      <c r="P51" s="76">
        <f>TABELA25[[#This Row],[PREÇO]]*TABELA25[[#This Row],[QTDE]]</f>
        <v>0</v>
      </c>
    </row>
    <row r="52" spans="1:16" x14ac:dyDescent="0.2">
      <c r="A52" s="70" t="s">
        <v>981</v>
      </c>
      <c r="B52" s="71" t="s">
        <v>982</v>
      </c>
      <c r="C52" s="72" t="s">
        <v>983</v>
      </c>
      <c r="D52" s="73" t="s">
        <v>929</v>
      </c>
      <c r="E52" s="72" t="s">
        <v>931</v>
      </c>
      <c r="F52" s="74">
        <v>79.599999999999994</v>
      </c>
      <c r="G52" s="73" t="s">
        <v>826</v>
      </c>
      <c r="H52" s="75"/>
      <c r="I52" s="75"/>
      <c r="J52" s="75"/>
      <c r="K52" s="75"/>
      <c r="L52" s="75"/>
      <c r="M52" s="75"/>
      <c r="N52" s="75"/>
      <c r="O52" s="75">
        <f>SUM(TABELA25[[#This Row],[T1]:[T7]])</f>
        <v>0</v>
      </c>
      <c r="P52" s="76">
        <f>TABELA25[[#This Row],[PREÇO]]*TABELA25[[#This Row],[QTDE]]</f>
        <v>0</v>
      </c>
    </row>
    <row r="53" spans="1:16" x14ac:dyDescent="0.2">
      <c r="A53" s="70" t="s">
        <v>986</v>
      </c>
      <c r="B53" s="71" t="s">
        <v>984</v>
      </c>
      <c r="C53" s="72" t="s">
        <v>985</v>
      </c>
      <c r="D53" s="73" t="s">
        <v>32</v>
      </c>
      <c r="E53" s="72" t="s">
        <v>33</v>
      </c>
      <c r="F53" s="74">
        <v>91.6</v>
      </c>
      <c r="G53" s="73" t="s">
        <v>826</v>
      </c>
      <c r="H53" s="75"/>
      <c r="I53" s="75"/>
      <c r="J53" s="75"/>
      <c r="K53" s="75"/>
      <c r="L53" s="75"/>
      <c r="M53" s="75"/>
      <c r="N53" s="75"/>
      <c r="O53" s="75">
        <f>SUM(TABELA25[[#This Row],[T1]:[T7]])</f>
        <v>0</v>
      </c>
      <c r="P53" s="76">
        <f>TABELA25[[#This Row],[PREÇO]]*TABELA25[[#This Row],[QTDE]]</f>
        <v>0</v>
      </c>
    </row>
    <row r="54" spans="1:16" x14ac:dyDescent="0.2">
      <c r="A54" s="70" t="s">
        <v>987</v>
      </c>
      <c r="B54" s="71" t="s">
        <v>988</v>
      </c>
      <c r="C54" s="72" t="s">
        <v>989</v>
      </c>
      <c r="D54" s="73" t="s">
        <v>902</v>
      </c>
      <c r="E54" s="72" t="s">
        <v>904</v>
      </c>
      <c r="F54" s="74">
        <v>115.6</v>
      </c>
      <c r="G54" s="73" t="s">
        <v>826</v>
      </c>
      <c r="H54" s="75"/>
      <c r="I54" s="75"/>
      <c r="J54" s="75"/>
      <c r="K54" s="75"/>
      <c r="L54" s="75"/>
      <c r="M54" s="75"/>
      <c r="N54" s="75"/>
      <c r="O54" s="75">
        <f>SUM(TABELA25[[#This Row],[T1]:[T7]])</f>
        <v>0</v>
      </c>
      <c r="P54" s="76">
        <f>TABELA25[[#This Row],[PREÇO]]*TABELA25[[#This Row],[QTDE]]</f>
        <v>0</v>
      </c>
    </row>
    <row r="55" spans="1:16" x14ac:dyDescent="0.2">
      <c r="A55" s="70" t="s">
        <v>990</v>
      </c>
      <c r="B55" s="71" t="s">
        <v>991</v>
      </c>
      <c r="C55" s="72" t="s">
        <v>993</v>
      </c>
      <c r="D55" s="73" t="s">
        <v>992</v>
      </c>
      <c r="E55" s="72" t="s">
        <v>994</v>
      </c>
      <c r="F55" s="74">
        <v>95.6</v>
      </c>
      <c r="G55" s="73" t="s">
        <v>826</v>
      </c>
      <c r="H55" s="75"/>
      <c r="I55" s="75"/>
      <c r="J55" s="75"/>
      <c r="K55" s="75"/>
      <c r="L55" s="75"/>
      <c r="M55" s="75"/>
      <c r="N55" s="75"/>
      <c r="O55" s="75">
        <f>SUM(TABELA25[[#This Row],[T1]:[T7]])</f>
        <v>0</v>
      </c>
      <c r="P55" s="76">
        <f>TABELA25[[#This Row],[PREÇO]]*TABELA25[[#This Row],[QTDE]]</f>
        <v>0</v>
      </c>
    </row>
    <row r="56" spans="1:16" x14ac:dyDescent="0.2">
      <c r="A56" s="70" t="s">
        <v>995</v>
      </c>
      <c r="B56" s="71" t="s">
        <v>996</v>
      </c>
      <c r="C56" s="72" t="s">
        <v>998</v>
      </c>
      <c r="D56" s="73" t="s">
        <v>997</v>
      </c>
      <c r="E56" s="72" t="s">
        <v>999</v>
      </c>
      <c r="F56" s="74">
        <v>79.599999999999994</v>
      </c>
      <c r="G56" s="73" t="s">
        <v>826</v>
      </c>
      <c r="H56" s="75"/>
      <c r="I56" s="75"/>
      <c r="J56" s="75"/>
      <c r="K56" s="75"/>
      <c r="L56" s="75"/>
      <c r="M56" s="75"/>
      <c r="N56" s="75"/>
      <c r="O56" s="75">
        <f>SUM(TABELA25[[#This Row],[T1]:[T7]])</f>
        <v>0</v>
      </c>
      <c r="P56" s="76">
        <f>TABELA25[[#This Row],[PREÇO]]*TABELA25[[#This Row],[QTDE]]</f>
        <v>0</v>
      </c>
    </row>
    <row r="57" spans="1:16" x14ac:dyDescent="0.2">
      <c r="A57" s="70" t="s">
        <v>1002</v>
      </c>
      <c r="B57" s="71" t="s">
        <v>1000</v>
      </c>
      <c r="C57" s="72" t="s">
        <v>1001</v>
      </c>
      <c r="D57" s="73" t="s">
        <v>821</v>
      </c>
      <c r="E57" s="72" t="s">
        <v>822</v>
      </c>
      <c r="F57" s="74">
        <v>119.6</v>
      </c>
      <c r="G57" s="73" t="s">
        <v>826</v>
      </c>
      <c r="H57" s="75"/>
      <c r="I57" s="75"/>
      <c r="J57" s="75"/>
      <c r="K57" s="75"/>
      <c r="L57" s="75"/>
      <c r="M57" s="75"/>
      <c r="N57" s="75"/>
      <c r="O57" s="75">
        <f>SUM(TABELA25[[#This Row],[T1]:[T7]])</f>
        <v>0</v>
      </c>
      <c r="P57" s="76">
        <f>TABELA25[[#This Row],[PREÇO]]*TABELA25[[#This Row],[QTDE]]</f>
        <v>0</v>
      </c>
    </row>
    <row r="58" spans="1:16" x14ac:dyDescent="0.2">
      <c r="A58" s="70" t="s">
        <v>1006</v>
      </c>
      <c r="B58" s="71" t="s">
        <v>1003</v>
      </c>
      <c r="C58" s="72" t="s">
        <v>1005</v>
      </c>
      <c r="D58" s="73" t="s">
        <v>882</v>
      </c>
      <c r="E58" s="72" t="s">
        <v>817</v>
      </c>
      <c r="F58" s="74">
        <v>103.6</v>
      </c>
      <c r="G58" s="73" t="s">
        <v>826</v>
      </c>
      <c r="H58" s="75"/>
      <c r="I58" s="75"/>
      <c r="J58" s="75"/>
      <c r="K58" s="75"/>
      <c r="L58" s="75"/>
      <c r="M58" s="75"/>
      <c r="N58" s="75"/>
      <c r="O58" s="75">
        <f>SUM(TABELA25[[#This Row],[T1]:[T7]])</f>
        <v>0</v>
      </c>
      <c r="P58" s="76">
        <f>TABELA25[[#This Row],[PREÇO]]*TABELA25[[#This Row],[QTDE]]</f>
        <v>0</v>
      </c>
    </row>
    <row r="59" spans="1:16" x14ac:dyDescent="0.2">
      <c r="A59" s="70" t="s">
        <v>1007</v>
      </c>
      <c r="B59" s="71" t="s">
        <v>1008</v>
      </c>
      <c r="C59" s="72" t="s">
        <v>1010</v>
      </c>
      <c r="D59" s="73" t="s">
        <v>1009</v>
      </c>
      <c r="E59" s="72" t="s">
        <v>1011</v>
      </c>
      <c r="F59" s="74">
        <v>67.599999999999994</v>
      </c>
      <c r="G59" s="73" t="s">
        <v>826</v>
      </c>
      <c r="H59" s="75"/>
      <c r="I59" s="75"/>
      <c r="J59" s="75"/>
      <c r="K59" s="75"/>
      <c r="L59" s="75"/>
      <c r="M59" s="75"/>
      <c r="N59" s="75"/>
      <c r="O59" s="75">
        <f>SUM(TABELA25[[#This Row],[T1]:[T7]])</f>
        <v>0</v>
      </c>
      <c r="P59" s="76">
        <f>TABELA25[[#This Row],[PREÇO]]*TABELA25[[#This Row],[QTDE]]</f>
        <v>0</v>
      </c>
    </row>
    <row r="60" spans="1:16" x14ac:dyDescent="0.2">
      <c r="A60" s="70" t="s">
        <v>1014</v>
      </c>
      <c r="B60" s="71" t="s">
        <v>1012</v>
      </c>
      <c r="C60" s="72" t="s">
        <v>1013</v>
      </c>
      <c r="D60" s="73" t="s">
        <v>882</v>
      </c>
      <c r="E60" s="72" t="s">
        <v>817</v>
      </c>
      <c r="F60" s="74">
        <v>111.6</v>
      </c>
      <c r="G60" s="73" t="s">
        <v>826</v>
      </c>
      <c r="H60" s="75"/>
      <c r="I60" s="75"/>
      <c r="J60" s="75"/>
      <c r="K60" s="75"/>
      <c r="L60" s="75"/>
      <c r="M60" s="75"/>
      <c r="N60" s="75"/>
      <c r="O60" s="75">
        <f>SUM(TABELA25[[#This Row],[T1]:[T7]])</f>
        <v>0</v>
      </c>
      <c r="P60" s="76">
        <f>TABELA25[[#This Row],[PREÇO]]*TABELA25[[#This Row],[QTDE]]</f>
        <v>0</v>
      </c>
    </row>
    <row r="61" spans="1:16" x14ac:dyDescent="0.2">
      <c r="A61" s="70" t="s">
        <v>1015</v>
      </c>
      <c r="B61" s="71" t="s">
        <v>1016</v>
      </c>
      <c r="C61" s="72" t="s">
        <v>1017</v>
      </c>
      <c r="D61" s="73" t="s">
        <v>32</v>
      </c>
      <c r="E61" s="72" t="s">
        <v>33</v>
      </c>
      <c r="F61" s="74">
        <v>143.6</v>
      </c>
      <c r="G61" s="73" t="s">
        <v>826</v>
      </c>
      <c r="H61" s="75"/>
      <c r="I61" s="75"/>
      <c r="J61" s="75"/>
      <c r="K61" s="75"/>
      <c r="L61" s="75"/>
      <c r="M61" s="75"/>
      <c r="N61" s="75"/>
      <c r="O61" s="75">
        <f>SUM(TABELA25[[#This Row],[T1]:[T7]])</f>
        <v>0</v>
      </c>
      <c r="P61" s="76">
        <f>TABELA25[[#This Row],[PREÇO]]*TABELA25[[#This Row],[QTDE]]</f>
        <v>0</v>
      </c>
    </row>
    <row r="62" spans="1:16" x14ac:dyDescent="0.2">
      <c r="A62" s="70" t="s">
        <v>1018</v>
      </c>
      <c r="B62" s="71" t="s">
        <v>1019</v>
      </c>
      <c r="C62" s="72" t="s">
        <v>1020</v>
      </c>
      <c r="D62" s="73" t="s">
        <v>32</v>
      </c>
      <c r="E62" s="72" t="s">
        <v>33</v>
      </c>
      <c r="F62" s="74">
        <v>159.6</v>
      </c>
      <c r="G62" s="73" t="s">
        <v>826</v>
      </c>
      <c r="H62" s="75"/>
      <c r="I62" s="75"/>
      <c r="J62" s="75"/>
      <c r="K62" s="75"/>
      <c r="L62" s="75"/>
      <c r="M62" s="75"/>
      <c r="N62" s="75"/>
      <c r="O62" s="75">
        <f>SUM(TABELA25[[#This Row],[T1]:[T7]])</f>
        <v>0</v>
      </c>
      <c r="P62" s="76">
        <f>TABELA25[[#This Row],[PREÇO]]*TABELA25[[#This Row],[QTDE]]</f>
        <v>0</v>
      </c>
    </row>
    <row r="63" spans="1:16" x14ac:dyDescent="0.2">
      <c r="A63" s="70" t="s">
        <v>1021</v>
      </c>
      <c r="B63" s="71" t="s">
        <v>1022</v>
      </c>
      <c r="C63" s="72" t="s">
        <v>1023</v>
      </c>
      <c r="D63" s="73" t="s">
        <v>830</v>
      </c>
      <c r="E63" s="72" t="s">
        <v>43</v>
      </c>
      <c r="F63" s="74">
        <v>119.6</v>
      </c>
      <c r="G63" s="73" t="s">
        <v>826</v>
      </c>
      <c r="H63" s="75"/>
      <c r="I63" s="75"/>
      <c r="J63" s="75"/>
      <c r="K63" s="75"/>
      <c r="L63" s="75"/>
      <c r="M63" s="75"/>
      <c r="N63" s="75"/>
      <c r="O63" s="75">
        <f>SUM(TABELA25[[#This Row],[T1]:[T7]])</f>
        <v>0</v>
      </c>
      <c r="P63" s="76">
        <f>TABELA25[[#This Row],[PREÇO]]*TABELA25[[#This Row],[QTDE]]</f>
        <v>0</v>
      </c>
    </row>
    <row r="64" spans="1:16" x14ac:dyDescent="0.2">
      <c r="A64" s="70" t="s">
        <v>1025</v>
      </c>
      <c r="B64" s="71" t="s">
        <v>1026</v>
      </c>
      <c r="C64" s="72" t="s">
        <v>1027</v>
      </c>
      <c r="D64" s="73" t="s">
        <v>803</v>
      </c>
      <c r="E64" s="72" t="s">
        <v>840</v>
      </c>
      <c r="F64" s="74">
        <v>99.6</v>
      </c>
      <c r="G64" s="73" t="s">
        <v>826</v>
      </c>
      <c r="H64" s="75"/>
      <c r="I64" s="75"/>
      <c r="J64" s="75"/>
      <c r="K64" s="75"/>
      <c r="L64" s="75"/>
      <c r="M64" s="75"/>
      <c r="N64" s="75"/>
      <c r="O64" s="75">
        <f>SUM(TABELA25[[#This Row],[T1]:[T7]])</f>
        <v>0</v>
      </c>
      <c r="P64" s="76">
        <f>TABELA25[[#This Row],[PREÇO]]*TABELA25[[#This Row],[QTDE]]</f>
        <v>0</v>
      </c>
    </row>
    <row r="65" spans="1:16" x14ac:dyDescent="0.2">
      <c r="A65" s="70" t="s">
        <v>1028</v>
      </c>
      <c r="B65" s="71" t="s">
        <v>1029</v>
      </c>
      <c r="C65" s="72" t="s">
        <v>1030</v>
      </c>
      <c r="D65" s="73" t="s">
        <v>32</v>
      </c>
      <c r="E65" s="72" t="s">
        <v>33</v>
      </c>
      <c r="F65" s="74">
        <v>119.6</v>
      </c>
      <c r="G65" s="73" t="s">
        <v>826</v>
      </c>
      <c r="H65" s="75"/>
      <c r="I65" s="75"/>
      <c r="J65" s="75"/>
      <c r="K65" s="75"/>
      <c r="L65" s="75"/>
      <c r="M65" s="75"/>
      <c r="N65" s="75"/>
      <c r="O65" s="75">
        <f>SUM(TABELA25[[#This Row],[T1]:[T7]])</f>
        <v>0</v>
      </c>
      <c r="P65" s="76">
        <f>TABELA25[[#This Row],[PREÇO]]*TABELA25[[#This Row],[QTDE]]</f>
        <v>0</v>
      </c>
    </row>
    <row r="66" spans="1:16" x14ac:dyDescent="0.2">
      <c r="A66" s="70" t="s">
        <v>1031</v>
      </c>
      <c r="B66" s="71" t="s">
        <v>1032</v>
      </c>
      <c r="C66" s="72" t="s">
        <v>1033</v>
      </c>
      <c r="D66" s="73" t="s">
        <v>835</v>
      </c>
      <c r="E66" s="72" t="s">
        <v>836</v>
      </c>
      <c r="F66" s="74">
        <v>199.6</v>
      </c>
      <c r="G66" s="73" t="s">
        <v>826</v>
      </c>
      <c r="H66" s="75"/>
      <c r="I66" s="75"/>
      <c r="J66" s="75"/>
      <c r="K66" s="75"/>
      <c r="L66" s="75"/>
      <c r="M66" s="75"/>
      <c r="N66" s="75"/>
      <c r="O66" s="75">
        <f>SUM(TABELA25[[#This Row],[T1]:[T7]])</f>
        <v>0</v>
      </c>
      <c r="P66" s="76">
        <f>TABELA25[[#This Row],[PREÇO]]*TABELA25[[#This Row],[QTDE]]</f>
        <v>0</v>
      </c>
    </row>
    <row r="67" spans="1:16" x14ac:dyDescent="0.2">
      <c r="A67" s="70" t="s">
        <v>1034</v>
      </c>
      <c r="B67" s="71" t="s">
        <v>1035</v>
      </c>
      <c r="C67" s="72" t="s">
        <v>1036</v>
      </c>
      <c r="D67" s="73" t="s">
        <v>1024</v>
      </c>
      <c r="E67" s="72" t="s">
        <v>1037</v>
      </c>
      <c r="F67" s="74">
        <v>107.6</v>
      </c>
      <c r="G67" s="73" t="s">
        <v>826</v>
      </c>
      <c r="H67" s="75"/>
      <c r="I67" s="75"/>
      <c r="J67" s="75"/>
      <c r="K67" s="75"/>
      <c r="L67" s="75"/>
      <c r="M67" s="75"/>
      <c r="N67" s="75"/>
      <c r="O67" s="75">
        <f>SUM(TABELA25[[#This Row],[T1]:[T7]])</f>
        <v>0</v>
      </c>
      <c r="P67" s="76">
        <f>TABELA25[[#This Row],[PREÇO]]*TABELA25[[#This Row],[QTDE]]</f>
        <v>0</v>
      </c>
    </row>
    <row r="68" spans="1:16" x14ac:dyDescent="0.2">
      <c r="A68" s="70" t="s">
        <v>1041</v>
      </c>
      <c r="B68" s="71" t="s">
        <v>1039</v>
      </c>
      <c r="C68" s="72" t="s">
        <v>1040</v>
      </c>
      <c r="D68" s="73" t="s">
        <v>830</v>
      </c>
      <c r="E68" s="72" t="s">
        <v>43</v>
      </c>
      <c r="F68" s="74">
        <v>91.6</v>
      </c>
      <c r="G68" s="73" t="s">
        <v>826</v>
      </c>
      <c r="H68" s="75"/>
      <c r="I68" s="75"/>
      <c r="J68" s="75"/>
      <c r="K68" s="75"/>
      <c r="L68" s="75"/>
      <c r="M68" s="75"/>
      <c r="N68" s="75"/>
      <c r="O68" s="75">
        <f>SUM(TABELA25[[#This Row],[T1]:[T7]])</f>
        <v>0</v>
      </c>
      <c r="P68" s="76">
        <f>TABELA25[[#This Row],[PREÇO]]*TABELA25[[#This Row],[QTDE]]</f>
        <v>0</v>
      </c>
    </row>
    <row r="69" spans="1:16" x14ac:dyDescent="0.2">
      <c r="A69" s="70" t="s">
        <v>1038</v>
      </c>
      <c r="B69" s="71" t="s">
        <v>1039</v>
      </c>
      <c r="C69" s="72" t="s">
        <v>1040</v>
      </c>
      <c r="D69" s="73" t="s">
        <v>32</v>
      </c>
      <c r="E69" s="72" t="s">
        <v>33</v>
      </c>
      <c r="F69" s="74">
        <v>91.6</v>
      </c>
      <c r="G69" s="73" t="s">
        <v>826</v>
      </c>
      <c r="H69" s="75"/>
      <c r="I69" s="75"/>
      <c r="J69" s="75"/>
      <c r="K69" s="75"/>
      <c r="L69" s="75"/>
      <c r="M69" s="75"/>
      <c r="N69" s="75"/>
      <c r="O69" s="75">
        <f>SUM(TABELA25[[#This Row],[T1]:[T7]])</f>
        <v>0</v>
      </c>
      <c r="P69" s="76">
        <f>TABELA25[[#This Row],[PREÇO]]*TABELA25[[#This Row],[QTDE]]</f>
        <v>0</v>
      </c>
    </row>
    <row r="70" spans="1:16" x14ac:dyDescent="0.2">
      <c r="A70" s="70" t="s">
        <v>1044</v>
      </c>
      <c r="B70" s="71" t="s">
        <v>1042</v>
      </c>
      <c r="C70" s="72" t="s">
        <v>1043</v>
      </c>
      <c r="D70" s="73" t="s">
        <v>1009</v>
      </c>
      <c r="E70" s="72" t="s">
        <v>1011</v>
      </c>
      <c r="F70" s="74">
        <v>79.599999999999994</v>
      </c>
      <c r="G70" s="73" t="s">
        <v>826</v>
      </c>
      <c r="H70" s="75"/>
      <c r="I70" s="75"/>
      <c r="J70" s="75"/>
      <c r="K70" s="75"/>
      <c r="L70" s="75"/>
      <c r="M70" s="75"/>
      <c r="N70" s="75"/>
      <c r="O70" s="75">
        <f>SUM(TABELA25[[#This Row],[T1]:[T7]])</f>
        <v>0</v>
      </c>
      <c r="P70" s="76">
        <f>TABELA25[[#This Row],[PREÇO]]*TABELA25[[#This Row],[QTDE]]</f>
        <v>0</v>
      </c>
    </row>
    <row r="71" spans="1:16" x14ac:dyDescent="0.2">
      <c r="A71" s="70" t="s">
        <v>1049</v>
      </c>
      <c r="B71" s="71" t="s">
        <v>1045</v>
      </c>
      <c r="C71" s="72" t="s">
        <v>1047</v>
      </c>
      <c r="D71" s="73" t="s">
        <v>1046</v>
      </c>
      <c r="E71" s="72" t="s">
        <v>1048</v>
      </c>
      <c r="F71" s="74">
        <v>91.6</v>
      </c>
      <c r="G71" s="73" t="s">
        <v>829</v>
      </c>
      <c r="H71" s="75"/>
      <c r="I71" s="75"/>
      <c r="J71" s="75"/>
      <c r="K71" s="75"/>
      <c r="L71" s="75"/>
      <c r="M71" s="75"/>
      <c r="N71" s="75"/>
      <c r="O71" s="75">
        <f>SUM(TABELA25[[#This Row],[T1]:[T7]])</f>
        <v>0</v>
      </c>
      <c r="P71" s="76">
        <f>TABELA25[[#This Row],[PREÇO]]*TABELA25[[#This Row],[QTDE]]</f>
        <v>0</v>
      </c>
    </row>
    <row r="72" spans="1:16" x14ac:dyDescent="0.2">
      <c r="A72" s="70" t="s">
        <v>1050</v>
      </c>
      <c r="B72" s="71" t="s">
        <v>1051</v>
      </c>
      <c r="C72" s="72" t="s">
        <v>1052</v>
      </c>
      <c r="D72" s="73" t="s">
        <v>1009</v>
      </c>
      <c r="E72" s="72" t="s">
        <v>1011</v>
      </c>
      <c r="F72" s="74">
        <v>79.599999999999994</v>
      </c>
      <c r="G72" s="73" t="s">
        <v>826</v>
      </c>
      <c r="H72" s="75"/>
      <c r="I72" s="75"/>
      <c r="J72" s="75"/>
      <c r="K72" s="75"/>
      <c r="L72" s="75"/>
      <c r="M72" s="75"/>
      <c r="N72" s="75"/>
      <c r="O72" s="75">
        <f>SUM(TABELA25[[#This Row],[T1]:[T7]])</f>
        <v>0</v>
      </c>
      <c r="P72" s="76">
        <f>TABELA25[[#This Row],[PREÇO]]*TABELA25[[#This Row],[QTDE]]</f>
        <v>0</v>
      </c>
    </row>
    <row r="73" spans="1:16" x14ac:dyDescent="0.2">
      <c r="A73" s="70" t="s">
        <v>1057</v>
      </c>
      <c r="B73" s="71" t="s">
        <v>1053</v>
      </c>
      <c r="C73" s="72" t="s">
        <v>1055</v>
      </c>
      <c r="D73" s="73" t="s">
        <v>1054</v>
      </c>
      <c r="E73" s="72" t="s">
        <v>1056</v>
      </c>
      <c r="F73" s="74">
        <v>227.6</v>
      </c>
      <c r="G73" s="73" t="s">
        <v>829</v>
      </c>
      <c r="H73" s="75"/>
      <c r="I73" s="75"/>
      <c r="J73" s="75"/>
      <c r="K73" s="75"/>
      <c r="L73" s="75"/>
      <c r="M73" s="75"/>
      <c r="N73" s="75"/>
      <c r="O73" s="75">
        <f>SUM(TABELA25[[#This Row],[T1]:[T7]])</f>
        <v>0</v>
      </c>
      <c r="P73" s="76">
        <f>TABELA25[[#This Row],[PREÇO]]*TABELA25[[#This Row],[QTDE]]</f>
        <v>0</v>
      </c>
    </row>
    <row r="74" spans="1:16" x14ac:dyDescent="0.2">
      <c r="A74" s="70" t="s">
        <v>1062</v>
      </c>
      <c r="B74" s="71" t="s">
        <v>1058</v>
      </c>
      <c r="C74" s="72" t="s">
        <v>1060</v>
      </c>
      <c r="D74" s="73" t="s">
        <v>1059</v>
      </c>
      <c r="E74" s="72" t="s">
        <v>1061</v>
      </c>
      <c r="F74" s="74">
        <v>159.6</v>
      </c>
      <c r="G74" s="73" t="s">
        <v>829</v>
      </c>
      <c r="H74" s="73"/>
      <c r="I74" s="73"/>
      <c r="J74" s="73"/>
      <c r="K74" s="73"/>
      <c r="L74" s="73"/>
      <c r="M74" s="73"/>
      <c r="N74" s="73"/>
      <c r="O74" s="75">
        <f>SUM(TABELA25[[#This Row],[T1]:[T7]])</f>
        <v>0</v>
      </c>
      <c r="P74" s="76">
        <f>TABELA25[[#This Row],[PREÇO]]*TABELA25[[#This Row],[QTDE]]</f>
        <v>0</v>
      </c>
    </row>
    <row r="75" spans="1:16" x14ac:dyDescent="0.2">
      <c r="A75" s="70" t="s">
        <v>1067</v>
      </c>
      <c r="B75" s="71" t="s">
        <v>1063</v>
      </c>
      <c r="C75" s="72" t="s">
        <v>1065</v>
      </c>
      <c r="D75" s="73" t="s">
        <v>1064</v>
      </c>
      <c r="E75" s="72" t="s">
        <v>1066</v>
      </c>
      <c r="F75" s="74">
        <v>195.6</v>
      </c>
      <c r="G75" s="73" t="s">
        <v>829</v>
      </c>
      <c r="H75" s="73"/>
      <c r="I75" s="73"/>
      <c r="J75" s="73"/>
      <c r="K75" s="73"/>
      <c r="L75" s="73"/>
      <c r="M75" s="73"/>
      <c r="N75" s="73"/>
      <c r="O75" s="75">
        <f>SUM(TABELA25[[#This Row],[T1]:[T7]])</f>
        <v>0</v>
      </c>
      <c r="P75" s="76">
        <f>TABELA25[[#This Row],[PREÇO]]*TABELA25[[#This Row],[QTDE]]</f>
        <v>0</v>
      </c>
    </row>
    <row r="76" spans="1:16" x14ac:dyDescent="0.2">
      <c r="A76" s="70" t="s">
        <v>1070</v>
      </c>
      <c r="B76" s="71" t="s">
        <v>1063</v>
      </c>
      <c r="C76" s="72" t="s">
        <v>1065</v>
      </c>
      <c r="D76" s="73" t="s">
        <v>1068</v>
      </c>
      <c r="E76" s="72" t="s">
        <v>1069</v>
      </c>
      <c r="F76" s="74">
        <v>195.6</v>
      </c>
      <c r="G76" s="73" t="s">
        <v>829</v>
      </c>
      <c r="H76" s="73"/>
      <c r="I76" s="73"/>
      <c r="J76" s="73"/>
      <c r="K76" s="73"/>
      <c r="L76" s="73"/>
      <c r="M76" s="73"/>
      <c r="N76" s="73"/>
      <c r="O76" s="75">
        <f>SUM(TABELA25[[#This Row],[T1]:[T7]])</f>
        <v>0</v>
      </c>
      <c r="P76" s="76">
        <f>TABELA25[[#This Row],[PREÇO]]*TABELA25[[#This Row],[QTDE]]</f>
        <v>0</v>
      </c>
    </row>
    <row r="77" spans="1:16" x14ac:dyDescent="0.2">
      <c r="A77" s="70" t="s">
        <v>1073</v>
      </c>
      <c r="B77" s="71" t="s">
        <v>1071</v>
      </c>
      <c r="C77" s="72" t="s">
        <v>1072</v>
      </c>
      <c r="D77" s="73" t="s">
        <v>1054</v>
      </c>
      <c r="E77" s="72" t="s">
        <v>1056</v>
      </c>
      <c r="F77" s="74">
        <v>255.6</v>
      </c>
      <c r="G77" s="73" t="s">
        <v>829</v>
      </c>
      <c r="H77" s="73"/>
      <c r="I77" s="73"/>
      <c r="J77" s="73"/>
      <c r="K77" s="73"/>
      <c r="L77" s="73"/>
      <c r="M77" s="73"/>
      <c r="N77" s="73"/>
      <c r="O77" s="75">
        <f>SUM(TABELA25[[#This Row],[T1]:[T7]])</f>
        <v>0</v>
      </c>
      <c r="P77" s="76">
        <f>TABELA25[[#This Row],[PREÇO]]*TABELA25[[#This Row],[QTDE]]</f>
        <v>0</v>
      </c>
    </row>
    <row r="78" spans="1:16" x14ac:dyDescent="0.2">
      <c r="A78" s="70" t="s">
        <v>1076</v>
      </c>
      <c r="B78" s="71" t="s">
        <v>1074</v>
      </c>
      <c r="C78" s="72" t="s">
        <v>1075</v>
      </c>
      <c r="D78" s="73" t="s">
        <v>968</v>
      </c>
      <c r="E78" s="72" t="s">
        <v>970</v>
      </c>
      <c r="F78" s="74">
        <v>175.6</v>
      </c>
      <c r="G78" s="73" t="s">
        <v>829</v>
      </c>
      <c r="H78" s="73"/>
      <c r="I78" s="73"/>
      <c r="J78" s="73"/>
      <c r="K78" s="73"/>
      <c r="L78" s="73"/>
      <c r="M78" s="73"/>
      <c r="N78" s="73"/>
      <c r="O78" s="75">
        <f>SUM(TABELA25[[#This Row],[T1]:[T7]])</f>
        <v>0</v>
      </c>
      <c r="P78" s="76">
        <f>TABELA25[[#This Row],[PREÇO]]*TABELA25[[#This Row],[QTDE]]</f>
        <v>0</v>
      </c>
    </row>
    <row r="79" spans="1:16" x14ac:dyDescent="0.2">
      <c r="A79" s="70" t="s">
        <v>1079</v>
      </c>
      <c r="B79" s="71" t="s">
        <v>1077</v>
      </c>
      <c r="C79" s="72" t="s">
        <v>1078</v>
      </c>
      <c r="D79" s="73" t="s">
        <v>1046</v>
      </c>
      <c r="E79" s="72" t="s">
        <v>1048</v>
      </c>
      <c r="F79" s="74">
        <v>199.6</v>
      </c>
      <c r="G79" s="73" t="s">
        <v>829</v>
      </c>
      <c r="H79" s="73"/>
      <c r="I79" s="73"/>
      <c r="J79" s="73"/>
      <c r="K79" s="73"/>
      <c r="L79" s="73"/>
      <c r="M79" s="73"/>
      <c r="N79" s="73"/>
      <c r="O79" s="75">
        <f>SUM(TABELA25[[#This Row],[T1]:[T7]])</f>
        <v>0</v>
      </c>
      <c r="P79" s="76">
        <f>TABELA25[[#This Row],[PREÇO]]*TABELA25[[#This Row],[QTDE]]</f>
        <v>0</v>
      </c>
    </row>
    <row r="80" spans="1:16" x14ac:dyDescent="0.2">
      <c r="A80" s="70" t="s">
        <v>1082</v>
      </c>
      <c r="B80" s="71" t="s">
        <v>1080</v>
      </c>
      <c r="C80" s="72" t="s">
        <v>1081</v>
      </c>
      <c r="D80" s="73" t="s">
        <v>1064</v>
      </c>
      <c r="E80" s="72" t="s">
        <v>1066</v>
      </c>
      <c r="F80" s="74">
        <v>151.6</v>
      </c>
      <c r="G80" s="73" t="s">
        <v>829</v>
      </c>
      <c r="H80" s="73"/>
      <c r="I80" s="73"/>
      <c r="J80" s="73"/>
      <c r="K80" s="73"/>
      <c r="L80" s="73"/>
      <c r="M80" s="73"/>
      <c r="N80" s="73"/>
      <c r="O80" s="75">
        <f>SUM(TABELA25[[#This Row],[T1]:[T7]])</f>
        <v>0</v>
      </c>
      <c r="P80" s="76">
        <f>TABELA25[[#This Row],[PREÇO]]*TABELA25[[#This Row],[QTDE]]</f>
        <v>0</v>
      </c>
    </row>
    <row r="81" spans="1:16" x14ac:dyDescent="0.2">
      <c r="A81" s="70" t="s">
        <v>1083</v>
      </c>
      <c r="B81" s="71" t="s">
        <v>1080</v>
      </c>
      <c r="C81" s="72" t="s">
        <v>1081</v>
      </c>
      <c r="D81" s="73" t="s">
        <v>1068</v>
      </c>
      <c r="E81" s="72" t="s">
        <v>1069</v>
      </c>
      <c r="F81" s="74">
        <v>151.6</v>
      </c>
      <c r="G81" s="73" t="s">
        <v>829</v>
      </c>
      <c r="H81" s="73"/>
      <c r="I81" s="73"/>
      <c r="J81" s="73"/>
      <c r="K81" s="73"/>
      <c r="L81" s="73"/>
      <c r="M81" s="73"/>
      <c r="N81" s="73"/>
      <c r="O81" s="75">
        <f>SUM(TABELA25[[#This Row],[T1]:[T7]])</f>
        <v>0</v>
      </c>
      <c r="P81" s="76">
        <f>TABELA25[[#This Row],[PREÇO]]*TABELA25[[#This Row],[QTDE]]</f>
        <v>0</v>
      </c>
    </row>
    <row r="82" spans="1:16" x14ac:dyDescent="0.2">
      <c r="A82" s="70" t="s">
        <v>1086</v>
      </c>
      <c r="B82" s="71" t="s">
        <v>1084</v>
      </c>
      <c r="C82" s="72" t="s">
        <v>1085</v>
      </c>
      <c r="D82" s="73" t="s">
        <v>1064</v>
      </c>
      <c r="E82" s="72" t="s">
        <v>1066</v>
      </c>
      <c r="F82" s="74">
        <v>79.599999999999994</v>
      </c>
      <c r="G82" s="73" t="s">
        <v>2319</v>
      </c>
      <c r="H82" s="73"/>
      <c r="I82" s="73"/>
      <c r="J82" s="73"/>
      <c r="K82" s="73"/>
      <c r="L82" s="73"/>
      <c r="M82" s="73"/>
      <c r="N82" s="73"/>
      <c r="O82" s="75">
        <f>SUM(TABELA25[[#This Row],[T1]:[T7]])</f>
        <v>0</v>
      </c>
      <c r="P82" s="76">
        <f>TABELA25[[#This Row],[PREÇO]]*TABELA25[[#This Row],[QTDE]]</f>
        <v>0</v>
      </c>
    </row>
    <row r="83" spans="1:16" x14ac:dyDescent="0.2">
      <c r="A83" s="70" t="s">
        <v>1087</v>
      </c>
      <c r="B83" s="71" t="s">
        <v>1084</v>
      </c>
      <c r="C83" s="72" t="s">
        <v>1085</v>
      </c>
      <c r="D83" s="73" t="s">
        <v>1068</v>
      </c>
      <c r="E83" s="72" t="s">
        <v>1069</v>
      </c>
      <c r="F83" s="74">
        <v>79.599999999999994</v>
      </c>
      <c r="G83" s="73" t="s">
        <v>2319</v>
      </c>
      <c r="H83" s="73"/>
      <c r="I83" s="73"/>
      <c r="J83" s="73"/>
      <c r="K83" s="73"/>
      <c r="L83" s="73"/>
      <c r="M83" s="73"/>
      <c r="N83" s="73"/>
      <c r="O83" s="75">
        <f>SUM(TABELA25[[#This Row],[T1]:[T7]])</f>
        <v>0</v>
      </c>
      <c r="P83" s="76">
        <f>TABELA25[[#This Row],[PREÇO]]*TABELA25[[#This Row],[QTDE]]</f>
        <v>0</v>
      </c>
    </row>
    <row r="84" spans="1:16" x14ac:dyDescent="0.2">
      <c r="A84" s="70" t="s">
        <v>1090</v>
      </c>
      <c r="B84" s="71" t="s">
        <v>1088</v>
      </c>
      <c r="C84" s="72" t="s">
        <v>1089</v>
      </c>
      <c r="D84" s="73" t="s">
        <v>1046</v>
      </c>
      <c r="E84" s="72" t="s">
        <v>1048</v>
      </c>
      <c r="F84" s="74">
        <v>239.6</v>
      </c>
      <c r="G84" s="73" t="s">
        <v>829</v>
      </c>
      <c r="H84" s="73"/>
      <c r="I84" s="73"/>
      <c r="J84" s="73"/>
      <c r="K84" s="73"/>
      <c r="L84" s="73"/>
      <c r="M84" s="73"/>
      <c r="N84" s="73"/>
      <c r="O84" s="75">
        <f>SUM(TABELA25[[#This Row],[T1]:[T7]])</f>
        <v>0</v>
      </c>
      <c r="P84" s="76">
        <f>TABELA25[[#This Row],[PREÇO]]*TABELA25[[#This Row],[QTDE]]</f>
        <v>0</v>
      </c>
    </row>
    <row r="85" spans="1:16" x14ac:dyDescent="0.2">
      <c r="A85" s="70" t="s">
        <v>1093</v>
      </c>
      <c r="B85" s="71" t="s">
        <v>1091</v>
      </c>
      <c r="C85" s="72" t="s">
        <v>1092</v>
      </c>
      <c r="D85" s="73" t="s">
        <v>1046</v>
      </c>
      <c r="E85" s="72" t="s">
        <v>1048</v>
      </c>
      <c r="F85" s="74">
        <v>183.6</v>
      </c>
      <c r="G85" s="73" t="s">
        <v>829</v>
      </c>
      <c r="H85" s="73"/>
      <c r="I85" s="73"/>
      <c r="J85" s="73"/>
      <c r="K85" s="73"/>
      <c r="L85" s="73"/>
      <c r="M85" s="73"/>
      <c r="N85" s="73"/>
      <c r="O85" s="75">
        <f>SUM(TABELA25[[#This Row],[T1]:[T7]])</f>
        <v>0</v>
      </c>
      <c r="P85" s="76">
        <f>TABELA25[[#This Row],[PREÇO]]*TABELA25[[#This Row],[QTDE]]</f>
        <v>0</v>
      </c>
    </row>
    <row r="86" spans="1:16" x14ac:dyDescent="0.2">
      <c r="A86" s="70" t="s">
        <v>1096</v>
      </c>
      <c r="B86" s="71" t="s">
        <v>1094</v>
      </c>
      <c r="C86" s="72" t="s">
        <v>1095</v>
      </c>
      <c r="D86" s="73" t="s">
        <v>1064</v>
      </c>
      <c r="E86" s="72" t="s">
        <v>1066</v>
      </c>
      <c r="F86" s="74">
        <v>183.6</v>
      </c>
      <c r="G86" s="73" t="s">
        <v>829</v>
      </c>
      <c r="H86" s="73"/>
      <c r="I86" s="73"/>
      <c r="J86" s="73"/>
      <c r="K86" s="73"/>
      <c r="L86" s="73"/>
      <c r="M86" s="73"/>
      <c r="N86" s="73"/>
      <c r="O86" s="75">
        <f>SUM(TABELA25[[#This Row],[T1]:[T7]])</f>
        <v>0</v>
      </c>
      <c r="P86" s="76">
        <f>TABELA25[[#This Row],[PREÇO]]*TABELA25[[#This Row],[QTDE]]</f>
        <v>0</v>
      </c>
    </row>
    <row r="87" spans="1:16" x14ac:dyDescent="0.2">
      <c r="A87" s="70" t="s">
        <v>1099</v>
      </c>
      <c r="B87" s="71" t="s">
        <v>1097</v>
      </c>
      <c r="C87" s="72" t="s">
        <v>1098</v>
      </c>
      <c r="D87" s="73" t="s">
        <v>1046</v>
      </c>
      <c r="E87" s="72" t="s">
        <v>1048</v>
      </c>
      <c r="F87" s="74">
        <v>195.6</v>
      </c>
      <c r="G87" s="73" t="s">
        <v>829</v>
      </c>
      <c r="H87" s="73"/>
      <c r="I87" s="73"/>
      <c r="J87" s="73"/>
      <c r="K87" s="73"/>
      <c r="L87" s="73"/>
      <c r="M87" s="73"/>
      <c r="N87" s="73"/>
      <c r="O87" s="75">
        <f>SUM(TABELA25[[#This Row],[T1]:[T7]])</f>
        <v>0</v>
      </c>
      <c r="P87" s="76">
        <f>TABELA25[[#This Row],[PREÇO]]*TABELA25[[#This Row],[QTDE]]</f>
        <v>0</v>
      </c>
    </row>
    <row r="88" spans="1:16" x14ac:dyDescent="0.2">
      <c r="A88" s="70" t="s">
        <v>1104</v>
      </c>
      <c r="B88" s="71" t="s">
        <v>1100</v>
      </c>
      <c r="C88" s="72" t="s">
        <v>1102</v>
      </c>
      <c r="D88" s="73" t="s">
        <v>1101</v>
      </c>
      <c r="E88" s="72" t="s">
        <v>1103</v>
      </c>
      <c r="F88" s="74">
        <v>159.6</v>
      </c>
      <c r="G88" s="73" t="s">
        <v>829</v>
      </c>
      <c r="H88" s="73"/>
      <c r="I88" s="73"/>
      <c r="J88" s="73"/>
      <c r="K88" s="73"/>
      <c r="L88" s="73"/>
      <c r="M88" s="73"/>
      <c r="N88" s="73"/>
      <c r="O88" s="75">
        <f>SUM(TABELA25[[#This Row],[T1]:[T7]])</f>
        <v>0</v>
      </c>
      <c r="P88" s="76">
        <f>TABELA25[[#This Row],[PREÇO]]*TABELA25[[#This Row],[QTDE]]</f>
        <v>0</v>
      </c>
    </row>
    <row r="89" spans="1:16" x14ac:dyDescent="0.2">
      <c r="A89" s="70" t="s">
        <v>1109</v>
      </c>
      <c r="B89" s="71" t="s">
        <v>1105</v>
      </c>
      <c r="C89" s="72" t="s">
        <v>1107</v>
      </c>
      <c r="D89" s="73" t="s">
        <v>1106</v>
      </c>
      <c r="E89" s="72" t="s">
        <v>1108</v>
      </c>
      <c r="F89" s="74">
        <v>195.6</v>
      </c>
      <c r="G89" s="73" t="s">
        <v>829</v>
      </c>
      <c r="H89" s="73"/>
      <c r="I89" s="73"/>
      <c r="J89" s="73"/>
      <c r="K89" s="73"/>
      <c r="L89" s="73"/>
      <c r="M89" s="73"/>
      <c r="N89" s="73"/>
      <c r="O89" s="75">
        <f>SUM(TABELA25[[#This Row],[T1]:[T7]])</f>
        <v>0</v>
      </c>
      <c r="P89" s="76">
        <f>TABELA25[[#This Row],[PREÇO]]*TABELA25[[#This Row],[QTDE]]</f>
        <v>0</v>
      </c>
    </row>
    <row r="90" spans="1:16" x14ac:dyDescent="0.2">
      <c r="A90" s="70" t="s">
        <v>1114</v>
      </c>
      <c r="B90" s="71" t="s">
        <v>1110</v>
      </c>
      <c r="C90" s="72" t="s">
        <v>1112</v>
      </c>
      <c r="D90" s="73" t="s">
        <v>1111</v>
      </c>
      <c r="E90" s="72" t="s">
        <v>1113</v>
      </c>
      <c r="F90" s="74">
        <v>187.6</v>
      </c>
      <c r="G90" s="73" t="s">
        <v>829</v>
      </c>
      <c r="H90" s="73"/>
      <c r="I90" s="73"/>
      <c r="J90" s="73"/>
      <c r="K90" s="73"/>
      <c r="L90" s="73"/>
      <c r="M90" s="73"/>
      <c r="N90" s="73"/>
      <c r="O90" s="75">
        <f>SUM(TABELA25[[#This Row],[T1]:[T7]])</f>
        <v>0</v>
      </c>
      <c r="P90" s="76">
        <f>TABELA25[[#This Row],[PREÇO]]*TABELA25[[#This Row],[QTDE]]</f>
        <v>0</v>
      </c>
    </row>
    <row r="91" spans="1:16" x14ac:dyDescent="0.2">
      <c r="A91" s="70" t="s">
        <v>1117</v>
      </c>
      <c r="B91" s="71" t="s">
        <v>1115</v>
      </c>
      <c r="C91" s="72" t="s">
        <v>1116</v>
      </c>
      <c r="D91" s="73" t="s">
        <v>32</v>
      </c>
      <c r="E91" s="72" t="s">
        <v>33</v>
      </c>
      <c r="F91" s="74">
        <v>191.6</v>
      </c>
      <c r="G91" s="73" t="s">
        <v>829</v>
      </c>
      <c r="H91" s="73"/>
      <c r="I91" s="73"/>
      <c r="J91" s="73"/>
      <c r="K91" s="73"/>
      <c r="L91" s="73"/>
      <c r="M91" s="73"/>
      <c r="N91" s="73"/>
      <c r="O91" s="75">
        <f>SUM(TABELA25[[#This Row],[T1]:[T7]])</f>
        <v>0</v>
      </c>
      <c r="P91" s="76">
        <f>TABELA25[[#This Row],[PREÇO]]*TABELA25[[#This Row],[QTDE]]</f>
        <v>0</v>
      </c>
    </row>
    <row r="92" spans="1:16" x14ac:dyDescent="0.2">
      <c r="A92" s="70" t="s">
        <v>1120</v>
      </c>
      <c r="B92" s="71" t="s">
        <v>1115</v>
      </c>
      <c r="C92" s="72" t="s">
        <v>1116</v>
      </c>
      <c r="D92" s="73" t="s">
        <v>1118</v>
      </c>
      <c r="E92" s="72" t="s">
        <v>1119</v>
      </c>
      <c r="F92" s="74">
        <v>191.6</v>
      </c>
      <c r="G92" s="73" t="s">
        <v>829</v>
      </c>
      <c r="H92" s="73"/>
      <c r="I92" s="73"/>
      <c r="J92" s="73"/>
      <c r="K92" s="73"/>
      <c r="L92" s="73"/>
      <c r="M92" s="73"/>
      <c r="N92" s="73"/>
      <c r="O92" s="75">
        <f>SUM(TABELA25[[#This Row],[T1]:[T7]])</f>
        <v>0</v>
      </c>
      <c r="P92" s="76">
        <f>TABELA25[[#This Row],[PREÇO]]*TABELA25[[#This Row],[QTDE]]</f>
        <v>0</v>
      </c>
    </row>
    <row r="93" spans="1:16" x14ac:dyDescent="0.2">
      <c r="A93" s="70" t="s">
        <v>1123</v>
      </c>
      <c r="B93" s="71" t="s">
        <v>1121</v>
      </c>
      <c r="C93" s="72" t="s">
        <v>1122</v>
      </c>
      <c r="D93" s="73" t="s">
        <v>1106</v>
      </c>
      <c r="E93" s="72" t="s">
        <v>1108</v>
      </c>
      <c r="F93" s="74">
        <v>99.6</v>
      </c>
      <c r="G93" s="73" t="s">
        <v>829</v>
      </c>
      <c r="H93" s="73"/>
      <c r="I93" s="73"/>
      <c r="J93" s="73"/>
      <c r="K93" s="73"/>
      <c r="L93" s="73"/>
      <c r="M93" s="73"/>
      <c r="N93" s="73"/>
      <c r="O93" s="75">
        <f>SUM(TABELA25[[#This Row],[T1]:[T7]])</f>
        <v>0</v>
      </c>
      <c r="P93" s="76">
        <f>TABELA25[[#This Row],[PREÇO]]*TABELA25[[#This Row],[QTDE]]</f>
        <v>0</v>
      </c>
    </row>
    <row r="94" spans="1:16" x14ac:dyDescent="0.2">
      <c r="A94" s="70" t="s">
        <v>1126</v>
      </c>
      <c r="B94" s="71" t="s">
        <v>1124</v>
      </c>
      <c r="C94" s="72" t="s">
        <v>1125</v>
      </c>
      <c r="D94" s="73" t="s">
        <v>1111</v>
      </c>
      <c r="E94" s="72" t="s">
        <v>1113</v>
      </c>
      <c r="F94" s="74">
        <v>107.6</v>
      </c>
      <c r="G94" s="73" t="s">
        <v>829</v>
      </c>
      <c r="H94" s="73"/>
      <c r="I94" s="73"/>
      <c r="J94" s="73"/>
      <c r="K94" s="73"/>
      <c r="L94" s="73"/>
      <c r="M94" s="73"/>
      <c r="N94" s="73"/>
      <c r="O94" s="75">
        <f>SUM(TABELA25[[#This Row],[T1]:[T7]])</f>
        <v>0</v>
      </c>
      <c r="P94" s="76">
        <f>TABELA25[[#This Row],[PREÇO]]*TABELA25[[#This Row],[QTDE]]</f>
        <v>0</v>
      </c>
    </row>
    <row r="95" spans="1:16" x14ac:dyDescent="0.2">
      <c r="A95" s="70" t="s">
        <v>1129</v>
      </c>
      <c r="B95" s="71" t="s">
        <v>1127</v>
      </c>
      <c r="C95" s="72" t="s">
        <v>1128</v>
      </c>
      <c r="D95" s="73" t="s">
        <v>929</v>
      </c>
      <c r="E95" s="72" t="s">
        <v>931</v>
      </c>
      <c r="F95" s="74">
        <v>131.6</v>
      </c>
      <c r="G95" s="73" t="s">
        <v>829</v>
      </c>
      <c r="H95" s="73"/>
      <c r="I95" s="73"/>
      <c r="J95" s="73"/>
      <c r="K95" s="73"/>
      <c r="L95" s="73"/>
      <c r="M95" s="73"/>
      <c r="N95" s="73"/>
      <c r="O95" s="75">
        <f>SUM(TABELA25[[#This Row],[T1]:[T7]])</f>
        <v>0</v>
      </c>
      <c r="P95" s="76">
        <f>TABELA25[[#This Row],[PREÇO]]*TABELA25[[#This Row],[QTDE]]</f>
        <v>0</v>
      </c>
    </row>
    <row r="96" spans="1:16" x14ac:dyDescent="0.2">
      <c r="A96" s="70" t="s">
        <v>1132</v>
      </c>
      <c r="B96" s="71" t="s">
        <v>1130</v>
      </c>
      <c r="C96" s="72" t="s">
        <v>1131</v>
      </c>
      <c r="D96" s="73" t="s">
        <v>32</v>
      </c>
      <c r="E96" s="72" t="s">
        <v>33</v>
      </c>
      <c r="F96" s="74">
        <v>139.6</v>
      </c>
      <c r="G96" s="73" t="s">
        <v>829</v>
      </c>
      <c r="H96" s="73"/>
      <c r="I96" s="73"/>
      <c r="J96" s="73"/>
      <c r="K96" s="73"/>
      <c r="L96" s="73"/>
      <c r="M96" s="73"/>
      <c r="N96" s="73"/>
      <c r="O96" s="75">
        <f>SUM(TABELA25[[#This Row],[T1]:[T7]])</f>
        <v>0</v>
      </c>
      <c r="P96" s="76">
        <f>TABELA25[[#This Row],[PREÇO]]*TABELA25[[#This Row],[QTDE]]</f>
        <v>0</v>
      </c>
    </row>
    <row r="97" spans="1:16" x14ac:dyDescent="0.2">
      <c r="A97" s="70" t="s">
        <v>1135</v>
      </c>
      <c r="B97" s="71" t="s">
        <v>1130</v>
      </c>
      <c r="C97" s="72" t="s">
        <v>1131</v>
      </c>
      <c r="D97" s="73" t="s">
        <v>1133</v>
      </c>
      <c r="E97" s="72" t="s">
        <v>1134</v>
      </c>
      <c r="F97" s="74">
        <v>139.6</v>
      </c>
      <c r="G97" s="73" t="s">
        <v>829</v>
      </c>
      <c r="H97" s="73"/>
      <c r="I97" s="73"/>
      <c r="J97" s="73"/>
      <c r="K97" s="73"/>
      <c r="L97" s="73"/>
      <c r="M97" s="73"/>
      <c r="N97" s="73"/>
      <c r="O97" s="75">
        <f>SUM(TABELA25[[#This Row],[T1]:[T7]])</f>
        <v>0</v>
      </c>
      <c r="P97" s="76">
        <f>TABELA25[[#This Row],[PREÇO]]*TABELA25[[#This Row],[QTDE]]</f>
        <v>0</v>
      </c>
    </row>
    <row r="98" spans="1:16" x14ac:dyDescent="0.2">
      <c r="A98" s="70" t="s">
        <v>1139</v>
      </c>
      <c r="B98" s="71" t="s">
        <v>1136</v>
      </c>
      <c r="C98" s="72" t="s">
        <v>1137</v>
      </c>
      <c r="D98" s="73" t="s">
        <v>1133</v>
      </c>
      <c r="E98" s="72" t="s">
        <v>1134</v>
      </c>
      <c r="F98" s="74">
        <v>111.6</v>
      </c>
      <c r="G98" s="73" t="s">
        <v>829</v>
      </c>
      <c r="H98" s="73"/>
      <c r="I98" s="73"/>
      <c r="J98" s="73"/>
      <c r="K98" s="73"/>
      <c r="L98" s="73"/>
      <c r="M98" s="73"/>
      <c r="N98" s="73"/>
      <c r="O98" s="75">
        <f>SUM(TABELA25[[#This Row],[T1]:[T7]])</f>
        <v>0</v>
      </c>
      <c r="P98" s="76">
        <f>TABELA25[[#This Row],[PREÇO]]*TABELA25[[#This Row],[QTDE]]</f>
        <v>0</v>
      </c>
    </row>
    <row r="99" spans="1:16" x14ac:dyDescent="0.2">
      <c r="A99" s="70" t="s">
        <v>1138</v>
      </c>
      <c r="B99" s="71" t="s">
        <v>1136</v>
      </c>
      <c r="C99" s="72" t="s">
        <v>1137</v>
      </c>
      <c r="D99" s="73" t="s">
        <v>32</v>
      </c>
      <c r="E99" s="72" t="s">
        <v>33</v>
      </c>
      <c r="F99" s="74">
        <v>111.6</v>
      </c>
      <c r="G99" s="73" t="s">
        <v>829</v>
      </c>
      <c r="H99" s="73"/>
      <c r="I99" s="73"/>
      <c r="J99" s="73"/>
      <c r="K99" s="73"/>
      <c r="L99" s="73"/>
      <c r="M99" s="73"/>
      <c r="N99" s="73"/>
      <c r="O99" s="75">
        <f>SUM(TABELA25[[#This Row],[T1]:[T7]])</f>
        <v>0</v>
      </c>
      <c r="P99" s="76">
        <f>TABELA25[[#This Row],[PREÇO]]*TABELA25[[#This Row],[QTDE]]</f>
        <v>0</v>
      </c>
    </row>
    <row r="100" spans="1:16" x14ac:dyDescent="0.2">
      <c r="A100" s="70" t="s">
        <v>1142</v>
      </c>
      <c r="B100" s="71" t="s">
        <v>1140</v>
      </c>
      <c r="C100" s="72" t="s">
        <v>1141</v>
      </c>
      <c r="D100" s="73" t="s">
        <v>929</v>
      </c>
      <c r="E100" s="72" t="s">
        <v>931</v>
      </c>
      <c r="F100" s="74">
        <v>159.6</v>
      </c>
      <c r="G100" s="73" t="s">
        <v>829</v>
      </c>
      <c r="H100" s="73"/>
      <c r="I100" s="73"/>
      <c r="J100" s="73"/>
      <c r="K100" s="73"/>
      <c r="L100" s="73"/>
      <c r="M100" s="73"/>
      <c r="N100" s="73"/>
      <c r="O100" s="75">
        <f>SUM(TABELA25[[#This Row],[T1]:[T7]])</f>
        <v>0</v>
      </c>
      <c r="P100" s="76">
        <f>TABELA25[[#This Row],[PREÇO]]*TABELA25[[#This Row],[QTDE]]</f>
        <v>0</v>
      </c>
    </row>
    <row r="101" spans="1:16" x14ac:dyDescent="0.2">
      <c r="A101" s="70" t="s">
        <v>1145</v>
      </c>
      <c r="B101" s="71" t="s">
        <v>1143</v>
      </c>
      <c r="C101" s="72" t="s">
        <v>1144</v>
      </c>
      <c r="D101" s="73" t="s">
        <v>1106</v>
      </c>
      <c r="E101" s="72" t="s">
        <v>1108</v>
      </c>
      <c r="F101" s="74">
        <v>143.6</v>
      </c>
      <c r="G101" s="73" t="s">
        <v>829</v>
      </c>
      <c r="H101" s="73"/>
      <c r="I101" s="73"/>
      <c r="J101" s="73"/>
      <c r="K101" s="73"/>
      <c r="L101" s="73"/>
      <c r="M101" s="73"/>
      <c r="N101" s="73"/>
      <c r="O101" s="75">
        <f>SUM(TABELA25[[#This Row],[T1]:[T7]])</f>
        <v>0</v>
      </c>
      <c r="P101" s="76">
        <f>TABELA25[[#This Row],[PREÇO]]*TABELA25[[#This Row],[QTDE]]</f>
        <v>0</v>
      </c>
    </row>
    <row r="102" spans="1:16" x14ac:dyDescent="0.2">
      <c r="A102" s="70" t="s">
        <v>1148</v>
      </c>
      <c r="B102" s="71" t="s">
        <v>1146</v>
      </c>
      <c r="C102" s="72" t="s">
        <v>1147</v>
      </c>
      <c r="D102" s="73" t="s">
        <v>1111</v>
      </c>
      <c r="E102" s="72" t="s">
        <v>1113</v>
      </c>
      <c r="F102" s="74">
        <v>159.6</v>
      </c>
      <c r="G102" s="73" t="s">
        <v>829</v>
      </c>
      <c r="H102" s="73"/>
      <c r="I102" s="73"/>
      <c r="J102" s="73"/>
      <c r="K102" s="73"/>
      <c r="L102" s="73"/>
      <c r="M102" s="73"/>
      <c r="N102" s="73"/>
      <c r="O102" s="75">
        <f>SUM(TABELA25[[#This Row],[T1]:[T7]])</f>
        <v>0</v>
      </c>
      <c r="P102" s="76">
        <f>TABELA25[[#This Row],[PREÇO]]*TABELA25[[#This Row],[QTDE]]</f>
        <v>0</v>
      </c>
    </row>
    <row r="103" spans="1:16" x14ac:dyDescent="0.2">
      <c r="A103" s="70" t="s">
        <v>1151</v>
      </c>
      <c r="B103" s="71" t="s">
        <v>1149</v>
      </c>
      <c r="C103" s="72" t="s">
        <v>1150</v>
      </c>
      <c r="D103" s="73" t="s">
        <v>1064</v>
      </c>
      <c r="E103" s="72" t="s">
        <v>1066</v>
      </c>
      <c r="F103" s="74">
        <v>359.6</v>
      </c>
      <c r="G103" s="73" t="s">
        <v>829</v>
      </c>
      <c r="H103" s="73"/>
      <c r="I103" s="73"/>
      <c r="J103" s="73"/>
      <c r="K103" s="73"/>
      <c r="L103" s="73"/>
      <c r="M103" s="73"/>
      <c r="N103" s="73"/>
      <c r="O103" s="75">
        <f>SUM(TABELA25[[#This Row],[T1]:[T7]])</f>
        <v>0</v>
      </c>
      <c r="P103" s="76">
        <f>TABELA25[[#This Row],[PREÇO]]*TABELA25[[#This Row],[QTDE]]</f>
        <v>0</v>
      </c>
    </row>
    <row r="104" spans="1:16" x14ac:dyDescent="0.2">
      <c r="A104" s="70" t="s">
        <v>1152</v>
      </c>
      <c r="B104" s="71" t="s">
        <v>1149</v>
      </c>
      <c r="C104" s="72" t="s">
        <v>1150</v>
      </c>
      <c r="D104" s="73" t="s">
        <v>1068</v>
      </c>
      <c r="E104" s="72" t="s">
        <v>1069</v>
      </c>
      <c r="F104" s="74">
        <v>359.6</v>
      </c>
      <c r="G104" s="73" t="s">
        <v>829</v>
      </c>
      <c r="H104" s="73"/>
      <c r="I104" s="73"/>
      <c r="J104" s="73"/>
      <c r="K104" s="73"/>
      <c r="L104" s="73"/>
      <c r="M104" s="73"/>
      <c r="N104" s="73"/>
      <c r="O104" s="75">
        <f>SUM(TABELA25[[#This Row],[T1]:[T7]])</f>
        <v>0</v>
      </c>
      <c r="P104" s="76">
        <f>TABELA25[[#This Row],[PREÇO]]*TABELA25[[#This Row],[QTDE]]</f>
        <v>0</v>
      </c>
    </row>
    <row r="105" spans="1:16" x14ac:dyDescent="0.2">
      <c r="A105" s="70" t="s">
        <v>1155</v>
      </c>
      <c r="B105" s="71" t="s">
        <v>1153</v>
      </c>
      <c r="C105" s="72" t="s">
        <v>1154</v>
      </c>
      <c r="D105" s="73" t="s">
        <v>821</v>
      </c>
      <c r="E105" s="72" t="s">
        <v>822</v>
      </c>
      <c r="F105" s="74">
        <v>303.60000000000002</v>
      </c>
      <c r="G105" s="73" t="s">
        <v>829</v>
      </c>
      <c r="H105" s="73"/>
      <c r="I105" s="73"/>
      <c r="J105" s="73"/>
      <c r="K105" s="73"/>
      <c r="L105" s="73"/>
      <c r="M105" s="73"/>
      <c r="N105" s="73"/>
      <c r="O105" s="75">
        <f>SUM(TABELA25[[#This Row],[T1]:[T7]])</f>
        <v>0</v>
      </c>
      <c r="P105" s="76">
        <f>TABELA25[[#This Row],[PREÇO]]*TABELA25[[#This Row],[QTDE]]</f>
        <v>0</v>
      </c>
    </row>
    <row r="106" spans="1:16" x14ac:dyDescent="0.2">
      <c r="A106" s="70" t="s">
        <v>1158</v>
      </c>
      <c r="B106" s="71" t="s">
        <v>1156</v>
      </c>
      <c r="C106" s="72" t="s">
        <v>1157</v>
      </c>
      <c r="D106" s="73" t="s">
        <v>924</v>
      </c>
      <c r="E106" s="72" t="s">
        <v>926</v>
      </c>
      <c r="F106" s="74">
        <v>199.6</v>
      </c>
      <c r="G106" s="73" t="s">
        <v>829</v>
      </c>
      <c r="H106" s="73"/>
      <c r="I106" s="73"/>
      <c r="J106" s="73"/>
      <c r="K106" s="73"/>
      <c r="L106" s="73"/>
      <c r="M106" s="73"/>
      <c r="N106" s="73"/>
      <c r="O106" s="75">
        <f>SUM(TABELA25[[#This Row],[T1]:[T7]])</f>
        <v>0</v>
      </c>
      <c r="P106" s="76">
        <f>TABELA25[[#This Row],[PREÇO]]*TABELA25[[#This Row],[QTDE]]</f>
        <v>0</v>
      </c>
    </row>
    <row r="107" spans="1:16" x14ac:dyDescent="0.2">
      <c r="A107" s="70" t="s">
        <v>1162</v>
      </c>
      <c r="B107" s="71" t="s">
        <v>1159</v>
      </c>
      <c r="C107" s="72" t="s">
        <v>1160</v>
      </c>
      <c r="D107" s="73" t="s">
        <v>888</v>
      </c>
      <c r="E107" s="72" t="s">
        <v>1161</v>
      </c>
      <c r="F107" s="74">
        <v>187.6</v>
      </c>
      <c r="G107" s="73" t="s">
        <v>829</v>
      </c>
      <c r="H107" s="73"/>
      <c r="I107" s="73"/>
      <c r="J107" s="73"/>
      <c r="K107" s="73"/>
      <c r="L107" s="73"/>
      <c r="M107" s="73"/>
      <c r="N107" s="73"/>
      <c r="O107" s="75">
        <f>SUM(TABELA25[[#This Row],[T1]:[T7]])</f>
        <v>0</v>
      </c>
      <c r="P107" s="76">
        <f>TABELA25[[#This Row],[PREÇO]]*TABELA25[[#This Row],[QTDE]]</f>
        <v>0</v>
      </c>
    </row>
    <row r="108" spans="1:16" x14ac:dyDescent="0.2">
      <c r="A108" s="70" t="s">
        <v>1167</v>
      </c>
      <c r="B108" s="71" t="s">
        <v>1163</v>
      </c>
      <c r="C108" s="72" t="s">
        <v>1165</v>
      </c>
      <c r="D108" s="73" t="s">
        <v>1164</v>
      </c>
      <c r="E108" s="72" t="s">
        <v>1166</v>
      </c>
      <c r="F108" s="74">
        <v>115.6</v>
      </c>
      <c r="G108" s="73" t="s">
        <v>829</v>
      </c>
      <c r="H108" s="73"/>
      <c r="I108" s="73"/>
      <c r="J108" s="73"/>
      <c r="K108" s="73"/>
      <c r="L108" s="73"/>
      <c r="M108" s="73"/>
      <c r="N108" s="73"/>
      <c r="O108" s="75">
        <f>SUM(TABELA25[[#This Row],[T1]:[T7]])</f>
        <v>0</v>
      </c>
      <c r="P108" s="76">
        <f>TABELA25[[#This Row],[PREÇO]]*TABELA25[[#This Row],[QTDE]]</f>
        <v>0</v>
      </c>
    </row>
    <row r="109" spans="1:16" x14ac:dyDescent="0.2">
      <c r="A109" s="70" t="s">
        <v>1168</v>
      </c>
      <c r="B109" s="71" t="s">
        <v>1169</v>
      </c>
      <c r="C109" s="72" t="s">
        <v>1170</v>
      </c>
      <c r="D109" s="73" t="s">
        <v>824</v>
      </c>
      <c r="E109" s="72" t="s">
        <v>825</v>
      </c>
      <c r="F109" s="74">
        <v>231.6</v>
      </c>
      <c r="G109" s="73" t="s">
        <v>826</v>
      </c>
      <c r="H109" s="73"/>
      <c r="I109" s="73"/>
      <c r="J109" s="73"/>
      <c r="K109" s="73"/>
      <c r="L109" s="73"/>
      <c r="M109" s="73"/>
      <c r="N109" s="73"/>
      <c r="O109" s="75">
        <f>SUM(TABELA25[[#This Row],[T1]:[T7]])</f>
        <v>0</v>
      </c>
      <c r="P109" s="76">
        <f>TABELA25[[#This Row],[PREÇO]]*TABELA25[[#This Row],[QTDE]]</f>
        <v>0</v>
      </c>
    </row>
    <row r="110" spans="1:16" x14ac:dyDescent="0.2">
      <c r="A110" s="70" t="s">
        <v>1171</v>
      </c>
      <c r="B110" s="71" t="s">
        <v>1172</v>
      </c>
      <c r="C110" s="72" t="s">
        <v>1174</v>
      </c>
      <c r="D110" s="73" t="s">
        <v>1173</v>
      </c>
      <c r="E110" s="72" t="s">
        <v>1175</v>
      </c>
      <c r="F110" s="74">
        <v>219.6</v>
      </c>
      <c r="G110" s="73" t="s">
        <v>826</v>
      </c>
      <c r="H110" s="73"/>
      <c r="I110" s="73"/>
      <c r="J110" s="73"/>
      <c r="K110" s="73"/>
      <c r="L110" s="73"/>
      <c r="M110" s="73"/>
      <c r="N110" s="73"/>
      <c r="O110" s="75">
        <f>SUM(TABELA25[[#This Row],[T1]:[T7]])</f>
        <v>0</v>
      </c>
      <c r="P110" s="76">
        <f>TABELA25[[#This Row],[PREÇO]]*TABELA25[[#This Row],[QTDE]]</f>
        <v>0</v>
      </c>
    </row>
    <row r="111" spans="1:16" x14ac:dyDescent="0.2">
      <c r="A111" s="70" t="s">
        <v>1176</v>
      </c>
      <c r="B111" s="71" t="s">
        <v>1177</v>
      </c>
      <c r="C111" s="72" t="s">
        <v>1178</v>
      </c>
      <c r="D111" s="73" t="s">
        <v>32</v>
      </c>
      <c r="E111" s="72" t="s">
        <v>33</v>
      </c>
      <c r="F111" s="74">
        <v>143.6</v>
      </c>
      <c r="G111" s="73" t="s">
        <v>826</v>
      </c>
      <c r="H111" s="73"/>
      <c r="I111" s="73"/>
      <c r="J111" s="73"/>
      <c r="K111" s="73"/>
      <c r="L111" s="73"/>
      <c r="M111" s="73"/>
      <c r="N111" s="73"/>
      <c r="O111" s="75">
        <f>SUM(TABELA25[[#This Row],[T1]:[T7]])</f>
        <v>0</v>
      </c>
      <c r="P111" s="76">
        <f>TABELA25[[#This Row],[PREÇO]]*TABELA25[[#This Row],[QTDE]]</f>
        <v>0</v>
      </c>
    </row>
    <row r="112" spans="1:16" x14ac:dyDescent="0.2">
      <c r="A112" s="70" t="s">
        <v>1179</v>
      </c>
      <c r="B112" s="71" t="s">
        <v>1177</v>
      </c>
      <c r="C112" s="72" t="s">
        <v>1178</v>
      </c>
      <c r="D112" s="73" t="s">
        <v>830</v>
      </c>
      <c r="E112" s="72" t="s">
        <v>43</v>
      </c>
      <c r="F112" s="74">
        <v>143.6</v>
      </c>
      <c r="G112" s="73" t="s">
        <v>826</v>
      </c>
      <c r="H112" s="73"/>
      <c r="I112" s="73"/>
      <c r="J112" s="73"/>
      <c r="K112" s="73"/>
      <c r="L112" s="73"/>
      <c r="M112" s="73"/>
      <c r="N112" s="73"/>
      <c r="O112" s="75">
        <f>SUM(TABELA25[[#This Row],[T1]:[T7]])</f>
        <v>0</v>
      </c>
      <c r="P112" s="76">
        <f>TABELA25[[#This Row],[PREÇO]]*TABELA25[[#This Row],[QTDE]]</f>
        <v>0</v>
      </c>
    </row>
    <row r="113" spans="1:16" x14ac:dyDescent="0.2">
      <c r="A113" s="70" t="s">
        <v>1180</v>
      </c>
      <c r="B113" s="71" t="s">
        <v>1181</v>
      </c>
      <c r="C113" s="72" t="s">
        <v>1182</v>
      </c>
      <c r="D113" s="73" t="s">
        <v>32</v>
      </c>
      <c r="E113" s="72" t="s">
        <v>33</v>
      </c>
      <c r="F113" s="74">
        <v>151.6</v>
      </c>
      <c r="G113" s="73" t="s">
        <v>17</v>
      </c>
      <c r="H113" s="73"/>
      <c r="I113" s="73"/>
      <c r="J113" s="73"/>
      <c r="K113" s="73"/>
      <c r="L113" s="73"/>
      <c r="M113" s="73"/>
      <c r="N113" s="73"/>
      <c r="O113" s="75">
        <f>SUM(TABELA25[[#This Row],[T1]:[T7]])</f>
        <v>0</v>
      </c>
      <c r="P113" s="76">
        <f>TABELA25[[#This Row],[PREÇO]]*TABELA25[[#This Row],[QTDE]]</f>
        <v>0</v>
      </c>
    </row>
    <row r="114" spans="1:16" x14ac:dyDescent="0.2">
      <c r="A114" s="70" t="s">
        <v>1183</v>
      </c>
      <c r="B114" s="71" t="s">
        <v>1181</v>
      </c>
      <c r="C114" s="72" t="s">
        <v>1182</v>
      </c>
      <c r="D114" s="73" t="s">
        <v>830</v>
      </c>
      <c r="E114" s="72" t="s">
        <v>43</v>
      </c>
      <c r="F114" s="74">
        <v>151.6</v>
      </c>
      <c r="G114" s="73" t="s">
        <v>17</v>
      </c>
      <c r="H114" s="73"/>
      <c r="I114" s="73"/>
      <c r="J114" s="73"/>
      <c r="K114" s="73"/>
      <c r="L114" s="73"/>
      <c r="M114" s="73"/>
      <c r="N114" s="73"/>
      <c r="O114" s="75">
        <f>SUM(TABELA25[[#This Row],[T1]:[T7]])</f>
        <v>0</v>
      </c>
      <c r="P114" s="76">
        <f>TABELA25[[#This Row],[PREÇO]]*TABELA25[[#This Row],[QTDE]]</f>
        <v>0</v>
      </c>
    </row>
    <row r="115" spans="1:16" x14ac:dyDescent="0.2">
      <c r="A115" s="70" t="s">
        <v>1186</v>
      </c>
      <c r="B115" s="71" t="s">
        <v>1185</v>
      </c>
      <c r="C115" s="72" t="s">
        <v>841</v>
      </c>
      <c r="D115" s="73" t="s">
        <v>830</v>
      </c>
      <c r="E115" s="72" t="s">
        <v>43</v>
      </c>
      <c r="F115" s="74">
        <v>111.6</v>
      </c>
      <c r="G115" s="73" t="s">
        <v>829</v>
      </c>
      <c r="H115" s="73"/>
      <c r="I115" s="73"/>
      <c r="J115" s="73"/>
      <c r="K115" s="73"/>
      <c r="L115" s="73"/>
      <c r="M115" s="73"/>
      <c r="N115" s="73"/>
      <c r="O115" s="75">
        <f>SUM(TABELA25[[#This Row],[T1]:[T7]])</f>
        <v>0</v>
      </c>
      <c r="P115" s="76">
        <f>TABELA25[[#This Row],[PREÇO]]*TABELA25[[#This Row],[QTDE]]</f>
        <v>0</v>
      </c>
    </row>
    <row r="116" spans="1:16" x14ac:dyDescent="0.2">
      <c r="A116" s="70" t="s">
        <v>1187</v>
      </c>
      <c r="B116" s="71" t="s">
        <v>1185</v>
      </c>
      <c r="C116" s="72" t="s">
        <v>841</v>
      </c>
      <c r="D116" s="73" t="s">
        <v>1118</v>
      </c>
      <c r="E116" s="72" t="s">
        <v>1119</v>
      </c>
      <c r="F116" s="74">
        <v>111.6</v>
      </c>
      <c r="G116" s="73" t="s">
        <v>829</v>
      </c>
      <c r="H116" s="73"/>
      <c r="I116" s="73"/>
      <c r="J116" s="73"/>
      <c r="K116" s="73"/>
      <c r="L116" s="73"/>
      <c r="M116" s="73"/>
      <c r="N116" s="73"/>
      <c r="O116" s="75">
        <f>SUM(TABELA25[[#This Row],[T1]:[T7]])</f>
        <v>0</v>
      </c>
      <c r="P116" s="76">
        <f>TABELA25[[#This Row],[PREÇO]]*TABELA25[[#This Row],[QTDE]]</f>
        <v>0</v>
      </c>
    </row>
    <row r="117" spans="1:16" x14ac:dyDescent="0.2">
      <c r="A117" s="70" t="s">
        <v>1188</v>
      </c>
      <c r="B117" s="71" t="s">
        <v>1185</v>
      </c>
      <c r="C117" s="72" t="s">
        <v>841</v>
      </c>
      <c r="D117" s="73" t="s">
        <v>1164</v>
      </c>
      <c r="E117" s="72" t="s">
        <v>1166</v>
      </c>
      <c r="F117" s="74">
        <v>111.6</v>
      </c>
      <c r="G117" s="73" t="s">
        <v>829</v>
      </c>
      <c r="H117" s="73"/>
      <c r="I117" s="73"/>
      <c r="J117" s="73"/>
      <c r="K117" s="73"/>
      <c r="L117" s="73"/>
      <c r="M117" s="73"/>
      <c r="N117" s="73"/>
      <c r="O117" s="75">
        <f>SUM(TABELA25[[#This Row],[T1]:[T7]])</f>
        <v>0</v>
      </c>
      <c r="P117" s="76">
        <f>TABELA25[[#This Row],[PREÇO]]*TABELA25[[#This Row],[QTDE]]</f>
        <v>0</v>
      </c>
    </row>
    <row r="118" spans="1:16" x14ac:dyDescent="0.2">
      <c r="A118" s="70" t="s">
        <v>1190</v>
      </c>
      <c r="B118" s="71" t="s">
        <v>1189</v>
      </c>
      <c r="C118" s="72" t="s">
        <v>833</v>
      </c>
      <c r="D118" s="73" t="s">
        <v>1118</v>
      </c>
      <c r="E118" s="72" t="s">
        <v>1119</v>
      </c>
      <c r="F118" s="74">
        <v>191.6</v>
      </c>
      <c r="G118" s="73" t="s">
        <v>829</v>
      </c>
      <c r="H118" s="73"/>
      <c r="I118" s="73"/>
      <c r="J118" s="73"/>
      <c r="K118" s="73"/>
      <c r="L118" s="73"/>
      <c r="M118" s="73"/>
      <c r="N118" s="73"/>
      <c r="O118" s="75">
        <f>SUM(TABELA25[[#This Row],[T1]:[T7]])</f>
        <v>0</v>
      </c>
      <c r="P118" s="76">
        <f>TABELA25[[#This Row],[PREÇO]]*TABELA25[[#This Row],[QTDE]]</f>
        <v>0</v>
      </c>
    </row>
    <row r="119" spans="1:16" x14ac:dyDescent="0.2">
      <c r="A119" s="70" t="s">
        <v>1191</v>
      </c>
      <c r="B119" s="71" t="s">
        <v>1189</v>
      </c>
      <c r="C119" s="72" t="s">
        <v>833</v>
      </c>
      <c r="D119" s="73" t="s">
        <v>914</v>
      </c>
      <c r="E119" s="72" t="s">
        <v>915</v>
      </c>
      <c r="F119" s="74">
        <v>191.6</v>
      </c>
      <c r="G119" s="73" t="s">
        <v>829</v>
      </c>
      <c r="H119" s="73"/>
      <c r="I119" s="73"/>
      <c r="J119" s="73"/>
      <c r="K119" s="73"/>
      <c r="L119" s="73"/>
      <c r="M119" s="73"/>
      <c r="N119" s="73"/>
      <c r="O119" s="75">
        <f>SUM(TABELA25[[#This Row],[T1]:[T7]])</f>
        <v>0</v>
      </c>
      <c r="P119" s="76">
        <f>TABELA25[[#This Row],[PREÇO]]*TABELA25[[#This Row],[QTDE]]</f>
        <v>0</v>
      </c>
    </row>
    <row r="120" spans="1:16" x14ac:dyDescent="0.2">
      <c r="A120" s="70" t="s">
        <v>1196</v>
      </c>
      <c r="B120" s="71" t="s">
        <v>1192</v>
      </c>
      <c r="C120" s="72" t="s">
        <v>1194</v>
      </c>
      <c r="D120" s="73" t="s">
        <v>1193</v>
      </c>
      <c r="E120" s="72" t="s">
        <v>1195</v>
      </c>
      <c r="F120" s="74">
        <v>199.6</v>
      </c>
      <c r="G120" s="73" t="s">
        <v>829</v>
      </c>
      <c r="H120" s="73"/>
      <c r="I120" s="73"/>
      <c r="J120" s="73"/>
      <c r="K120" s="73"/>
      <c r="L120" s="73"/>
      <c r="M120" s="73"/>
      <c r="N120" s="73"/>
      <c r="O120" s="75">
        <f>SUM(TABELA25[[#This Row],[T1]:[T7]])</f>
        <v>0</v>
      </c>
      <c r="P120" s="76">
        <f>TABELA25[[#This Row],[PREÇO]]*TABELA25[[#This Row],[QTDE]]</f>
        <v>0</v>
      </c>
    </row>
    <row r="121" spans="1:16" x14ac:dyDescent="0.2">
      <c r="A121" s="70" t="s">
        <v>1199</v>
      </c>
      <c r="B121" s="71" t="s">
        <v>1197</v>
      </c>
      <c r="C121" s="72" t="s">
        <v>1198</v>
      </c>
      <c r="D121" s="73" t="s">
        <v>830</v>
      </c>
      <c r="E121" s="72" t="s">
        <v>43</v>
      </c>
      <c r="F121" s="74">
        <v>199.6</v>
      </c>
      <c r="G121" s="73" t="s">
        <v>829</v>
      </c>
      <c r="H121" s="73"/>
      <c r="I121" s="73"/>
      <c r="J121" s="73"/>
      <c r="K121" s="73"/>
      <c r="L121" s="73"/>
      <c r="M121" s="73"/>
      <c r="N121" s="73"/>
      <c r="O121" s="75">
        <f>SUM(TABELA25[[#This Row],[T1]:[T7]])</f>
        <v>0</v>
      </c>
      <c r="P121" s="76">
        <f>TABELA25[[#This Row],[PREÇO]]*TABELA25[[#This Row],[QTDE]]</f>
        <v>0</v>
      </c>
    </row>
    <row r="122" spans="1:16" x14ac:dyDescent="0.2">
      <c r="A122" s="70" t="s">
        <v>1202</v>
      </c>
      <c r="B122" s="71" t="s">
        <v>1200</v>
      </c>
      <c r="C122" s="72" t="s">
        <v>1201</v>
      </c>
      <c r="D122" s="73" t="s">
        <v>895</v>
      </c>
      <c r="E122" s="72" t="s">
        <v>896</v>
      </c>
      <c r="F122" s="74">
        <v>215.6</v>
      </c>
      <c r="G122" s="73" t="s">
        <v>829</v>
      </c>
      <c r="H122" s="73"/>
      <c r="I122" s="73"/>
      <c r="J122" s="73"/>
      <c r="K122" s="73"/>
      <c r="L122" s="73"/>
      <c r="M122" s="73"/>
      <c r="N122" s="73"/>
      <c r="O122" s="75">
        <f>SUM(TABELA25[[#This Row],[T1]:[T7]])</f>
        <v>0</v>
      </c>
      <c r="P122" s="76">
        <f>TABELA25[[#This Row],[PREÇO]]*TABELA25[[#This Row],[QTDE]]</f>
        <v>0</v>
      </c>
    </row>
    <row r="123" spans="1:16" x14ac:dyDescent="0.2">
      <c r="A123" s="70" t="s">
        <v>1205</v>
      </c>
      <c r="B123" s="71" t="s">
        <v>1203</v>
      </c>
      <c r="C123" s="72" t="s">
        <v>1204</v>
      </c>
      <c r="D123" s="73" t="s">
        <v>878</v>
      </c>
      <c r="E123" s="72" t="s">
        <v>880</v>
      </c>
      <c r="F123" s="74">
        <v>119.6</v>
      </c>
      <c r="G123" s="73" t="s">
        <v>829</v>
      </c>
      <c r="H123" s="73"/>
      <c r="I123" s="73"/>
      <c r="J123" s="73"/>
      <c r="K123" s="73"/>
      <c r="L123" s="73"/>
      <c r="M123" s="73"/>
      <c r="N123" s="73"/>
      <c r="O123" s="75">
        <f>SUM(TABELA25[[#This Row],[T1]:[T7]])</f>
        <v>0</v>
      </c>
      <c r="P123" s="76">
        <f>TABELA25[[#This Row],[PREÇO]]*TABELA25[[#This Row],[QTDE]]</f>
        <v>0</v>
      </c>
    </row>
    <row r="124" spans="1:16" x14ac:dyDescent="0.2">
      <c r="A124" s="70" t="s">
        <v>1206</v>
      </c>
      <c r="B124" s="71" t="s">
        <v>1203</v>
      </c>
      <c r="C124" s="72" t="s">
        <v>1204</v>
      </c>
      <c r="D124" s="73" t="s">
        <v>882</v>
      </c>
      <c r="E124" s="72" t="s">
        <v>817</v>
      </c>
      <c r="F124" s="74">
        <v>119.6</v>
      </c>
      <c r="G124" s="73" t="s">
        <v>829</v>
      </c>
      <c r="H124" s="73"/>
      <c r="I124" s="73"/>
      <c r="J124" s="73"/>
      <c r="K124" s="73"/>
      <c r="L124" s="73"/>
      <c r="M124" s="73"/>
      <c r="N124" s="73"/>
      <c r="O124" s="75">
        <f>SUM(TABELA25[[#This Row],[T1]:[T7]])</f>
        <v>0</v>
      </c>
      <c r="P124" s="76">
        <f>TABELA25[[#This Row],[PREÇO]]*TABELA25[[#This Row],[QTDE]]</f>
        <v>0</v>
      </c>
    </row>
    <row r="125" spans="1:16" x14ac:dyDescent="0.2">
      <c r="A125" s="70" t="s">
        <v>1207</v>
      </c>
      <c r="B125" s="71" t="s">
        <v>1208</v>
      </c>
      <c r="C125" s="72" t="s">
        <v>1209</v>
      </c>
      <c r="D125" s="73" t="s">
        <v>1009</v>
      </c>
      <c r="E125" s="72" t="s">
        <v>1011</v>
      </c>
      <c r="F125" s="74">
        <v>159.6</v>
      </c>
      <c r="G125" s="73" t="s">
        <v>826</v>
      </c>
      <c r="H125" s="73"/>
      <c r="I125" s="73"/>
      <c r="J125" s="73"/>
      <c r="K125" s="73"/>
      <c r="L125" s="73"/>
      <c r="M125" s="73"/>
      <c r="N125" s="73"/>
      <c r="O125" s="75">
        <f>SUM(TABELA25[[#This Row],[T1]:[T7]])</f>
        <v>0</v>
      </c>
      <c r="P125" s="76">
        <f>TABELA25[[#This Row],[PREÇO]]*TABELA25[[#This Row],[QTDE]]</f>
        <v>0</v>
      </c>
    </row>
    <row r="126" spans="1:16" x14ac:dyDescent="0.2">
      <c r="A126" s="70" t="s">
        <v>1210</v>
      </c>
      <c r="B126" s="71" t="s">
        <v>1211</v>
      </c>
      <c r="C126" s="72" t="s">
        <v>831</v>
      </c>
      <c r="D126" s="73" t="s">
        <v>1009</v>
      </c>
      <c r="E126" s="72" t="s">
        <v>1011</v>
      </c>
      <c r="F126" s="74">
        <v>171.6</v>
      </c>
      <c r="G126" s="73" t="s">
        <v>826</v>
      </c>
      <c r="H126" s="73"/>
      <c r="I126" s="73"/>
      <c r="J126" s="73"/>
      <c r="K126" s="73"/>
      <c r="L126" s="73"/>
      <c r="M126" s="73"/>
      <c r="N126" s="73"/>
      <c r="O126" s="75">
        <f>SUM(TABELA25[[#This Row],[T1]:[T7]])</f>
        <v>0</v>
      </c>
      <c r="P126" s="76">
        <f>TABELA25[[#This Row],[PREÇO]]*TABELA25[[#This Row],[QTDE]]</f>
        <v>0</v>
      </c>
    </row>
    <row r="127" spans="1:16" x14ac:dyDescent="0.2">
      <c r="A127" s="70" t="s">
        <v>1212</v>
      </c>
      <c r="B127" s="71" t="s">
        <v>1213</v>
      </c>
      <c r="C127" s="72" t="s">
        <v>1214</v>
      </c>
      <c r="D127" s="73" t="s">
        <v>1009</v>
      </c>
      <c r="E127" s="72" t="s">
        <v>1011</v>
      </c>
      <c r="F127" s="74">
        <v>139.6</v>
      </c>
      <c r="G127" s="73" t="s">
        <v>826</v>
      </c>
      <c r="H127" s="73"/>
      <c r="I127" s="73"/>
      <c r="J127" s="73"/>
      <c r="K127" s="73"/>
      <c r="L127" s="73"/>
      <c r="M127" s="73"/>
      <c r="N127" s="73"/>
      <c r="O127" s="75">
        <f>SUM(TABELA25[[#This Row],[T1]:[T7]])</f>
        <v>0</v>
      </c>
      <c r="P127" s="76">
        <f>TABELA25[[#This Row],[PREÇO]]*TABELA25[[#This Row],[QTDE]]</f>
        <v>0</v>
      </c>
    </row>
    <row r="128" spans="1:16" x14ac:dyDescent="0.2">
      <c r="A128" s="70" t="s">
        <v>1219</v>
      </c>
      <c r="B128" s="71" t="s">
        <v>1215</v>
      </c>
      <c r="C128" s="72" t="s">
        <v>1217</v>
      </c>
      <c r="D128" s="73" t="s">
        <v>1216</v>
      </c>
      <c r="E128" s="72" t="s">
        <v>1218</v>
      </c>
      <c r="F128" s="74">
        <v>183.6</v>
      </c>
      <c r="G128" s="73" t="s">
        <v>829</v>
      </c>
      <c r="H128" s="73"/>
      <c r="I128" s="73"/>
      <c r="J128" s="73"/>
      <c r="K128" s="73"/>
      <c r="L128" s="73"/>
      <c r="M128" s="73"/>
      <c r="N128" s="73"/>
      <c r="O128" s="75">
        <f>SUM(TABELA25[[#This Row],[T1]:[T7]])</f>
        <v>0</v>
      </c>
      <c r="P128" s="76">
        <f>TABELA25[[#This Row],[PREÇO]]*TABELA25[[#This Row],[QTDE]]</f>
        <v>0</v>
      </c>
    </row>
    <row r="129" spans="1:16" x14ac:dyDescent="0.2">
      <c r="A129" s="70" t="s">
        <v>1222</v>
      </c>
      <c r="B129" s="71" t="s">
        <v>1220</v>
      </c>
      <c r="C129" s="72" t="s">
        <v>1221</v>
      </c>
      <c r="D129" s="73" t="s">
        <v>1216</v>
      </c>
      <c r="E129" s="72" t="s">
        <v>1218</v>
      </c>
      <c r="F129" s="74">
        <v>259.60000000000002</v>
      </c>
      <c r="G129" s="73" t="s">
        <v>829</v>
      </c>
      <c r="H129" s="73"/>
      <c r="I129" s="73"/>
      <c r="J129" s="73"/>
      <c r="K129" s="73"/>
      <c r="L129" s="73"/>
      <c r="M129" s="73"/>
      <c r="N129" s="73"/>
      <c r="O129" s="75">
        <f>SUM(TABELA25[[#This Row],[T1]:[T7]])</f>
        <v>0</v>
      </c>
      <c r="P129" s="76">
        <f>TABELA25[[#This Row],[PREÇO]]*TABELA25[[#This Row],[QTDE]]</f>
        <v>0</v>
      </c>
    </row>
    <row r="130" spans="1:16" x14ac:dyDescent="0.2">
      <c r="A130" s="70" t="s">
        <v>1225</v>
      </c>
      <c r="B130" s="71" t="s">
        <v>1223</v>
      </c>
      <c r="C130" s="72" t="s">
        <v>1224</v>
      </c>
      <c r="D130" s="73" t="s">
        <v>32</v>
      </c>
      <c r="E130" s="72" t="s">
        <v>33</v>
      </c>
      <c r="F130" s="74">
        <v>131.6</v>
      </c>
      <c r="G130" s="73" t="s">
        <v>829</v>
      </c>
      <c r="H130" s="73"/>
      <c r="I130" s="73"/>
      <c r="J130" s="73"/>
      <c r="K130" s="73"/>
      <c r="L130" s="73"/>
      <c r="M130" s="73"/>
      <c r="N130" s="73"/>
      <c r="O130" s="75">
        <f>SUM(TABELA25[[#This Row],[T1]:[T7]])</f>
        <v>0</v>
      </c>
      <c r="P130" s="76">
        <f>TABELA25[[#This Row],[PREÇO]]*TABELA25[[#This Row],[QTDE]]</f>
        <v>0</v>
      </c>
    </row>
    <row r="131" spans="1:16" x14ac:dyDescent="0.2">
      <c r="A131" s="70" t="s">
        <v>1228</v>
      </c>
      <c r="B131" s="71" t="s">
        <v>1226</v>
      </c>
      <c r="C131" s="72" t="s">
        <v>1227</v>
      </c>
      <c r="D131" s="73" t="s">
        <v>1101</v>
      </c>
      <c r="E131" s="72" t="s">
        <v>1103</v>
      </c>
      <c r="F131" s="74">
        <v>79.599999999999994</v>
      </c>
      <c r="G131" s="73" t="s">
        <v>829</v>
      </c>
      <c r="H131" s="73"/>
      <c r="I131" s="73"/>
      <c r="J131" s="73"/>
      <c r="K131" s="73"/>
      <c r="L131" s="73"/>
      <c r="M131" s="73"/>
      <c r="N131" s="73"/>
      <c r="O131" s="75">
        <f>SUM(TABELA25[[#This Row],[T1]:[T7]])</f>
        <v>0</v>
      </c>
      <c r="P131" s="76">
        <f>TABELA25[[#This Row],[PREÇO]]*TABELA25[[#This Row],[QTDE]]</f>
        <v>0</v>
      </c>
    </row>
    <row r="132" spans="1:16" x14ac:dyDescent="0.2">
      <c r="A132" s="70" t="s">
        <v>1231</v>
      </c>
      <c r="B132" s="71" t="s">
        <v>1229</v>
      </c>
      <c r="C132" s="72" t="s">
        <v>1230</v>
      </c>
      <c r="D132" s="73" t="s">
        <v>1193</v>
      </c>
      <c r="E132" s="72" t="s">
        <v>1195</v>
      </c>
      <c r="F132" s="74">
        <v>239.6</v>
      </c>
      <c r="G132" s="73" t="s">
        <v>829</v>
      </c>
      <c r="H132" s="73"/>
      <c r="I132" s="73"/>
      <c r="J132" s="73"/>
      <c r="K132" s="73"/>
      <c r="L132" s="73"/>
      <c r="M132" s="73"/>
      <c r="N132" s="73"/>
      <c r="O132" s="75">
        <f>SUM(TABELA25[[#This Row],[T1]:[T7]])</f>
        <v>0</v>
      </c>
      <c r="P132" s="76">
        <f>TABELA25[[#This Row],[PREÇO]]*TABELA25[[#This Row],[QTDE]]</f>
        <v>0</v>
      </c>
    </row>
    <row r="133" spans="1:16" x14ac:dyDescent="0.2">
      <c r="A133" s="70" t="s">
        <v>1236</v>
      </c>
      <c r="B133" s="71" t="s">
        <v>1232</v>
      </c>
      <c r="C133" s="72" t="s">
        <v>1234</v>
      </c>
      <c r="D133" s="73" t="s">
        <v>1233</v>
      </c>
      <c r="E133" s="72" t="s">
        <v>1235</v>
      </c>
      <c r="F133" s="74">
        <v>211.6</v>
      </c>
      <c r="G133" s="73" t="s">
        <v>829</v>
      </c>
      <c r="H133" s="73"/>
      <c r="I133" s="73"/>
      <c r="J133" s="73"/>
      <c r="K133" s="73"/>
      <c r="L133" s="73"/>
      <c r="M133" s="73"/>
      <c r="N133" s="73"/>
      <c r="O133" s="75">
        <f>SUM(TABELA25[[#This Row],[T1]:[T7]])</f>
        <v>0</v>
      </c>
      <c r="P133" s="76">
        <f>TABELA25[[#This Row],[PREÇO]]*TABELA25[[#This Row],[QTDE]]</f>
        <v>0</v>
      </c>
    </row>
    <row r="134" spans="1:16" x14ac:dyDescent="0.2">
      <c r="A134" s="70" t="s">
        <v>1239</v>
      </c>
      <c r="B134" s="71" t="s">
        <v>1237</v>
      </c>
      <c r="C134" s="72" t="s">
        <v>1238</v>
      </c>
      <c r="D134" s="73" t="s">
        <v>32</v>
      </c>
      <c r="E134" s="72" t="s">
        <v>33</v>
      </c>
      <c r="F134" s="74">
        <v>167.6</v>
      </c>
      <c r="G134" s="73" t="s">
        <v>829</v>
      </c>
      <c r="H134" s="73"/>
      <c r="I134" s="73"/>
      <c r="J134" s="73"/>
      <c r="K134" s="73"/>
      <c r="L134" s="73"/>
      <c r="M134" s="73"/>
      <c r="N134" s="73"/>
      <c r="O134" s="75">
        <f>SUM(TABELA25[[#This Row],[T1]:[T7]])</f>
        <v>0</v>
      </c>
      <c r="P134" s="76">
        <f>TABELA25[[#This Row],[PREÇO]]*TABELA25[[#This Row],[QTDE]]</f>
        <v>0</v>
      </c>
    </row>
    <row r="135" spans="1:16" x14ac:dyDescent="0.2">
      <c r="A135" s="70" t="s">
        <v>1240</v>
      </c>
      <c r="B135" s="71" t="s">
        <v>1237</v>
      </c>
      <c r="C135" s="72" t="s">
        <v>1238</v>
      </c>
      <c r="D135" s="73" t="s">
        <v>1164</v>
      </c>
      <c r="E135" s="72" t="s">
        <v>1166</v>
      </c>
      <c r="F135" s="74">
        <v>167.6</v>
      </c>
      <c r="G135" s="73" t="s">
        <v>829</v>
      </c>
      <c r="H135" s="73"/>
      <c r="I135" s="73"/>
      <c r="J135" s="73"/>
      <c r="K135" s="73"/>
      <c r="L135" s="73"/>
      <c r="M135" s="73"/>
      <c r="N135" s="73"/>
      <c r="O135" s="75">
        <f>SUM(TABELA25[[#This Row],[T1]:[T7]])</f>
        <v>0</v>
      </c>
      <c r="P135" s="76">
        <f>TABELA25[[#This Row],[PREÇO]]*TABELA25[[#This Row],[QTDE]]</f>
        <v>0</v>
      </c>
    </row>
    <row r="136" spans="1:16" x14ac:dyDescent="0.2">
      <c r="A136" s="70" t="s">
        <v>1243</v>
      </c>
      <c r="B136" s="71" t="s">
        <v>1241</v>
      </c>
      <c r="C136" s="72" t="s">
        <v>1242</v>
      </c>
      <c r="D136" s="73" t="s">
        <v>1233</v>
      </c>
      <c r="E136" s="72" t="s">
        <v>1235</v>
      </c>
      <c r="F136" s="74">
        <v>179.6</v>
      </c>
      <c r="G136" s="73" t="s">
        <v>829</v>
      </c>
      <c r="H136" s="73"/>
      <c r="I136" s="73"/>
      <c r="J136" s="73"/>
      <c r="K136" s="73"/>
      <c r="L136" s="73"/>
      <c r="M136" s="73"/>
      <c r="N136" s="73"/>
      <c r="O136" s="75">
        <f>SUM(TABELA25[[#This Row],[T1]:[T7]])</f>
        <v>0</v>
      </c>
      <c r="P136" s="76">
        <f>TABELA25[[#This Row],[PREÇO]]*TABELA25[[#This Row],[QTDE]]</f>
        <v>0</v>
      </c>
    </row>
    <row r="137" spans="1:16" x14ac:dyDescent="0.2">
      <c r="A137" s="70" t="s">
        <v>1246</v>
      </c>
      <c r="B137" s="71" t="s">
        <v>1244</v>
      </c>
      <c r="C137" s="72" t="s">
        <v>1245</v>
      </c>
      <c r="D137" s="73" t="s">
        <v>1193</v>
      </c>
      <c r="E137" s="72" t="s">
        <v>1195</v>
      </c>
      <c r="F137" s="74">
        <v>135.6</v>
      </c>
      <c r="G137" s="73" t="s">
        <v>829</v>
      </c>
      <c r="H137" s="73"/>
      <c r="I137" s="73"/>
      <c r="J137" s="73"/>
      <c r="K137" s="73"/>
      <c r="L137" s="73"/>
      <c r="M137" s="73"/>
      <c r="N137" s="73"/>
      <c r="O137" s="75">
        <f>SUM(TABELA25[[#This Row],[T1]:[T7]])</f>
        <v>0</v>
      </c>
      <c r="P137" s="76">
        <f>TABELA25[[#This Row],[PREÇO]]*TABELA25[[#This Row],[QTDE]]</f>
        <v>0</v>
      </c>
    </row>
    <row r="138" spans="1:16" x14ac:dyDescent="0.2">
      <c r="A138" s="70" t="s">
        <v>1247</v>
      </c>
      <c r="B138" s="71" t="s">
        <v>1248</v>
      </c>
      <c r="C138" s="72" t="s">
        <v>1249</v>
      </c>
      <c r="D138" s="73" t="s">
        <v>819</v>
      </c>
      <c r="E138" s="72" t="s">
        <v>73</v>
      </c>
      <c r="F138" s="74">
        <v>79.599999999999994</v>
      </c>
      <c r="G138" s="73" t="s">
        <v>826</v>
      </c>
      <c r="H138" s="73"/>
      <c r="I138" s="73"/>
      <c r="J138" s="73"/>
      <c r="K138" s="73"/>
      <c r="L138" s="73"/>
      <c r="M138" s="73"/>
      <c r="N138" s="73"/>
      <c r="O138" s="75">
        <f>SUM(TABELA25[[#This Row],[T1]:[T7]])</f>
        <v>0</v>
      </c>
      <c r="P138" s="76">
        <f>TABELA25[[#This Row],[PREÇO]]*TABELA25[[#This Row],[QTDE]]</f>
        <v>0</v>
      </c>
    </row>
    <row r="139" spans="1:16" x14ac:dyDescent="0.2">
      <c r="A139" s="70" t="s">
        <v>1252</v>
      </c>
      <c r="B139" s="71" t="s">
        <v>1250</v>
      </c>
      <c r="C139" s="72" t="s">
        <v>1251</v>
      </c>
      <c r="D139" s="73" t="s">
        <v>830</v>
      </c>
      <c r="E139" s="72" t="s">
        <v>43</v>
      </c>
      <c r="F139" s="74">
        <v>139.6</v>
      </c>
      <c r="G139" s="73" t="s">
        <v>826</v>
      </c>
      <c r="H139" s="73"/>
      <c r="I139" s="73"/>
      <c r="J139" s="73"/>
      <c r="K139" s="73"/>
      <c r="L139" s="73"/>
      <c r="M139" s="73"/>
      <c r="N139" s="73"/>
      <c r="O139" s="75">
        <f>SUM(TABELA25[[#This Row],[T1]:[T7]])</f>
        <v>0</v>
      </c>
      <c r="P139" s="76">
        <f>TABELA25[[#This Row],[PREÇO]]*TABELA25[[#This Row],[QTDE]]</f>
        <v>0</v>
      </c>
    </row>
    <row r="140" spans="1:16" x14ac:dyDescent="0.2">
      <c r="A140" s="70" t="s">
        <v>1253</v>
      </c>
      <c r="B140" s="71" t="s">
        <v>1254</v>
      </c>
      <c r="C140" s="72" t="s">
        <v>1255</v>
      </c>
      <c r="D140" s="73" t="s">
        <v>32</v>
      </c>
      <c r="E140" s="72" t="s">
        <v>33</v>
      </c>
      <c r="F140" s="74">
        <v>119.6</v>
      </c>
      <c r="G140" s="73" t="s">
        <v>826</v>
      </c>
      <c r="H140" s="73"/>
      <c r="I140" s="73"/>
      <c r="J140" s="73"/>
      <c r="K140" s="73"/>
      <c r="L140" s="73"/>
      <c r="M140" s="73"/>
      <c r="N140" s="73"/>
      <c r="O140" s="75">
        <f>SUM(TABELA25[[#This Row],[T1]:[T7]])</f>
        <v>0</v>
      </c>
      <c r="P140" s="76">
        <f>TABELA25[[#This Row],[PREÇO]]*TABELA25[[#This Row],[QTDE]]</f>
        <v>0</v>
      </c>
    </row>
    <row r="141" spans="1:16" x14ac:dyDescent="0.2">
      <c r="A141" s="70" t="s">
        <v>1258</v>
      </c>
      <c r="B141" s="71" t="s">
        <v>1256</v>
      </c>
      <c r="C141" s="72" t="s">
        <v>1257</v>
      </c>
      <c r="D141" s="73" t="s">
        <v>32</v>
      </c>
      <c r="E141" s="72" t="s">
        <v>33</v>
      </c>
      <c r="F141" s="74">
        <v>199.6</v>
      </c>
      <c r="G141" s="73" t="s">
        <v>829</v>
      </c>
      <c r="H141" s="73"/>
      <c r="I141" s="73"/>
      <c r="J141" s="73"/>
      <c r="K141" s="73"/>
      <c r="L141" s="73"/>
      <c r="M141" s="73"/>
      <c r="N141" s="73"/>
      <c r="O141" s="75">
        <f>SUM(TABELA25[[#This Row],[T1]:[T7]])</f>
        <v>0</v>
      </c>
      <c r="P141" s="76">
        <f>TABELA25[[#This Row],[PREÇO]]*TABELA25[[#This Row],[QTDE]]</f>
        <v>0</v>
      </c>
    </row>
    <row r="142" spans="1:16" x14ac:dyDescent="0.2">
      <c r="A142" s="70" t="s">
        <v>1261</v>
      </c>
      <c r="B142" s="71" t="s">
        <v>1259</v>
      </c>
      <c r="C142" s="72" t="s">
        <v>1260</v>
      </c>
      <c r="D142" s="73" t="s">
        <v>1118</v>
      </c>
      <c r="E142" s="72" t="s">
        <v>1119</v>
      </c>
      <c r="F142" s="74">
        <v>211.6</v>
      </c>
      <c r="G142" s="73" t="s">
        <v>829</v>
      </c>
      <c r="H142" s="73"/>
      <c r="I142" s="73"/>
      <c r="J142" s="73"/>
      <c r="K142" s="73"/>
      <c r="L142" s="73"/>
      <c r="M142" s="73"/>
      <c r="N142" s="73"/>
      <c r="O142" s="75">
        <f>SUM(TABELA25[[#This Row],[T1]:[T7]])</f>
        <v>0</v>
      </c>
      <c r="P142" s="76">
        <f>TABELA25[[#This Row],[PREÇO]]*TABELA25[[#This Row],[QTDE]]</f>
        <v>0</v>
      </c>
    </row>
    <row r="143" spans="1:16" x14ac:dyDescent="0.2">
      <c r="A143" s="70" t="s">
        <v>1266</v>
      </c>
      <c r="B143" s="71" t="s">
        <v>1262</v>
      </c>
      <c r="C143" s="72" t="s">
        <v>1264</v>
      </c>
      <c r="D143" s="73" t="s">
        <v>1263</v>
      </c>
      <c r="E143" s="72" t="s">
        <v>1265</v>
      </c>
      <c r="F143" s="74">
        <v>179.6</v>
      </c>
      <c r="G143" s="73" t="s">
        <v>829</v>
      </c>
      <c r="H143" s="73"/>
      <c r="I143" s="73"/>
      <c r="J143" s="73"/>
      <c r="K143" s="73"/>
      <c r="L143" s="73"/>
      <c r="M143" s="73"/>
      <c r="N143" s="73"/>
      <c r="O143" s="75">
        <f>SUM(TABELA25[[#This Row],[T1]:[T7]])</f>
        <v>0</v>
      </c>
      <c r="P143" s="76">
        <f>TABELA25[[#This Row],[PREÇO]]*TABELA25[[#This Row],[QTDE]]</f>
        <v>0</v>
      </c>
    </row>
    <row r="144" spans="1:16" x14ac:dyDescent="0.2">
      <c r="A144" s="70" t="s">
        <v>1267</v>
      </c>
      <c r="B144" s="71" t="s">
        <v>1268</v>
      </c>
      <c r="C144" s="72" t="s">
        <v>1269</v>
      </c>
      <c r="D144" s="73" t="s">
        <v>32</v>
      </c>
      <c r="E144" s="72" t="s">
        <v>33</v>
      </c>
      <c r="F144" s="74">
        <v>331.6</v>
      </c>
      <c r="G144" s="73" t="s">
        <v>826</v>
      </c>
      <c r="H144" s="73"/>
      <c r="I144" s="73"/>
      <c r="J144" s="73"/>
      <c r="K144" s="73"/>
      <c r="L144" s="73"/>
      <c r="M144" s="73"/>
      <c r="N144" s="73"/>
      <c r="O144" s="75">
        <f>SUM(TABELA25[[#This Row],[T1]:[T7]])</f>
        <v>0</v>
      </c>
      <c r="P144" s="76">
        <f>TABELA25[[#This Row],[PREÇO]]*TABELA25[[#This Row],[QTDE]]</f>
        <v>0</v>
      </c>
    </row>
    <row r="145" spans="1:16" x14ac:dyDescent="0.2">
      <c r="A145" s="70" t="s">
        <v>1270</v>
      </c>
      <c r="B145" s="71" t="s">
        <v>1271</v>
      </c>
      <c r="C145" s="72" t="s">
        <v>1272</v>
      </c>
      <c r="D145" s="73" t="s">
        <v>32</v>
      </c>
      <c r="E145" s="72" t="s">
        <v>33</v>
      </c>
      <c r="F145" s="74">
        <v>151.6</v>
      </c>
      <c r="G145" s="73" t="s">
        <v>826</v>
      </c>
      <c r="H145" s="73"/>
      <c r="I145" s="73"/>
      <c r="J145" s="73"/>
      <c r="K145" s="73"/>
      <c r="L145" s="73"/>
      <c r="M145" s="73"/>
      <c r="N145" s="73"/>
      <c r="O145" s="75">
        <f>SUM(TABELA25[[#This Row],[T1]:[T7]])</f>
        <v>0</v>
      </c>
      <c r="P145" s="76">
        <f>TABELA25[[#This Row],[PREÇO]]*TABELA25[[#This Row],[QTDE]]</f>
        <v>0</v>
      </c>
    </row>
    <row r="146" spans="1:16" x14ac:dyDescent="0.2">
      <c r="A146" s="70" t="s">
        <v>1273</v>
      </c>
      <c r="B146" s="71" t="s">
        <v>1274</v>
      </c>
      <c r="C146" s="72" t="s">
        <v>2309</v>
      </c>
      <c r="D146" s="73" t="s">
        <v>32</v>
      </c>
      <c r="E146" s="72" t="s">
        <v>33</v>
      </c>
      <c r="F146" s="74">
        <v>95.6</v>
      </c>
      <c r="G146" s="73" t="s">
        <v>826</v>
      </c>
      <c r="H146" s="73"/>
      <c r="I146" s="73"/>
      <c r="J146" s="73"/>
      <c r="K146" s="73"/>
      <c r="L146" s="73"/>
      <c r="M146" s="73"/>
      <c r="N146" s="73"/>
      <c r="O146" s="75">
        <f>SUM(TABELA25[[#This Row],[T1]:[T7]])</f>
        <v>0</v>
      </c>
      <c r="P146" s="76">
        <f>TABELA25[[#This Row],[PREÇO]]*TABELA25[[#This Row],[QTDE]]</f>
        <v>0</v>
      </c>
    </row>
    <row r="147" spans="1:16" x14ac:dyDescent="0.2">
      <c r="A147" s="70" t="s">
        <v>1277</v>
      </c>
      <c r="B147" s="71" t="s">
        <v>1275</v>
      </c>
      <c r="C147" s="72" t="s">
        <v>1276</v>
      </c>
      <c r="D147" s="73" t="s">
        <v>32</v>
      </c>
      <c r="E147" s="72" t="s">
        <v>33</v>
      </c>
      <c r="F147" s="74">
        <v>199.6</v>
      </c>
      <c r="G147" s="73" t="s">
        <v>826</v>
      </c>
      <c r="H147" s="73"/>
      <c r="I147" s="73"/>
      <c r="J147" s="73"/>
      <c r="K147" s="73"/>
      <c r="L147" s="73"/>
      <c r="M147" s="73"/>
      <c r="N147" s="73"/>
      <c r="O147" s="75">
        <f>SUM(TABELA25[[#This Row],[T1]:[T7]])</f>
        <v>0</v>
      </c>
      <c r="P147" s="76">
        <f>TABELA25[[#This Row],[PREÇO]]*TABELA25[[#This Row],[QTDE]]</f>
        <v>0</v>
      </c>
    </row>
    <row r="148" spans="1:16" x14ac:dyDescent="0.2">
      <c r="A148" s="70" t="s">
        <v>1280</v>
      </c>
      <c r="B148" s="71" t="s">
        <v>1278</v>
      </c>
      <c r="C148" s="72" t="s">
        <v>1279</v>
      </c>
      <c r="D148" s="73" t="s">
        <v>830</v>
      </c>
      <c r="E148" s="72" t="s">
        <v>836</v>
      </c>
      <c r="F148" s="74">
        <v>111.6</v>
      </c>
      <c r="G148" s="73" t="s">
        <v>826</v>
      </c>
      <c r="H148" s="73"/>
      <c r="I148" s="73"/>
      <c r="J148" s="73"/>
      <c r="K148" s="73"/>
      <c r="L148" s="73"/>
      <c r="M148" s="73"/>
      <c r="N148" s="73"/>
      <c r="O148" s="75">
        <f>SUM(TABELA25[[#This Row],[T1]:[T7]])</f>
        <v>0</v>
      </c>
      <c r="P148" s="76">
        <f>TABELA25[[#This Row],[PREÇO]]*TABELA25[[#This Row],[QTDE]]</f>
        <v>0</v>
      </c>
    </row>
    <row r="149" spans="1:16" x14ac:dyDescent="0.2">
      <c r="A149" s="70" t="s">
        <v>1281</v>
      </c>
      <c r="B149" s="71" t="s">
        <v>1282</v>
      </c>
      <c r="C149" s="72" t="s">
        <v>1283</v>
      </c>
      <c r="D149" s="73" t="s">
        <v>803</v>
      </c>
      <c r="E149" s="72" t="s">
        <v>840</v>
      </c>
      <c r="F149" s="74">
        <v>115.6</v>
      </c>
      <c r="G149" s="73" t="s">
        <v>826</v>
      </c>
      <c r="H149" s="73"/>
      <c r="I149" s="73"/>
      <c r="J149" s="73"/>
      <c r="K149" s="73"/>
      <c r="L149" s="73"/>
      <c r="M149" s="73"/>
      <c r="N149" s="73"/>
      <c r="O149" s="75">
        <f>SUM(TABELA25[[#This Row],[T1]:[T7]])</f>
        <v>0</v>
      </c>
      <c r="P149" s="76">
        <f>TABELA25[[#This Row],[PREÇO]]*TABELA25[[#This Row],[QTDE]]</f>
        <v>0</v>
      </c>
    </row>
    <row r="150" spans="1:16" x14ac:dyDescent="0.2">
      <c r="A150" s="70" t="s">
        <v>1284</v>
      </c>
      <c r="B150" s="71" t="s">
        <v>1285</v>
      </c>
      <c r="C150" s="72" t="s">
        <v>2310</v>
      </c>
      <c r="D150" s="73" t="s">
        <v>32</v>
      </c>
      <c r="E150" s="72" t="s">
        <v>33</v>
      </c>
      <c r="F150" s="74">
        <v>103.6</v>
      </c>
      <c r="G150" s="73" t="s">
        <v>826</v>
      </c>
      <c r="H150" s="73"/>
      <c r="I150" s="73"/>
      <c r="J150" s="73"/>
      <c r="K150" s="73"/>
      <c r="L150" s="73"/>
      <c r="M150" s="73"/>
      <c r="N150" s="73"/>
      <c r="O150" s="75">
        <f>SUM(TABELA25[[#This Row],[T1]:[T7]])</f>
        <v>0</v>
      </c>
      <c r="P150" s="76">
        <f>TABELA25[[#This Row],[PREÇO]]*TABELA25[[#This Row],[QTDE]]</f>
        <v>0</v>
      </c>
    </row>
    <row r="151" spans="1:16" x14ac:dyDescent="0.2">
      <c r="A151" s="70" t="s">
        <v>1286</v>
      </c>
      <c r="B151" s="71" t="s">
        <v>1285</v>
      </c>
      <c r="C151" s="72" t="s">
        <v>2310</v>
      </c>
      <c r="D151" s="73" t="s">
        <v>830</v>
      </c>
      <c r="E151" s="72" t="s">
        <v>2316</v>
      </c>
      <c r="F151" s="74">
        <v>103.6</v>
      </c>
      <c r="G151" s="73" t="s">
        <v>826</v>
      </c>
      <c r="H151" s="73"/>
      <c r="I151" s="73"/>
      <c r="J151" s="73"/>
      <c r="K151" s="73"/>
      <c r="L151" s="73"/>
      <c r="M151" s="73"/>
      <c r="N151" s="73"/>
      <c r="O151" s="75">
        <f>SUM(TABELA25[[#This Row],[T1]:[T7]])</f>
        <v>0</v>
      </c>
      <c r="P151" s="76">
        <f>TABELA25[[#This Row],[PREÇO]]*TABELA25[[#This Row],[QTDE]]</f>
        <v>0</v>
      </c>
    </row>
    <row r="152" spans="1:16" x14ac:dyDescent="0.2">
      <c r="A152" s="70" t="s">
        <v>1287</v>
      </c>
      <c r="B152" s="71" t="s">
        <v>1288</v>
      </c>
      <c r="C152" s="72" t="s">
        <v>1289</v>
      </c>
      <c r="D152" s="73" t="s">
        <v>32</v>
      </c>
      <c r="E152" s="72" t="s">
        <v>33</v>
      </c>
      <c r="F152" s="74">
        <v>79.599999999999994</v>
      </c>
      <c r="G152" s="73" t="s">
        <v>826</v>
      </c>
      <c r="H152" s="73"/>
      <c r="I152" s="73"/>
      <c r="J152" s="73"/>
      <c r="K152" s="73"/>
      <c r="L152" s="73"/>
      <c r="M152" s="73"/>
      <c r="N152" s="73"/>
      <c r="O152" s="75">
        <f>SUM(TABELA25[[#This Row],[T1]:[T7]])</f>
        <v>0</v>
      </c>
      <c r="P152" s="76">
        <f>TABELA25[[#This Row],[PREÇO]]*TABELA25[[#This Row],[QTDE]]</f>
        <v>0</v>
      </c>
    </row>
    <row r="153" spans="1:16" x14ac:dyDescent="0.2">
      <c r="A153" s="70" t="s">
        <v>1290</v>
      </c>
      <c r="B153" s="71" t="s">
        <v>1291</v>
      </c>
      <c r="C153" s="72" t="s">
        <v>1292</v>
      </c>
      <c r="D153" s="73" t="s">
        <v>32</v>
      </c>
      <c r="E153" s="72" t="s">
        <v>33</v>
      </c>
      <c r="F153" s="74">
        <v>119.6</v>
      </c>
      <c r="G153" s="73" t="s">
        <v>826</v>
      </c>
      <c r="H153" s="73"/>
      <c r="I153" s="73"/>
      <c r="J153" s="73"/>
      <c r="K153" s="73"/>
      <c r="L153" s="73"/>
      <c r="M153" s="73"/>
      <c r="N153" s="73"/>
      <c r="O153" s="75">
        <f>SUM(TABELA25[[#This Row],[T1]:[T7]])</f>
        <v>0</v>
      </c>
      <c r="P153" s="76">
        <f>TABELA25[[#This Row],[PREÇO]]*TABELA25[[#This Row],[QTDE]]</f>
        <v>0</v>
      </c>
    </row>
    <row r="154" spans="1:16" x14ac:dyDescent="0.2">
      <c r="A154" s="70" t="s">
        <v>1293</v>
      </c>
      <c r="B154" s="71" t="s">
        <v>1294</v>
      </c>
      <c r="C154" s="72" t="s">
        <v>1295</v>
      </c>
      <c r="D154" s="73" t="s">
        <v>997</v>
      </c>
      <c r="E154" s="72" t="s">
        <v>43</v>
      </c>
      <c r="F154" s="74">
        <v>103.6</v>
      </c>
      <c r="G154" s="73" t="s">
        <v>826</v>
      </c>
      <c r="H154" s="73"/>
      <c r="I154" s="73"/>
      <c r="J154" s="73"/>
      <c r="K154" s="73"/>
      <c r="L154" s="73"/>
      <c r="M154" s="73"/>
      <c r="N154" s="73"/>
      <c r="O154" s="75">
        <f>SUM(TABELA25[[#This Row],[T1]:[T7]])</f>
        <v>0</v>
      </c>
      <c r="P154" s="76">
        <f>TABELA25[[#This Row],[PREÇO]]*TABELA25[[#This Row],[QTDE]]</f>
        <v>0</v>
      </c>
    </row>
    <row r="155" spans="1:16" x14ac:dyDescent="0.2">
      <c r="A155" s="70" t="s">
        <v>1296</v>
      </c>
      <c r="B155" s="71" t="s">
        <v>1297</v>
      </c>
      <c r="C155" s="72" t="s">
        <v>1298</v>
      </c>
      <c r="D155" s="73" t="s">
        <v>838</v>
      </c>
      <c r="E155" s="72" t="s">
        <v>765</v>
      </c>
      <c r="F155" s="74">
        <v>331.6</v>
      </c>
      <c r="G155" s="73" t="s">
        <v>826</v>
      </c>
      <c r="H155" s="73"/>
      <c r="I155" s="73"/>
      <c r="J155" s="73"/>
      <c r="K155" s="73"/>
      <c r="L155" s="73"/>
      <c r="M155" s="73"/>
      <c r="N155" s="73"/>
      <c r="O155" s="75">
        <f>SUM(TABELA25[[#This Row],[T1]:[T7]])</f>
        <v>0</v>
      </c>
      <c r="P155" s="76">
        <f>TABELA25[[#This Row],[PREÇO]]*TABELA25[[#This Row],[QTDE]]</f>
        <v>0</v>
      </c>
    </row>
    <row r="156" spans="1:16" x14ac:dyDescent="0.2">
      <c r="A156" s="70" t="s">
        <v>1299</v>
      </c>
      <c r="B156" s="71" t="s">
        <v>1300</v>
      </c>
      <c r="C156" s="72" t="s">
        <v>1301</v>
      </c>
      <c r="D156" s="73" t="s">
        <v>32</v>
      </c>
      <c r="E156" s="72" t="s">
        <v>33</v>
      </c>
      <c r="F156" s="74">
        <v>139.6</v>
      </c>
      <c r="G156" s="73" t="s">
        <v>826</v>
      </c>
      <c r="H156" s="73"/>
      <c r="I156" s="73"/>
      <c r="J156" s="73"/>
      <c r="K156" s="73"/>
      <c r="L156" s="73"/>
      <c r="M156" s="73"/>
      <c r="N156" s="73"/>
      <c r="O156" s="75">
        <f>SUM(TABELA25[[#This Row],[T1]:[T7]])</f>
        <v>0</v>
      </c>
      <c r="P156" s="76">
        <f>TABELA25[[#This Row],[PREÇO]]*TABELA25[[#This Row],[QTDE]]</f>
        <v>0</v>
      </c>
    </row>
    <row r="157" spans="1:16" x14ac:dyDescent="0.2">
      <c r="A157" s="70" t="s">
        <v>1302</v>
      </c>
      <c r="B157" s="71" t="s">
        <v>1303</v>
      </c>
      <c r="C157" s="72" t="s">
        <v>1304</v>
      </c>
      <c r="D157" s="73" t="s">
        <v>32</v>
      </c>
      <c r="E157" s="72" t="s">
        <v>33</v>
      </c>
      <c r="F157" s="74">
        <v>63.6</v>
      </c>
      <c r="G157" s="73" t="s">
        <v>826</v>
      </c>
      <c r="H157" s="73"/>
      <c r="I157" s="73"/>
      <c r="J157" s="73"/>
      <c r="K157" s="73"/>
      <c r="L157" s="73"/>
      <c r="M157" s="73"/>
      <c r="N157" s="73"/>
      <c r="O157" s="75">
        <f>SUM(TABELA25[[#This Row],[T1]:[T7]])</f>
        <v>0</v>
      </c>
      <c r="P157" s="76">
        <f>TABELA25[[#This Row],[PREÇO]]*TABELA25[[#This Row],[QTDE]]</f>
        <v>0</v>
      </c>
    </row>
    <row r="158" spans="1:16" x14ac:dyDescent="0.2">
      <c r="A158" s="70" t="s">
        <v>1305</v>
      </c>
      <c r="B158" s="71" t="s">
        <v>1303</v>
      </c>
      <c r="C158" s="72" t="s">
        <v>1304</v>
      </c>
      <c r="D158" s="73" t="s">
        <v>819</v>
      </c>
      <c r="E158" s="72" t="s">
        <v>73</v>
      </c>
      <c r="F158" s="74">
        <v>63.6</v>
      </c>
      <c r="G158" s="73" t="s">
        <v>826</v>
      </c>
      <c r="H158" s="73"/>
      <c r="I158" s="73"/>
      <c r="J158" s="73"/>
      <c r="K158" s="73"/>
      <c r="L158" s="73"/>
      <c r="M158" s="73"/>
      <c r="N158" s="73"/>
      <c r="O158" s="75">
        <f>SUM(TABELA25[[#This Row],[T1]:[T7]])</f>
        <v>0</v>
      </c>
      <c r="P158" s="76">
        <f>TABELA25[[#This Row],[PREÇO]]*TABELA25[[#This Row],[QTDE]]</f>
        <v>0</v>
      </c>
    </row>
    <row r="159" spans="1:16" x14ac:dyDescent="0.2">
      <c r="A159" s="70" t="s">
        <v>1308</v>
      </c>
      <c r="B159" s="71" t="s">
        <v>1309</v>
      </c>
      <c r="C159" s="72" t="s">
        <v>1310</v>
      </c>
      <c r="D159" s="73" t="s">
        <v>32</v>
      </c>
      <c r="E159" s="72" t="s">
        <v>33</v>
      </c>
      <c r="F159" s="74">
        <v>119.6</v>
      </c>
      <c r="G159" s="73" t="s">
        <v>826</v>
      </c>
      <c r="H159" s="73"/>
      <c r="I159" s="73"/>
      <c r="J159" s="73"/>
      <c r="K159" s="73"/>
      <c r="L159" s="73"/>
      <c r="M159" s="73"/>
      <c r="N159" s="73"/>
      <c r="O159" s="75">
        <f>SUM(TABELA25[[#This Row],[T1]:[T7]])</f>
        <v>0</v>
      </c>
      <c r="P159" s="76">
        <f>TABELA25[[#This Row],[PREÇO]]*TABELA25[[#This Row],[QTDE]]</f>
        <v>0</v>
      </c>
    </row>
    <row r="160" spans="1:16" x14ac:dyDescent="0.2">
      <c r="A160" s="70" t="s">
        <v>1312</v>
      </c>
      <c r="B160" s="71" t="s">
        <v>1313</v>
      </c>
      <c r="C160" s="72" t="s">
        <v>1314</v>
      </c>
      <c r="D160" s="73" t="s">
        <v>1004</v>
      </c>
      <c r="E160" s="72" t="s">
        <v>1307</v>
      </c>
      <c r="F160" s="74">
        <v>95.6</v>
      </c>
      <c r="G160" s="73" t="s">
        <v>826</v>
      </c>
      <c r="H160" s="73"/>
      <c r="I160" s="73"/>
      <c r="J160" s="73"/>
      <c r="K160" s="73"/>
      <c r="L160" s="73"/>
      <c r="M160" s="73"/>
      <c r="N160" s="73"/>
      <c r="O160" s="75">
        <f>SUM(TABELA25[[#This Row],[T1]:[T7]])</f>
        <v>0</v>
      </c>
      <c r="P160" s="76">
        <f>TABELA25[[#This Row],[PREÇO]]*TABELA25[[#This Row],[QTDE]]</f>
        <v>0</v>
      </c>
    </row>
    <row r="161" spans="1:16" x14ac:dyDescent="0.2">
      <c r="A161" s="70" t="s">
        <v>1315</v>
      </c>
      <c r="B161" s="71" t="s">
        <v>1313</v>
      </c>
      <c r="C161" s="72" t="s">
        <v>1314</v>
      </c>
      <c r="D161" s="73" t="s">
        <v>898</v>
      </c>
      <c r="E161" s="72" t="s">
        <v>900</v>
      </c>
      <c r="F161" s="74">
        <v>95.6</v>
      </c>
      <c r="G161" s="73" t="s">
        <v>826</v>
      </c>
      <c r="H161" s="73"/>
      <c r="I161" s="73"/>
      <c r="J161" s="73"/>
      <c r="K161" s="73"/>
      <c r="L161" s="73"/>
      <c r="M161" s="73"/>
      <c r="N161" s="73"/>
      <c r="O161" s="75">
        <f>SUM(TABELA25[[#This Row],[T1]:[T7]])</f>
        <v>0</v>
      </c>
      <c r="P161" s="76">
        <f>TABELA25[[#This Row],[PREÇO]]*TABELA25[[#This Row],[QTDE]]</f>
        <v>0</v>
      </c>
    </row>
    <row r="162" spans="1:16" x14ac:dyDescent="0.2">
      <c r="A162" s="70" t="s">
        <v>1320</v>
      </c>
      <c r="B162" s="71" t="s">
        <v>1316</v>
      </c>
      <c r="C162" s="72" t="s">
        <v>1318</v>
      </c>
      <c r="D162" s="73" t="s">
        <v>1317</v>
      </c>
      <c r="E162" s="72" t="s">
        <v>1319</v>
      </c>
      <c r="F162" s="74">
        <v>91.6</v>
      </c>
      <c r="G162" s="73" t="s">
        <v>826</v>
      </c>
      <c r="H162" s="73"/>
      <c r="I162" s="73"/>
      <c r="J162" s="73"/>
      <c r="K162" s="73"/>
      <c r="L162" s="73"/>
      <c r="M162" s="73"/>
      <c r="N162" s="73"/>
      <c r="O162" s="75">
        <f>SUM(TABELA25[[#This Row],[T1]:[T7]])</f>
        <v>0</v>
      </c>
      <c r="P162" s="76">
        <f>TABELA25[[#This Row],[PREÇO]]*TABELA25[[#This Row],[QTDE]]</f>
        <v>0</v>
      </c>
    </row>
    <row r="163" spans="1:16" x14ac:dyDescent="0.2">
      <c r="A163" s="70" t="s">
        <v>1321</v>
      </c>
      <c r="B163" s="71" t="s">
        <v>1322</v>
      </c>
      <c r="C163" s="72" t="s">
        <v>1323</v>
      </c>
      <c r="D163" s="73" t="s">
        <v>882</v>
      </c>
      <c r="E163" s="72" t="s">
        <v>817</v>
      </c>
      <c r="F163" s="74">
        <v>99.6</v>
      </c>
      <c r="G163" s="73" t="s">
        <v>826</v>
      </c>
      <c r="H163" s="73"/>
      <c r="I163" s="73"/>
      <c r="J163" s="73"/>
      <c r="K163" s="73"/>
      <c r="L163" s="73"/>
      <c r="M163" s="73"/>
      <c r="N163" s="73"/>
      <c r="O163" s="75">
        <f>SUM(TABELA25[[#This Row],[T1]:[T7]])</f>
        <v>0</v>
      </c>
      <c r="P163" s="76">
        <f>TABELA25[[#This Row],[PREÇO]]*TABELA25[[#This Row],[QTDE]]</f>
        <v>0</v>
      </c>
    </row>
    <row r="164" spans="1:16" x14ac:dyDescent="0.2">
      <c r="A164" s="70" t="s">
        <v>1326</v>
      </c>
      <c r="B164" s="71" t="s">
        <v>1324</v>
      </c>
      <c r="C164" s="72" t="s">
        <v>1318</v>
      </c>
      <c r="D164" s="73" t="s">
        <v>888</v>
      </c>
      <c r="E164" s="72" t="s">
        <v>890</v>
      </c>
      <c r="F164" s="74">
        <v>91.6</v>
      </c>
      <c r="G164" s="73" t="s">
        <v>826</v>
      </c>
      <c r="H164" s="73"/>
      <c r="I164" s="73"/>
      <c r="J164" s="73"/>
      <c r="K164" s="73"/>
      <c r="L164" s="73"/>
      <c r="M164" s="73"/>
      <c r="N164" s="73"/>
      <c r="O164" s="75">
        <f>SUM(TABELA25[[#This Row],[T1]:[T7]])</f>
        <v>0</v>
      </c>
      <c r="P164" s="76">
        <f>TABELA25[[#This Row],[PREÇO]]*TABELA25[[#This Row],[QTDE]]</f>
        <v>0</v>
      </c>
    </row>
    <row r="165" spans="1:16" x14ac:dyDescent="0.2">
      <c r="A165" s="70" t="s">
        <v>1325</v>
      </c>
      <c r="B165" s="71" t="s">
        <v>1324</v>
      </c>
      <c r="C165" s="72" t="s">
        <v>1318</v>
      </c>
      <c r="D165" s="73" t="s">
        <v>830</v>
      </c>
      <c r="E165" s="72" t="s">
        <v>2316</v>
      </c>
      <c r="F165" s="74">
        <v>91.6</v>
      </c>
      <c r="G165" s="73" t="s">
        <v>826</v>
      </c>
      <c r="H165" s="73"/>
      <c r="I165" s="73"/>
      <c r="J165" s="73"/>
      <c r="K165" s="73"/>
      <c r="L165" s="73"/>
      <c r="M165" s="73"/>
      <c r="N165" s="73"/>
      <c r="O165" s="75">
        <f>SUM(TABELA25[[#This Row],[T1]:[T7]])</f>
        <v>0</v>
      </c>
      <c r="P165" s="76">
        <f>TABELA25[[#This Row],[PREÇO]]*TABELA25[[#This Row],[QTDE]]</f>
        <v>0</v>
      </c>
    </row>
    <row r="166" spans="1:16" x14ac:dyDescent="0.2">
      <c r="A166" s="70" t="s">
        <v>1327</v>
      </c>
      <c r="B166" s="71" t="s">
        <v>1328</v>
      </c>
      <c r="C166" s="72" t="s">
        <v>1329</v>
      </c>
      <c r="D166" s="73" t="s">
        <v>819</v>
      </c>
      <c r="E166" s="72" t="s">
        <v>73</v>
      </c>
      <c r="F166" s="74">
        <v>111.6</v>
      </c>
      <c r="G166" s="73" t="s">
        <v>826</v>
      </c>
      <c r="H166" s="73"/>
      <c r="I166" s="73"/>
      <c r="J166" s="73"/>
      <c r="K166" s="73"/>
      <c r="L166" s="73"/>
      <c r="M166" s="73"/>
      <c r="N166" s="73"/>
      <c r="O166" s="75">
        <f>SUM(TABELA25[[#This Row],[T1]:[T7]])</f>
        <v>0</v>
      </c>
      <c r="P166" s="76">
        <f>TABELA25[[#This Row],[PREÇO]]*TABELA25[[#This Row],[QTDE]]</f>
        <v>0</v>
      </c>
    </row>
    <row r="167" spans="1:16" x14ac:dyDescent="0.2">
      <c r="A167" s="70" t="s">
        <v>1331</v>
      </c>
      <c r="B167" s="71" t="s">
        <v>1330</v>
      </c>
      <c r="C167" s="72" t="s">
        <v>839</v>
      </c>
      <c r="D167" s="73" t="s">
        <v>32</v>
      </c>
      <c r="E167" s="72" t="s">
        <v>33</v>
      </c>
      <c r="F167" s="74">
        <v>71.599999999999994</v>
      </c>
      <c r="G167" s="73" t="s">
        <v>826</v>
      </c>
      <c r="H167" s="73"/>
      <c r="I167" s="73"/>
      <c r="J167" s="73"/>
      <c r="K167" s="73"/>
      <c r="L167" s="73"/>
      <c r="M167" s="73"/>
      <c r="N167" s="73"/>
      <c r="O167" s="75">
        <f>SUM(TABELA25[[#This Row],[T1]:[T7]])</f>
        <v>0</v>
      </c>
      <c r="P167" s="76">
        <f>TABELA25[[#This Row],[PREÇO]]*TABELA25[[#This Row],[QTDE]]</f>
        <v>0</v>
      </c>
    </row>
    <row r="168" spans="1:16" x14ac:dyDescent="0.2">
      <c r="A168" s="70" t="s">
        <v>1332</v>
      </c>
      <c r="B168" s="71" t="s">
        <v>1330</v>
      </c>
      <c r="C168" s="72" t="s">
        <v>839</v>
      </c>
      <c r="D168" s="73" t="s">
        <v>830</v>
      </c>
      <c r="E168" s="72" t="s">
        <v>2316</v>
      </c>
      <c r="F168" s="74">
        <v>71.599999999999994</v>
      </c>
      <c r="G168" s="73" t="s">
        <v>826</v>
      </c>
      <c r="H168" s="73"/>
      <c r="I168" s="73"/>
      <c r="J168" s="73"/>
      <c r="K168" s="73"/>
      <c r="L168" s="73"/>
      <c r="M168" s="73"/>
      <c r="N168" s="73"/>
      <c r="O168" s="75">
        <f>SUM(TABELA25[[#This Row],[T1]:[T7]])</f>
        <v>0</v>
      </c>
      <c r="P168" s="76">
        <f>TABELA25[[#This Row],[PREÇO]]*TABELA25[[#This Row],[QTDE]]</f>
        <v>0</v>
      </c>
    </row>
    <row r="169" spans="1:16" x14ac:dyDescent="0.2">
      <c r="A169" s="70" t="s">
        <v>1335</v>
      </c>
      <c r="B169" s="71" t="s">
        <v>1333</v>
      </c>
      <c r="C169" s="72" t="s">
        <v>1334</v>
      </c>
      <c r="D169" s="73" t="s">
        <v>1118</v>
      </c>
      <c r="E169" s="72" t="s">
        <v>1119</v>
      </c>
      <c r="F169" s="74">
        <v>339.6</v>
      </c>
      <c r="G169" s="73" t="s">
        <v>829</v>
      </c>
      <c r="H169" s="73"/>
      <c r="I169" s="73"/>
      <c r="J169" s="73"/>
      <c r="K169" s="73"/>
      <c r="L169" s="73"/>
      <c r="M169" s="73"/>
      <c r="N169" s="73"/>
      <c r="O169" s="75">
        <f>SUM(TABELA25[[#This Row],[T1]:[T7]])</f>
        <v>0</v>
      </c>
      <c r="P169" s="76">
        <f>TABELA25[[#This Row],[PREÇO]]*TABELA25[[#This Row],[QTDE]]</f>
        <v>0</v>
      </c>
    </row>
    <row r="170" spans="1:16" x14ac:dyDescent="0.2">
      <c r="A170" s="70" t="s">
        <v>1336</v>
      </c>
      <c r="B170" s="71" t="s">
        <v>1337</v>
      </c>
      <c r="C170" s="72" t="s">
        <v>1338</v>
      </c>
      <c r="D170" s="73" t="s">
        <v>992</v>
      </c>
      <c r="E170" s="72" t="s">
        <v>994</v>
      </c>
      <c r="F170" s="74">
        <v>79.599999999999994</v>
      </c>
      <c r="G170" s="73" t="s">
        <v>826</v>
      </c>
      <c r="H170" s="73"/>
      <c r="I170" s="73"/>
      <c r="J170" s="73"/>
      <c r="K170" s="73"/>
      <c r="L170" s="73"/>
      <c r="M170" s="73"/>
      <c r="N170" s="73"/>
      <c r="O170" s="75">
        <f>SUM(TABELA25[[#This Row],[T1]:[T7]])</f>
        <v>0</v>
      </c>
      <c r="P170" s="76">
        <f>TABELA25[[#This Row],[PREÇO]]*TABELA25[[#This Row],[QTDE]]</f>
        <v>0</v>
      </c>
    </row>
    <row r="171" spans="1:16" x14ac:dyDescent="0.2">
      <c r="A171" s="70" t="s">
        <v>1341</v>
      </c>
      <c r="B171" s="71" t="s">
        <v>1339</v>
      </c>
      <c r="C171" s="72" t="s">
        <v>1340</v>
      </c>
      <c r="D171" s="73" t="s">
        <v>821</v>
      </c>
      <c r="E171" s="72" t="s">
        <v>822</v>
      </c>
      <c r="F171" s="74">
        <v>143.6</v>
      </c>
      <c r="G171" s="73" t="s">
        <v>829</v>
      </c>
      <c r="H171" s="73"/>
      <c r="I171" s="73"/>
      <c r="J171" s="73"/>
      <c r="K171" s="73"/>
      <c r="L171" s="73"/>
      <c r="M171" s="73"/>
      <c r="N171" s="73"/>
      <c r="O171" s="75">
        <f>SUM(TABELA25[[#This Row],[T1]:[T7]])</f>
        <v>0</v>
      </c>
      <c r="P171" s="76">
        <f>TABELA25[[#This Row],[PREÇO]]*TABELA25[[#This Row],[QTDE]]</f>
        <v>0</v>
      </c>
    </row>
    <row r="172" spans="1:16" x14ac:dyDescent="0.2">
      <c r="A172" s="70" t="s">
        <v>1344</v>
      </c>
      <c r="B172" s="71" t="s">
        <v>1342</v>
      </c>
      <c r="C172" s="72" t="s">
        <v>1343</v>
      </c>
      <c r="D172" s="73" t="s">
        <v>821</v>
      </c>
      <c r="E172" s="72" t="s">
        <v>822</v>
      </c>
      <c r="F172" s="74">
        <v>271.60000000000002</v>
      </c>
      <c r="G172" s="73" t="s">
        <v>17</v>
      </c>
      <c r="H172" s="73"/>
      <c r="I172" s="73"/>
      <c r="J172" s="73"/>
      <c r="K172" s="73"/>
      <c r="L172" s="73"/>
      <c r="M172" s="73"/>
      <c r="N172" s="73"/>
      <c r="O172" s="75">
        <f>SUM(TABELA25[[#This Row],[T1]:[T7]])</f>
        <v>0</v>
      </c>
      <c r="P172" s="76">
        <f>TABELA25[[#This Row],[PREÇO]]*TABELA25[[#This Row],[QTDE]]</f>
        <v>0</v>
      </c>
    </row>
    <row r="173" spans="1:16" x14ac:dyDescent="0.2">
      <c r="A173" s="70" t="s">
        <v>1347</v>
      </c>
      <c r="B173" s="71" t="s">
        <v>1345</v>
      </c>
      <c r="C173" s="72" t="s">
        <v>1346</v>
      </c>
      <c r="D173" s="73" t="s">
        <v>815</v>
      </c>
      <c r="E173" s="72" t="s">
        <v>816</v>
      </c>
      <c r="F173" s="74">
        <v>143.6</v>
      </c>
      <c r="G173" s="73" t="s">
        <v>826</v>
      </c>
      <c r="H173" s="73"/>
      <c r="I173" s="73"/>
      <c r="J173" s="73"/>
      <c r="K173" s="73"/>
      <c r="L173" s="73"/>
      <c r="M173" s="73"/>
      <c r="N173" s="73"/>
      <c r="O173" s="75">
        <f>SUM(TABELA25[[#This Row],[T1]:[T7]])</f>
        <v>0</v>
      </c>
      <c r="P173" s="76">
        <f>TABELA25[[#This Row],[PREÇO]]*TABELA25[[#This Row],[QTDE]]</f>
        <v>0</v>
      </c>
    </row>
    <row r="174" spans="1:16" x14ac:dyDescent="0.2">
      <c r="A174" s="70" t="s">
        <v>1350</v>
      </c>
      <c r="B174" s="71" t="s">
        <v>1348</v>
      </c>
      <c r="C174" s="72" t="s">
        <v>1349</v>
      </c>
      <c r="D174" s="73" t="s">
        <v>821</v>
      </c>
      <c r="E174" s="72" t="s">
        <v>822</v>
      </c>
      <c r="F174" s="74">
        <v>239.6</v>
      </c>
      <c r="G174" s="73" t="s">
        <v>829</v>
      </c>
      <c r="H174" s="73"/>
      <c r="I174" s="73"/>
      <c r="J174" s="73"/>
      <c r="K174" s="73"/>
      <c r="L174" s="73"/>
      <c r="M174" s="73"/>
      <c r="N174" s="73"/>
      <c r="O174" s="75">
        <f>SUM(TABELA25[[#This Row],[T1]:[T7]])</f>
        <v>0</v>
      </c>
      <c r="P174" s="76">
        <f>TABELA25[[#This Row],[PREÇO]]*TABELA25[[#This Row],[QTDE]]</f>
        <v>0</v>
      </c>
    </row>
    <row r="175" spans="1:16" x14ac:dyDescent="0.2">
      <c r="A175" s="70" t="s">
        <v>1353</v>
      </c>
      <c r="B175" s="71" t="s">
        <v>1351</v>
      </c>
      <c r="C175" s="72" t="s">
        <v>1352</v>
      </c>
      <c r="D175" s="73" t="s">
        <v>898</v>
      </c>
      <c r="E175" s="72" t="s">
        <v>900</v>
      </c>
      <c r="F175" s="74">
        <v>79.599999999999994</v>
      </c>
      <c r="G175" s="73" t="s">
        <v>17</v>
      </c>
      <c r="H175" s="73"/>
      <c r="I175" s="73"/>
      <c r="J175" s="73"/>
      <c r="K175" s="73"/>
      <c r="L175" s="73"/>
      <c r="M175" s="73"/>
      <c r="N175" s="73"/>
      <c r="O175" s="75">
        <f>SUM(TABELA25[[#This Row],[T1]:[T7]])</f>
        <v>0</v>
      </c>
      <c r="P175" s="76">
        <f>TABELA25[[#This Row],[PREÇO]]*TABELA25[[#This Row],[QTDE]]</f>
        <v>0</v>
      </c>
    </row>
    <row r="176" spans="1:16" x14ac:dyDescent="0.2">
      <c r="A176" s="70" t="s">
        <v>1358</v>
      </c>
      <c r="B176" s="71" t="s">
        <v>1356</v>
      </c>
      <c r="C176" s="72" t="s">
        <v>1357</v>
      </c>
      <c r="D176" s="73" t="s">
        <v>823</v>
      </c>
      <c r="E176" s="72" t="s">
        <v>820</v>
      </c>
      <c r="F176" s="74">
        <v>275.60000000000002</v>
      </c>
      <c r="G176" s="73" t="s">
        <v>828</v>
      </c>
      <c r="H176" s="73"/>
      <c r="I176" s="73"/>
      <c r="J176" s="73"/>
      <c r="K176" s="73"/>
      <c r="L176" s="73"/>
      <c r="M176" s="73"/>
      <c r="N176" s="73"/>
      <c r="O176" s="75">
        <f>SUM(TABELA25[[#This Row],[T1]:[T7]])</f>
        <v>0</v>
      </c>
      <c r="P176" s="76">
        <f>TABELA25[[#This Row],[PREÇO]]*TABELA25[[#This Row],[QTDE]]</f>
        <v>0</v>
      </c>
    </row>
    <row r="177" spans="1:16" x14ac:dyDescent="0.2">
      <c r="A177" s="70" t="s">
        <v>1361</v>
      </c>
      <c r="B177" s="71" t="s">
        <v>1359</v>
      </c>
      <c r="C177" s="72" t="s">
        <v>1360</v>
      </c>
      <c r="D177" s="73" t="s">
        <v>823</v>
      </c>
      <c r="E177" s="72" t="s">
        <v>820</v>
      </c>
      <c r="F177" s="74">
        <v>183.6</v>
      </c>
      <c r="G177" s="73" t="s">
        <v>828</v>
      </c>
      <c r="H177" s="73"/>
      <c r="I177" s="73"/>
      <c r="J177" s="73"/>
      <c r="K177" s="73"/>
      <c r="L177" s="73"/>
      <c r="M177" s="73"/>
      <c r="N177" s="73"/>
      <c r="O177" s="75">
        <f>SUM(TABELA25[[#This Row],[T1]:[T7]])</f>
        <v>0</v>
      </c>
      <c r="P177" s="76">
        <f>TABELA25[[#This Row],[PREÇO]]*TABELA25[[#This Row],[QTDE]]</f>
        <v>0</v>
      </c>
    </row>
    <row r="178" spans="1:16" x14ac:dyDescent="0.2">
      <c r="A178" s="70" t="s">
        <v>1362</v>
      </c>
      <c r="B178" s="71" t="s">
        <v>1363</v>
      </c>
      <c r="C178" s="72" t="s">
        <v>1365</v>
      </c>
      <c r="D178" s="73" t="s">
        <v>1364</v>
      </c>
      <c r="E178" s="72" t="s">
        <v>1366</v>
      </c>
      <c r="F178" s="74">
        <v>223.6</v>
      </c>
      <c r="G178" s="73" t="s">
        <v>826</v>
      </c>
      <c r="H178" s="73"/>
      <c r="I178" s="73"/>
      <c r="J178" s="73"/>
      <c r="K178" s="73"/>
      <c r="L178" s="73"/>
      <c r="M178" s="73"/>
      <c r="N178" s="73"/>
      <c r="O178" s="75">
        <f>SUM(TABELA25[[#This Row],[T1]:[T7]])</f>
        <v>0</v>
      </c>
      <c r="P178" s="76">
        <f>TABELA25[[#This Row],[PREÇO]]*TABELA25[[#This Row],[QTDE]]</f>
        <v>0</v>
      </c>
    </row>
    <row r="179" spans="1:16" x14ac:dyDescent="0.2">
      <c r="A179" s="70" t="s">
        <v>1367</v>
      </c>
      <c r="B179" s="71" t="s">
        <v>1368</v>
      </c>
      <c r="C179" s="72" t="s">
        <v>1369</v>
      </c>
      <c r="D179" s="73" t="s">
        <v>823</v>
      </c>
      <c r="E179" s="72" t="s">
        <v>820</v>
      </c>
      <c r="F179" s="74">
        <v>299.60000000000002</v>
      </c>
      <c r="G179" s="73" t="s">
        <v>826</v>
      </c>
      <c r="H179" s="73"/>
      <c r="I179" s="73"/>
      <c r="J179" s="73"/>
      <c r="K179" s="73"/>
      <c r="L179" s="73"/>
      <c r="M179" s="73"/>
      <c r="N179" s="73"/>
      <c r="O179" s="75">
        <f>SUM(TABELA25[[#This Row],[T1]:[T7]])</f>
        <v>0</v>
      </c>
      <c r="P179" s="76">
        <f>TABELA25[[#This Row],[PREÇO]]*TABELA25[[#This Row],[QTDE]]</f>
        <v>0</v>
      </c>
    </row>
    <row r="180" spans="1:16" x14ac:dyDescent="0.2">
      <c r="A180" s="70" t="s">
        <v>1374</v>
      </c>
      <c r="B180" s="71" t="s">
        <v>1370</v>
      </c>
      <c r="C180" s="72" t="s">
        <v>1372</v>
      </c>
      <c r="D180" s="73" t="s">
        <v>1371</v>
      </c>
      <c r="E180" s="72" t="s">
        <v>1373</v>
      </c>
      <c r="F180" s="74">
        <v>147.6</v>
      </c>
      <c r="G180" s="73" t="s">
        <v>828</v>
      </c>
      <c r="H180" s="73"/>
      <c r="I180" s="73"/>
      <c r="J180" s="73"/>
      <c r="K180" s="73"/>
      <c r="L180" s="73"/>
      <c r="M180" s="73"/>
      <c r="N180" s="73"/>
      <c r="O180" s="75">
        <f>SUM(TABELA25[[#This Row],[T1]:[T7]])</f>
        <v>0</v>
      </c>
      <c r="P180" s="76">
        <f>TABELA25[[#This Row],[PREÇO]]*TABELA25[[#This Row],[QTDE]]</f>
        <v>0</v>
      </c>
    </row>
    <row r="181" spans="1:16" x14ac:dyDescent="0.2">
      <c r="A181" s="70" t="s">
        <v>1375</v>
      </c>
      <c r="B181" s="71" t="s">
        <v>1376</v>
      </c>
      <c r="C181" s="72" t="s">
        <v>837</v>
      </c>
      <c r="D181" s="73" t="s">
        <v>823</v>
      </c>
      <c r="E181" s="72" t="s">
        <v>820</v>
      </c>
      <c r="F181" s="74">
        <v>263.60000000000002</v>
      </c>
      <c r="G181" s="73" t="s">
        <v>826</v>
      </c>
      <c r="H181" s="73"/>
      <c r="I181" s="73"/>
      <c r="J181" s="73"/>
      <c r="K181" s="73"/>
      <c r="L181" s="73"/>
      <c r="M181" s="73"/>
      <c r="N181" s="73"/>
      <c r="O181" s="75">
        <f>SUM(TABELA25[[#This Row],[T1]:[T7]])</f>
        <v>0</v>
      </c>
      <c r="P181" s="76">
        <f>TABELA25[[#This Row],[PREÇO]]*TABELA25[[#This Row],[QTDE]]</f>
        <v>0</v>
      </c>
    </row>
    <row r="182" spans="1:16" x14ac:dyDescent="0.2">
      <c r="A182" s="70" t="s">
        <v>1379</v>
      </c>
      <c r="B182" s="71" t="s">
        <v>1377</v>
      </c>
      <c r="C182" s="72" t="s">
        <v>1378</v>
      </c>
      <c r="D182" s="73" t="s">
        <v>32</v>
      </c>
      <c r="E182" s="72" t="s">
        <v>33</v>
      </c>
      <c r="F182" s="74">
        <v>131.6</v>
      </c>
      <c r="G182" s="73" t="s">
        <v>828</v>
      </c>
      <c r="H182" s="73"/>
      <c r="I182" s="73"/>
      <c r="J182" s="73"/>
      <c r="K182" s="73"/>
      <c r="L182" s="73"/>
      <c r="M182" s="73"/>
      <c r="N182" s="73"/>
      <c r="O182" s="75">
        <f>SUM(TABELA25[[#This Row],[T1]:[T7]])</f>
        <v>0</v>
      </c>
      <c r="P182" s="76">
        <f>TABELA25[[#This Row],[PREÇO]]*TABELA25[[#This Row],[QTDE]]</f>
        <v>0</v>
      </c>
    </row>
    <row r="183" spans="1:16" x14ac:dyDescent="0.2">
      <c r="A183" s="70" t="s">
        <v>1380</v>
      </c>
      <c r="B183" s="71" t="s">
        <v>1377</v>
      </c>
      <c r="C183" s="72" t="s">
        <v>1378</v>
      </c>
      <c r="D183" s="73" t="s">
        <v>888</v>
      </c>
      <c r="E183" s="72" t="s">
        <v>890</v>
      </c>
      <c r="F183" s="74">
        <v>131.6</v>
      </c>
      <c r="G183" s="73" t="s">
        <v>828</v>
      </c>
      <c r="H183" s="73"/>
      <c r="I183" s="73"/>
      <c r="J183" s="73"/>
      <c r="K183" s="73"/>
      <c r="L183" s="73"/>
      <c r="M183" s="73"/>
      <c r="N183" s="73"/>
      <c r="O183" s="75">
        <f>SUM(TABELA25[[#This Row],[T1]:[T7]])</f>
        <v>0</v>
      </c>
      <c r="P183" s="76">
        <f>TABELA25[[#This Row],[PREÇO]]*TABELA25[[#This Row],[QTDE]]</f>
        <v>0</v>
      </c>
    </row>
    <row r="184" spans="1:16" x14ac:dyDescent="0.2">
      <c r="A184" s="70" t="s">
        <v>1381</v>
      </c>
      <c r="B184" s="71" t="s">
        <v>1377</v>
      </c>
      <c r="C184" s="72" t="s">
        <v>1378</v>
      </c>
      <c r="D184" s="73" t="s">
        <v>1317</v>
      </c>
      <c r="E184" s="72" t="s">
        <v>1571</v>
      </c>
      <c r="F184" s="74">
        <v>131.6</v>
      </c>
      <c r="G184" s="73" t="s">
        <v>828</v>
      </c>
      <c r="H184" s="73"/>
      <c r="I184" s="73"/>
      <c r="J184" s="73"/>
      <c r="K184" s="73"/>
      <c r="L184" s="73"/>
      <c r="M184" s="73"/>
      <c r="N184" s="73"/>
      <c r="O184" s="75">
        <f>SUM(TABELA25[[#This Row],[T1]:[T7]])</f>
        <v>0</v>
      </c>
      <c r="P184" s="76">
        <f>TABELA25[[#This Row],[PREÇO]]*TABELA25[[#This Row],[QTDE]]</f>
        <v>0</v>
      </c>
    </row>
    <row r="185" spans="1:16" x14ac:dyDescent="0.2">
      <c r="A185" s="70" t="s">
        <v>1382</v>
      </c>
      <c r="B185" s="71" t="s">
        <v>1383</v>
      </c>
      <c r="C185" s="72" t="s">
        <v>1385</v>
      </c>
      <c r="D185" s="73" t="s">
        <v>1384</v>
      </c>
      <c r="E185" s="72" t="s">
        <v>1386</v>
      </c>
      <c r="F185" s="74">
        <v>211.6</v>
      </c>
      <c r="G185" s="73" t="s">
        <v>826</v>
      </c>
      <c r="H185" s="73"/>
      <c r="I185" s="73"/>
      <c r="J185" s="73"/>
      <c r="K185" s="73"/>
      <c r="L185" s="73"/>
      <c r="M185" s="73"/>
      <c r="N185" s="73"/>
      <c r="O185" s="75">
        <f>SUM(TABELA25[[#This Row],[T1]:[T7]])</f>
        <v>0</v>
      </c>
      <c r="P185" s="76">
        <f>TABELA25[[#This Row],[PREÇO]]*TABELA25[[#This Row],[QTDE]]</f>
        <v>0</v>
      </c>
    </row>
    <row r="186" spans="1:16" x14ac:dyDescent="0.2">
      <c r="A186" s="70" t="s">
        <v>1387</v>
      </c>
      <c r="B186" s="71" t="s">
        <v>1388</v>
      </c>
      <c r="C186" s="72" t="s">
        <v>1389</v>
      </c>
      <c r="D186" s="73" t="s">
        <v>823</v>
      </c>
      <c r="E186" s="72" t="s">
        <v>820</v>
      </c>
      <c r="F186" s="74">
        <v>219.6</v>
      </c>
      <c r="G186" s="73" t="s">
        <v>826</v>
      </c>
      <c r="H186" s="73"/>
      <c r="I186" s="73"/>
      <c r="J186" s="73"/>
      <c r="K186" s="73"/>
      <c r="L186" s="73"/>
      <c r="M186" s="73"/>
      <c r="N186" s="73"/>
      <c r="O186" s="75">
        <f>SUM(TABELA25[[#This Row],[T1]:[T7]])</f>
        <v>0</v>
      </c>
      <c r="P186" s="76">
        <f>TABELA25[[#This Row],[PREÇO]]*TABELA25[[#This Row],[QTDE]]</f>
        <v>0</v>
      </c>
    </row>
    <row r="187" spans="1:16" x14ac:dyDescent="0.2">
      <c r="A187" s="70" t="s">
        <v>1390</v>
      </c>
      <c r="B187" s="71" t="s">
        <v>1391</v>
      </c>
      <c r="C187" s="72" t="s">
        <v>1392</v>
      </c>
      <c r="D187" s="73" t="s">
        <v>32</v>
      </c>
      <c r="E187" s="72" t="s">
        <v>33</v>
      </c>
      <c r="F187" s="74">
        <v>139.6</v>
      </c>
      <c r="G187" s="73" t="s">
        <v>826</v>
      </c>
      <c r="H187" s="73"/>
      <c r="I187" s="73"/>
      <c r="J187" s="73"/>
      <c r="K187" s="73"/>
      <c r="L187" s="73"/>
      <c r="M187" s="73"/>
      <c r="N187" s="73"/>
      <c r="O187" s="75">
        <f>SUM(TABELA25[[#This Row],[T1]:[T7]])</f>
        <v>0</v>
      </c>
      <c r="P187" s="76">
        <f>TABELA25[[#This Row],[PREÇO]]*TABELA25[[#This Row],[QTDE]]</f>
        <v>0</v>
      </c>
    </row>
    <row r="188" spans="1:16" x14ac:dyDescent="0.2">
      <c r="A188" s="70" t="s">
        <v>1393</v>
      </c>
      <c r="B188" s="71" t="s">
        <v>1391</v>
      </c>
      <c r="C188" s="72" t="s">
        <v>1392</v>
      </c>
      <c r="D188" s="73" t="s">
        <v>888</v>
      </c>
      <c r="E188" s="72" t="s">
        <v>890</v>
      </c>
      <c r="F188" s="74">
        <v>139.6</v>
      </c>
      <c r="G188" s="73" t="s">
        <v>826</v>
      </c>
      <c r="H188" s="73"/>
      <c r="I188" s="73"/>
      <c r="J188" s="73"/>
      <c r="K188" s="73"/>
      <c r="L188" s="73"/>
      <c r="M188" s="73"/>
      <c r="N188" s="73"/>
      <c r="O188" s="75">
        <f>SUM(TABELA25[[#This Row],[T1]:[T7]])</f>
        <v>0</v>
      </c>
      <c r="P188" s="76">
        <f>TABELA25[[#This Row],[PREÇO]]*TABELA25[[#This Row],[QTDE]]</f>
        <v>0</v>
      </c>
    </row>
    <row r="189" spans="1:16" x14ac:dyDescent="0.2">
      <c r="A189" s="70" t="s">
        <v>1394</v>
      </c>
      <c r="B189" s="71" t="s">
        <v>1391</v>
      </c>
      <c r="C189" s="72" t="s">
        <v>1392</v>
      </c>
      <c r="D189" s="73" t="s">
        <v>1317</v>
      </c>
      <c r="E189" s="72" t="s">
        <v>1571</v>
      </c>
      <c r="F189" s="74">
        <v>139.6</v>
      </c>
      <c r="G189" s="73" t="s">
        <v>826</v>
      </c>
      <c r="H189" s="73"/>
      <c r="I189" s="73"/>
      <c r="J189" s="73"/>
      <c r="K189" s="73"/>
      <c r="L189" s="73"/>
      <c r="M189" s="73"/>
      <c r="N189" s="73"/>
      <c r="O189" s="75">
        <f>SUM(TABELA25[[#This Row],[T1]:[T7]])</f>
        <v>0</v>
      </c>
      <c r="P189" s="76">
        <f>TABELA25[[#This Row],[PREÇO]]*TABELA25[[#This Row],[QTDE]]</f>
        <v>0</v>
      </c>
    </row>
    <row r="190" spans="1:16" x14ac:dyDescent="0.2">
      <c r="A190" s="70" t="s">
        <v>1397</v>
      </c>
      <c r="B190" s="71" t="s">
        <v>1395</v>
      </c>
      <c r="C190" s="72" t="s">
        <v>1396</v>
      </c>
      <c r="D190" s="73" t="s">
        <v>1384</v>
      </c>
      <c r="E190" s="72" t="s">
        <v>1386</v>
      </c>
      <c r="F190" s="74">
        <v>139.6</v>
      </c>
      <c r="G190" s="73" t="s">
        <v>828</v>
      </c>
      <c r="H190" s="73"/>
      <c r="I190" s="73"/>
      <c r="J190" s="73"/>
      <c r="K190" s="73"/>
      <c r="L190" s="73"/>
      <c r="M190" s="73"/>
      <c r="N190" s="73"/>
      <c r="O190" s="75">
        <f>SUM(TABELA25[[#This Row],[T1]:[T7]])</f>
        <v>0</v>
      </c>
      <c r="P190" s="76">
        <f>TABELA25[[#This Row],[PREÇO]]*TABELA25[[#This Row],[QTDE]]</f>
        <v>0</v>
      </c>
    </row>
    <row r="191" spans="1:16" x14ac:dyDescent="0.2">
      <c r="A191" s="70" t="s">
        <v>1398</v>
      </c>
      <c r="B191" s="71" t="s">
        <v>1399</v>
      </c>
      <c r="C191" s="72" t="s">
        <v>1400</v>
      </c>
      <c r="D191" s="73" t="s">
        <v>1371</v>
      </c>
      <c r="E191" s="72" t="s">
        <v>1373</v>
      </c>
      <c r="F191" s="74">
        <v>235.6</v>
      </c>
      <c r="G191" s="73" t="s">
        <v>826</v>
      </c>
      <c r="H191" s="73"/>
      <c r="I191" s="73"/>
      <c r="J191" s="73"/>
      <c r="K191" s="73"/>
      <c r="L191" s="73"/>
      <c r="M191" s="73"/>
      <c r="N191" s="73"/>
      <c r="O191" s="75">
        <f>SUM(TABELA25[[#This Row],[T1]:[T7]])</f>
        <v>0</v>
      </c>
      <c r="P191" s="76">
        <f>TABELA25[[#This Row],[PREÇO]]*TABELA25[[#This Row],[QTDE]]</f>
        <v>0</v>
      </c>
    </row>
    <row r="192" spans="1:16" x14ac:dyDescent="0.2">
      <c r="A192" s="70" t="s">
        <v>1403</v>
      </c>
      <c r="B192" s="71" t="s">
        <v>1401</v>
      </c>
      <c r="C192" s="72" t="s">
        <v>1402</v>
      </c>
      <c r="D192" s="73" t="s">
        <v>32</v>
      </c>
      <c r="E192" s="72" t="s">
        <v>33</v>
      </c>
      <c r="F192" s="74">
        <v>219.6</v>
      </c>
      <c r="G192" s="73" t="s">
        <v>829</v>
      </c>
      <c r="H192" s="73"/>
      <c r="I192" s="73"/>
      <c r="J192" s="73"/>
      <c r="K192" s="73"/>
      <c r="L192" s="73"/>
      <c r="M192" s="73"/>
      <c r="N192" s="73"/>
      <c r="O192" s="75">
        <f>SUM(TABELA25[[#This Row],[T1]:[T7]])</f>
        <v>0</v>
      </c>
      <c r="P192" s="76">
        <f>TABELA25[[#This Row],[PREÇO]]*TABELA25[[#This Row],[QTDE]]</f>
        <v>0</v>
      </c>
    </row>
    <row r="193" spans="1:16" x14ac:dyDescent="0.2">
      <c r="A193" s="70" t="s">
        <v>1406</v>
      </c>
      <c r="B193" s="71" t="s">
        <v>1404</v>
      </c>
      <c r="C193" s="72" t="s">
        <v>1405</v>
      </c>
      <c r="D193" s="73" t="s">
        <v>32</v>
      </c>
      <c r="E193" s="72" t="s">
        <v>33</v>
      </c>
      <c r="F193" s="74">
        <v>319.60000000000002</v>
      </c>
      <c r="G193" s="73" t="s">
        <v>829</v>
      </c>
      <c r="H193" s="73"/>
      <c r="I193" s="73"/>
      <c r="J193" s="73"/>
      <c r="K193" s="73"/>
      <c r="L193" s="73"/>
      <c r="M193" s="73"/>
      <c r="N193" s="73"/>
      <c r="O193" s="75">
        <f>SUM(TABELA25[[#This Row],[T1]:[T7]])</f>
        <v>0</v>
      </c>
      <c r="P193" s="76">
        <f>TABELA25[[#This Row],[PREÇO]]*TABELA25[[#This Row],[QTDE]]</f>
        <v>0</v>
      </c>
    </row>
    <row r="194" spans="1:16" x14ac:dyDescent="0.2">
      <c r="A194" s="70" t="s">
        <v>1409</v>
      </c>
      <c r="B194" s="71" t="s">
        <v>1407</v>
      </c>
      <c r="C194" s="72" t="s">
        <v>1408</v>
      </c>
      <c r="D194" s="73" t="s">
        <v>821</v>
      </c>
      <c r="E194" s="72" t="s">
        <v>822</v>
      </c>
      <c r="F194" s="74">
        <v>199.6</v>
      </c>
      <c r="G194" s="73" t="s">
        <v>829</v>
      </c>
      <c r="H194" s="73"/>
      <c r="I194" s="73"/>
      <c r="J194" s="73"/>
      <c r="K194" s="73"/>
      <c r="L194" s="73"/>
      <c r="M194" s="73"/>
      <c r="N194" s="73"/>
      <c r="O194" s="75">
        <f>SUM(TABELA25[[#This Row],[T1]:[T7]])</f>
        <v>0</v>
      </c>
      <c r="P194" s="76">
        <f>TABELA25[[#This Row],[PREÇO]]*TABELA25[[#This Row],[QTDE]]</f>
        <v>0</v>
      </c>
    </row>
    <row r="195" spans="1:16" x14ac:dyDescent="0.2">
      <c r="A195" s="70" t="s">
        <v>1412</v>
      </c>
      <c r="B195" s="71" t="s">
        <v>1410</v>
      </c>
      <c r="C195" s="72" t="s">
        <v>1411</v>
      </c>
      <c r="D195" s="73" t="s">
        <v>32</v>
      </c>
      <c r="E195" s="72" t="s">
        <v>33</v>
      </c>
      <c r="F195" s="74">
        <v>223.6</v>
      </c>
      <c r="G195" s="73" t="s">
        <v>829</v>
      </c>
      <c r="H195" s="73"/>
      <c r="I195" s="73"/>
      <c r="J195" s="73"/>
      <c r="K195" s="73"/>
      <c r="L195" s="73"/>
      <c r="M195" s="73"/>
      <c r="N195" s="73"/>
      <c r="O195" s="75">
        <f>SUM(TABELA25[[#This Row],[T1]:[T7]])</f>
        <v>0</v>
      </c>
      <c r="P195" s="76">
        <f>TABELA25[[#This Row],[PREÇO]]*TABELA25[[#This Row],[QTDE]]</f>
        <v>0</v>
      </c>
    </row>
    <row r="196" spans="1:16" x14ac:dyDescent="0.2">
      <c r="A196" s="70" t="s">
        <v>1415</v>
      </c>
      <c r="B196" s="71" t="s">
        <v>1413</v>
      </c>
      <c r="C196" s="72" t="s">
        <v>1414</v>
      </c>
      <c r="D196" s="73" t="s">
        <v>821</v>
      </c>
      <c r="E196" s="72" t="s">
        <v>822</v>
      </c>
      <c r="F196" s="74">
        <v>99.6</v>
      </c>
      <c r="G196" s="73" t="s">
        <v>2319</v>
      </c>
      <c r="H196" s="73"/>
      <c r="I196" s="73"/>
      <c r="J196" s="73"/>
      <c r="K196" s="73"/>
      <c r="L196" s="73"/>
      <c r="M196" s="73"/>
      <c r="N196" s="73"/>
      <c r="O196" s="75">
        <f>SUM(TABELA25[[#This Row],[T1]:[T7]])</f>
        <v>0</v>
      </c>
      <c r="P196" s="76">
        <f>TABELA25[[#This Row],[PREÇO]]*TABELA25[[#This Row],[QTDE]]</f>
        <v>0</v>
      </c>
    </row>
    <row r="197" spans="1:16" x14ac:dyDescent="0.2">
      <c r="A197" s="70" t="s">
        <v>1420</v>
      </c>
      <c r="B197" s="71" t="s">
        <v>1416</v>
      </c>
      <c r="C197" s="72" t="s">
        <v>1418</v>
      </c>
      <c r="D197" s="73" t="s">
        <v>1417</v>
      </c>
      <c r="E197" s="72" t="s">
        <v>1419</v>
      </c>
      <c r="F197" s="74">
        <v>131.6</v>
      </c>
      <c r="G197" s="73" t="s">
        <v>829</v>
      </c>
      <c r="H197" s="73"/>
      <c r="I197" s="73"/>
      <c r="J197" s="73"/>
      <c r="K197" s="73"/>
      <c r="L197" s="73"/>
      <c r="M197" s="73"/>
      <c r="N197" s="73"/>
      <c r="O197" s="75">
        <f>SUM(TABELA25[[#This Row],[T1]:[T7]])</f>
        <v>0</v>
      </c>
      <c r="P197" s="76">
        <f>TABELA25[[#This Row],[PREÇO]]*TABELA25[[#This Row],[QTDE]]</f>
        <v>0</v>
      </c>
    </row>
    <row r="198" spans="1:16" x14ac:dyDescent="0.2">
      <c r="A198" s="70" t="s">
        <v>1422</v>
      </c>
      <c r="B198" s="71" t="s">
        <v>1421</v>
      </c>
      <c r="C198" s="72" t="s">
        <v>2311</v>
      </c>
      <c r="D198" s="73" t="s">
        <v>32</v>
      </c>
      <c r="E198" s="72" t="s">
        <v>33</v>
      </c>
      <c r="F198" s="74">
        <v>159.6</v>
      </c>
      <c r="G198" s="73" t="s">
        <v>829</v>
      </c>
      <c r="H198" s="73"/>
      <c r="I198" s="73"/>
      <c r="J198" s="73"/>
      <c r="K198" s="73"/>
      <c r="L198" s="73"/>
      <c r="M198" s="73"/>
      <c r="N198" s="73"/>
      <c r="O198" s="75">
        <f>SUM(TABELA25[[#This Row],[T1]:[T7]])</f>
        <v>0</v>
      </c>
      <c r="P198" s="76">
        <f>TABELA25[[#This Row],[PREÇO]]*TABELA25[[#This Row],[QTDE]]</f>
        <v>0</v>
      </c>
    </row>
    <row r="199" spans="1:16" x14ac:dyDescent="0.2">
      <c r="A199" s="70" t="s">
        <v>1425</v>
      </c>
      <c r="B199" s="71" t="s">
        <v>1423</v>
      </c>
      <c r="C199" s="72" t="s">
        <v>1424</v>
      </c>
      <c r="D199" s="73" t="s">
        <v>32</v>
      </c>
      <c r="E199" s="72" t="s">
        <v>33</v>
      </c>
      <c r="F199" s="74">
        <v>279.60000000000002</v>
      </c>
      <c r="G199" s="73" t="s">
        <v>829</v>
      </c>
      <c r="H199" s="73"/>
      <c r="I199" s="73"/>
      <c r="J199" s="73"/>
      <c r="K199" s="73"/>
      <c r="L199" s="73"/>
      <c r="M199" s="73"/>
      <c r="N199" s="73"/>
      <c r="O199" s="75">
        <f>SUM(TABELA25[[#This Row],[T1]:[T7]])</f>
        <v>0</v>
      </c>
      <c r="P199" s="76">
        <f>TABELA25[[#This Row],[PREÇO]]*TABELA25[[#This Row],[QTDE]]</f>
        <v>0</v>
      </c>
    </row>
    <row r="200" spans="1:16" x14ac:dyDescent="0.2">
      <c r="A200" s="70" t="s">
        <v>1426</v>
      </c>
      <c r="B200" s="71" t="s">
        <v>1423</v>
      </c>
      <c r="C200" s="72" t="s">
        <v>1424</v>
      </c>
      <c r="D200" s="73" t="s">
        <v>1317</v>
      </c>
      <c r="E200" s="72" t="s">
        <v>1319</v>
      </c>
      <c r="F200" s="74">
        <v>279.60000000000002</v>
      </c>
      <c r="G200" s="73" t="s">
        <v>829</v>
      </c>
      <c r="H200" s="73"/>
      <c r="I200" s="73"/>
      <c r="J200" s="73"/>
      <c r="K200" s="73"/>
      <c r="L200" s="73"/>
      <c r="M200" s="73"/>
      <c r="N200" s="73"/>
      <c r="O200" s="75">
        <f>SUM(TABELA25[[#This Row],[T1]:[T7]])</f>
        <v>0</v>
      </c>
      <c r="P200" s="76">
        <f>TABELA25[[#This Row],[PREÇO]]*TABELA25[[#This Row],[QTDE]]</f>
        <v>0</v>
      </c>
    </row>
    <row r="201" spans="1:16" x14ac:dyDescent="0.2">
      <c r="A201" s="70" t="s">
        <v>1429</v>
      </c>
      <c r="B201" s="71" t="s">
        <v>1427</v>
      </c>
      <c r="C201" s="72" t="s">
        <v>1428</v>
      </c>
      <c r="D201" s="73" t="s">
        <v>1263</v>
      </c>
      <c r="E201" s="72" t="s">
        <v>1265</v>
      </c>
      <c r="F201" s="74">
        <v>199.6</v>
      </c>
      <c r="G201" s="73" t="s">
        <v>829</v>
      </c>
      <c r="H201" s="73"/>
      <c r="I201" s="73"/>
      <c r="J201" s="73"/>
      <c r="K201" s="73"/>
      <c r="L201" s="73"/>
      <c r="M201" s="73"/>
      <c r="N201" s="73"/>
      <c r="O201" s="75">
        <f>SUM(TABELA25[[#This Row],[T1]:[T7]])</f>
        <v>0</v>
      </c>
      <c r="P201" s="76">
        <f>TABELA25[[#This Row],[PREÇO]]*TABELA25[[#This Row],[QTDE]]</f>
        <v>0</v>
      </c>
    </row>
    <row r="202" spans="1:16" x14ac:dyDescent="0.2">
      <c r="A202" s="70" t="s">
        <v>1432</v>
      </c>
      <c r="B202" s="71" t="s">
        <v>1430</v>
      </c>
      <c r="C202" s="72" t="s">
        <v>1431</v>
      </c>
      <c r="D202" s="73" t="s">
        <v>1371</v>
      </c>
      <c r="E202" s="72" t="s">
        <v>1373</v>
      </c>
      <c r="F202" s="74">
        <v>159.6</v>
      </c>
      <c r="G202" s="73" t="s">
        <v>829</v>
      </c>
      <c r="H202" s="73"/>
      <c r="I202" s="73"/>
      <c r="J202" s="73"/>
      <c r="K202" s="73"/>
      <c r="L202" s="73"/>
      <c r="M202" s="73"/>
      <c r="N202" s="73"/>
      <c r="O202" s="75">
        <f>SUM(TABELA25[[#This Row],[T1]:[T7]])</f>
        <v>0</v>
      </c>
      <c r="P202" s="76">
        <f>TABELA25[[#This Row],[PREÇO]]*TABELA25[[#This Row],[QTDE]]</f>
        <v>0</v>
      </c>
    </row>
    <row r="203" spans="1:16" x14ac:dyDescent="0.2">
      <c r="A203" s="70" t="s">
        <v>1437</v>
      </c>
      <c r="B203" s="71" t="s">
        <v>1435</v>
      </c>
      <c r="C203" s="72" t="s">
        <v>1436</v>
      </c>
      <c r="D203" s="73" t="s">
        <v>823</v>
      </c>
      <c r="E203" s="72" t="s">
        <v>820</v>
      </c>
      <c r="F203" s="74">
        <v>191.6</v>
      </c>
      <c r="G203" s="73" t="s">
        <v>828</v>
      </c>
      <c r="H203" s="73"/>
      <c r="I203" s="73"/>
      <c r="J203" s="73"/>
      <c r="K203" s="73"/>
      <c r="L203" s="73"/>
      <c r="M203" s="73"/>
      <c r="N203" s="73"/>
      <c r="O203" s="75">
        <f>SUM(TABELA25[[#This Row],[T1]:[T7]])</f>
        <v>0</v>
      </c>
      <c r="P203" s="76">
        <f>TABELA25[[#This Row],[PREÇO]]*TABELA25[[#This Row],[QTDE]]</f>
        <v>0</v>
      </c>
    </row>
    <row r="204" spans="1:16" x14ac:dyDescent="0.2">
      <c r="A204" s="70" t="s">
        <v>1440</v>
      </c>
      <c r="B204" s="71" t="s">
        <v>1438</v>
      </c>
      <c r="C204" s="72" t="s">
        <v>1439</v>
      </c>
      <c r="D204" s="73" t="s">
        <v>823</v>
      </c>
      <c r="E204" s="72" t="s">
        <v>820</v>
      </c>
      <c r="F204" s="74">
        <v>183.6</v>
      </c>
      <c r="G204" s="73" t="s">
        <v>828</v>
      </c>
      <c r="H204" s="73"/>
      <c r="I204" s="73"/>
      <c r="J204" s="73"/>
      <c r="K204" s="73"/>
      <c r="L204" s="73"/>
      <c r="M204" s="73"/>
      <c r="N204" s="73"/>
      <c r="O204" s="75">
        <f>SUM(TABELA25[[#This Row],[T1]:[T7]])</f>
        <v>0</v>
      </c>
      <c r="P204" s="76">
        <f>TABELA25[[#This Row],[PREÇO]]*TABELA25[[#This Row],[QTDE]]</f>
        <v>0</v>
      </c>
    </row>
    <row r="205" spans="1:16" x14ac:dyDescent="0.2">
      <c r="A205" s="70" t="s">
        <v>1441</v>
      </c>
      <c r="B205" s="71" t="s">
        <v>1442</v>
      </c>
      <c r="C205" s="72" t="s">
        <v>1443</v>
      </c>
      <c r="D205" s="73" t="s">
        <v>823</v>
      </c>
      <c r="E205" s="72" t="s">
        <v>820</v>
      </c>
      <c r="F205" s="74">
        <v>235.6</v>
      </c>
      <c r="G205" s="73" t="s">
        <v>826</v>
      </c>
      <c r="H205" s="73"/>
      <c r="I205" s="73"/>
      <c r="J205" s="73"/>
      <c r="K205" s="73"/>
      <c r="L205" s="73"/>
      <c r="M205" s="73"/>
      <c r="N205" s="73"/>
      <c r="O205" s="75">
        <f>SUM(TABELA25[[#This Row],[T1]:[T7]])</f>
        <v>0</v>
      </c>
      <c r="P205" s="76">
        <f>TABELA25[[#This Row],[PREÇO]]*TABELA25[[#This Row],[QTDE]]</f>
        <v>0</v>
      </c>
    </row>
    <row r="206" spans="1:16" x14ac:dyDescent="0.2">
      <c r="A206" s="70" t="s">
        <v>1446</v>
      </c>
      <c r="B206" s="71" t="s">
        <v>1444</v>
      </c>
      <c r="C206" s="72" t="s">
        <v>1445</v>
      </c>
      <c r="D206" s="73" t="s">
        <v>1317</v>
      </c>
      <c r="E206" s="72" t="s">
        <v>1319</v>
      </c>
      <c r="F206" s="74">
        <v>319.60000000000002</v>
      </c>
      <c r="G206" s="73" t="s">
        <v>828</v>
      </c>
      <c r="H206" s="73"/>
      <c r="I206" s="73"/>
      <c r="J206" s="73"/>
      <c r="K206" s="73"/>
      <c r="L206" s="73"/>
      <c r="M206" s="73"/>
      <c r="N206" s="73"/>
      <c r="O206" s="75">
        <f>SUM(TABELA25[[#This Row],[T1]:[T7]])</f>
        <v>0</v>
      </c>
      <c r="P206" s="76">
        <f>TABELA25[[#This Row],[PREÇO]]*TABELA25[[#This Row],[QTDE]]</f>
        <v>0</v>
      </c>
    </row>
    <row r="207" spans="1:16" x14ac:dyDescent="0.2">
      <c r="A207" s="70" t="s">
        <v>1451</v>
      </c>
      <c r="B207" s="71" t="s">
        <v>1447</v>
      </c>
      <c r="C207" s="72" t="s">
        <v>1449</v>
      </c>
      <c r="D207" s="73" t="s">
        <v>1448</v>
      </c>
      <c r="E207" s="72" t="s">
        <v>1450</v>
      </c>
      <c r="F207" s="74">
        <v>279.60000000000002</v>
      </c>
      <c r="G207" s="73" t="s">
        <v>828</v>
      </c>
      <c r="H207" s="73"/>
      <c r="I207" s="73"/>
      <c r="J207" s="73"/>
      <c r="K207" s="73"/>
      <c r="L207" s="73"/>
      <c r="M207" s="73"/>
      <c r="N207" s="73"/>
      <c r="O207" s="75">
        <f>SUM(TABELA25[[#This Row],[T1]:[T7]])</f>
        <v>0</v>
      </c>
      <c r="P207" s="76">
        <f>TABELA25[[#This Row],[PREÇO]]*TABELA25[[#This Row],[QTDE]]</f>
        <v>0</v>
      </c>
    </row>
    <row r="208" spans="1:16" x14ac:dyDescent="0.2">
      <c r="A208" s="70" t="s">
        <v>1453</v>
      </c>
      <c r="B208" s="71" t="s">
        <v>1452</v>
      </c>
      <c r="C208" s="72" t="s">
        <v>2312</v>
      </c>
      <c r="D208" s="73" t="s">
        <v>924</v>
      </c>
      <c r="E208" s="72" t="s">
        <v>926</v>
      </c>
      <c r="F208" s="74">
        <v>391.6</v>
      </c>
      <c r="G208" s="73" t="s">
        <v>2319</v>
      </c>
      <c r="H208" s="73"/>
      <c r="I208" s="73"/>
      <c r="J208" s="73"/>
      <c r="K208" s="73"/>
      <c r="L208" s="73"/>
      <c r="M208" s="73"/>
      <c r="N208" s="73"/>
      <c r="O208" s="75">
        <f>SUM(TABELA25[[#This Row],[T1]:[T7]])</f>
        <v>0</v>
      </c>
      <c r="P208" s="76">
        <f>TABELA25[[#This Row],[PREÇO]]*TABELA25[[#This Row],[QTDE]]</f>
        <v>0</v>
      </c>
    </row>
    <row r="209" spans="1:16" x14ac:dyDescent="0.2">
      <c r="A209" s="70" t="s">
        <v>1457</v>
      </c>
      <c r="B209" s="71" t="s">
        <v>1454</v>
      </c>
      <c r="C209" s="72" t="s">
        <v>1455</v>
      </c>
      <c r="D209" s="73" t="s">
        <v>1456</v>
      </c>
      <c r="E209" s="72" t="s">
        <v>820</v>
      </c>
      <c r="F209" s="74">
        <v>159.6</v>
      </c>
      <c r="G209" s="73" t="s">
        <v>828</v>
      </c>
      <c r="H209" s="73"/>
      <c r="I209" s="73"/>
      <c r="J209" s="73"/>
      <c r="K209" s="73"/>
      <c r="L209" s="73"/>
      <c r="M209" s="73"/>
      <c r="N209" s="73"/>
      <c r="O209" s="75">
        <f>SUM(TABELA25[[#This Row],[T1]:[T7]])</f>
        <v>0</v>
      </c>
      <c r="P209" s="76">
        <f>TABELA25[[#This Row],[PREÇO]]*TABELA25[[#This Row],[QTDE]]</f>
        <v>0</v>
      </c>
    </row>
    <row r="210" spans="1:16" x14ac:dyDescent="0.2">
      <c r="A210" s="70" t="s">
        <v>1458</v>
      </c>
      <c r="B210" s="71" t="s">
        <v>1459</v>
      </c>
      <c r="C210" s="72" t="s">
        <v>1460</v>
      </c>
      <c r="D210" s="73" t="s">
        <v>1317</v>
      </c>
      <c r="E210" s="72" t="s">
        <v>1319</v>
      </c>
      <c r="F210" s="74">
        <v>251.6</v>
      </c>
      <c r="G210" s="73" t="s">
        <v>826</v>
      </c>
      <c r="H210" s="73"/>
      <c r="I210" s="73"/>
      <c r="J210" s="73"/>
      <c r="K210" s="73"/>
      <c r="L210" s="73"/>
      <c r="M210" s="73"/>
      <c r="N210" s="73"/>
      <c r="O210" s="75">
        <f>SUM(TABELA25[[#This Row],[T1]:[T7]])</f>
        <v>0</v>
      </c>
      <c r="P210" s="76">
        <f>TABELA25[[#This Row],[PREÇO]]*TABELA25[[#This Row],[QTDE]]</f>
        <v>0</v>
      </c>
    </row>
    <row r="211" spans="1:16" x14ac:dyDescent="0.2">
      <c r="A211" s="70" t="s">
        <v>1463</v>
      </c>
      <c r="B211" s="71" t="s">
        <v>1461</v>
      </c>
      <c r="C211" s="72" t="s">
        <v>1462</v>
      </c>
      <c r="D211" s="73" t="s">
        <v>1456</v>
      </c>
      <c r="E211" s="72" t="s">
        <v>820</v>
      </c>
      <c r="F211" s="74">
        <v>271.60000000000002</v>
      </c>
      <c r="G211" s="73" t="s">
        <v>826</v>
      </c>
      <c r="H211" s="73"/>
      <c r="I211" s="73"/>
      <c r="J211" s="73"/>
      <c r="K211" s="73"/>
      <c r="L211" s="73"/>
      <c r="M211" s="73"/>
      <c r="N211" s="73"/>
      <c r="O211" s="75">
        <f>SUM(TABELA25[[#This Row],[T1]:[T7]])</f>
        <v>0</v>
      </c>
      <c r="P211" s="76">
        <f>TABELA25[[#This Row],[PREÇO]]*TABELA25[[#This Row],[QTDE]]</f>
        <v>0</v>
      </c>
    </row>
    <row r="212" spans="1:16" x14ac:dyDescent="0.2">
      <c r="A212" s="70" t="s">
        <v>1470</v>
      </c>
      <c r="B212" s="71" t="s">
        <v>1467</v>
      </c>
      <c r="C212" s="72" t="s">
        <v>1468</v>
      </c>
      <c r="D212" s="73" t="s">
        <v>1184</v>
      </c>
      <c r="E212" s="72" t="s">
        <v>1469</v>
      </c>
      <c r="F212" s="74">
        <v>359.6</v>
      </c>
      <c r="G212" s="73" t="s">
        <v>829</v>
      </c>
      <c r="H212" s="73"/>
      <c r="I212" s="73"/>
      <c r="J212" s="73"/>
      <c r="K212" s="73"/>
      <c r="L212" s="73"/>
      <c r="M212" s="73"/>
      <c r="N212" s="73"/>
      <c r="O212" s="75">
        <f>SUM(TABELA25[[#This Row],[T1]:[T7]])</f>
        <v>0</v>
      </c>
      <c r="P212" s="76">
        <f>TABELA25[[#This Row],[PREÇO]]*TABELA25[[#This Row],[QTDE]]</f>
        <v>0</v>
      </c>
    </row>
    <row r="213" spans="1:16" x14ac:dyDescent="0.2">
      <c r="A213" s="70" t="s">
        <v>1473</v>
      </c>
      <c r="B213" s="71" t="s">
        <v>1471</v>
      </c>
      <c r="C213" s="72" t="s">
        <v>1472</v>
      </c>
      <c r="D213" s="73" t="s">
        <v>1371</v>
      </c>
      <c r="E213" s="72" t="s">
        <v>1373</v>
      </c>
      <c r="F213" s="74">
        <v>359.6</v>
      </c>
      <c r="G213" s="73" t="s">
        <v>826</v>
      </c>
      <c r="H213" s="73"/>
      <c r="I213" s="73"/>
      <c r="J213" s="73"/>
      <c r="K213" s="73"/>
      <c r="L213" s="73"/>
      <c r="M213" s="73"/>
      <c r="N213" s="73"/>
      <c r="O213" s="75">
        <f>SUM(TABELA25[[#This Row],[T1]:[T7]])</f>
        <v>0</v>
      </c>
      <c r="P213" s="76">
        <f>TABELA25[[#This Row],[PREÇO]]*TABELA25[[#This Row],[QTDE]]</f>
        <v>0</v>
      </c>
    </row>
    <row r="214" spans="1:16" x14ac:dyDescent="0.2">
      <c r="A214" s="70" t="s">
        <v>1478</v>
      </c>
      <c r="B214" s="71" t="s">
        <v>1476</v>
      </c>
      <c r="C214" s="72" t="s">
        <v>1477</v>
      </c>
      <c r="D214" s="73" t="s">
        <v>1433</v>
      </c>
      <c r="E214" s="72" t="s">
        <v>1434</v>
      </c>
      <c r="F214" s="74">
        <v>359.6</v>
      </c>
      <c r="G214" s="73" t="s">
        <v>829</v>
      </c>
      <c r="H214" s="73"/>
      <c r="I214" s="73"/>
      <c r="J214" s="73"/>
      <c r="K214" s="73"/>
      <c r="L214" s="73"/>
      <c r="M214" s="73"/>
      <c r="N214" s="73"/>
      <c r="O214" s="75">
        <f>SUM(TABELA25[[#This Row],[T1]:[T7]])</f>
        <v>0</v>
      </c>
      <c r="P214" s="76">
        <f>TABELA25[[#This Row],[PREÇO]]*TABELA25[[#This Row],[QTDE]]</f>
        <v>0</v>
      </c>
    </row>
    <row r="215" spans="1:16" x14ac:dyDescent="0.2">
      <c r="A215" s="70" t="s">
        <v>1483</v>
      </c>
      <c r="B215" s="71" t="s">
        <v>1479</v>
      </c>
      <c r="C215" s="72" t="s">
        <v>1481</v>
      </c>
      <c r="D215" s="73" t="s">
        <v>1480</v>
      </c>
      <c r="E215" s="72" t="s">
        <v>1482</v>
      </c>
      <c r="F215" s="74">
        <v>439.6</v>
      </c>
      <c r="G215" s="73" t="s">
        <v>829</v>
      </c>
      <c r="H215" s="73"/>
      <c r="I215" s="73"/>
      <c r="J215" s="73"/>
      <c r="K215" s="73"/>
      <c r="L215" s="73"/>
      <c r="M215" s="73"/>
      <c r="N215" s="73"/>
      <c r="O215" s="75">
        <f>SUM(TABELA25[[#This Row],[T1]:[T7]])</f>
        <v>0</v>
      </c>
      <c r="P215" s="76">
        <f>TABELA25[[#This Row],[PREÇO]]*TABELA25[[#This Row],[QTDE]]</f>
        <v>0</v>
      </c>
    </row>
    <row r="216" spans="1:16" x14ac:dyDescent="0.2">
      <c r="A216" s="70" t="s">
        <v>1486</v>
      </c>
      <c r="B216" s="71" t="s">
        <v>1484</v>
      </c>
      <c r="C216" s="72" t="s">
        <v>1485</v>
      </c>
      <c r="D216" s="73" t="s">
        <v>1317</v>
      </c>
      <c r="E216" s="72" t="s">
        <v>1319</v>
      </c>
      <c r="F216" s="74">
        <v>119.6</v>
      </c>
      <c r="G216" s="73" t="s">
        <v>829</v>
      </c>
      <c r="H216" s="73"/>
      <c r="I216" s="73"/>
      <c r="J216" s="73"/>
      <c r="K216" s="73"/>
      <c r="L216" s="73"/>
      <c r="M216" s="73"/>
      <c r="N216" s="73"/>
      <c r="O216" s="75">
        <f>SUM(TABELA25[[#This Row],[T1]:[T7]])</f>
        <v>0</v>
      </c>
      <c r="P216" s="76">
        <f>TABELA25[[#This Row],[PREÇO]]*TABELA25[[#This Row],[QTDE]]</f>
        <v>0</v>
      </c>
    </row>
    <row r="217" spans="1:16" x14ac:dyDescent="0.2">
      <c r="A217" s="70" t="s">
        <v>1491</v>
      </c>
      <c r="B217" s="71" t="s">
        <v>1487</v>
      </c>
      <c r="C217" s="72" t="s">
        <v>1489</v>
      </c>
      <c r="D217" s="73" t="s">
        <v>1488</v>
      </c>
      <c r="E217" s="72" t="s">
        <v>1490</v>
      </c>
      <c r="F217" s="74">
        <v>111.6</v>
      </c>
      <c r="G217" s="73" t="s">
        <v>829</v>
      </c>
      <c r="H217" s="73"/>
      <c r="I217" s="73"/>
      <c r="J217" s="73"/>
      <c r="K217" s="73"/>
      <c r="L217" s="73"/>
      <c r="M217" s="73"/>
      <c r="N217" s="73"/>
      <c r="O217" s="75">
        <f>SUM(TABELA25[[#This Row],[T1]:[T7]])</f>
        <v>0</v>
      </c>
      <c r="P217" s="76">
        <f>TABELA25[[#This Row],[PREÇO]]*TABELA25[[#This Row],[QTDE]]</f>
        <v>0</v>
      </c>
    </row>
    <row r="218" spans="1:16" x14ac:dyDescent="0.2">
      <c r="A218" s="70" t="s">
        <v>1494</v>
      </c>
      <c r="B218" s="71" t="s">
        <v>1492</v>
      </c>
      <c r="C218" s="72" t="s">
        <v>1493</v>
      </c>
      <c r="D218" s="73" t="s">
        <v>1317</v>
      </c>
      <c r="E218" s="72" t="s">
        <v>1319</v>
      </c>
      <c r="F218" s="74">
        <v>199.6</v>
      </c>
      <c r="G218" s="73" t="s">
        <v>829</v>
      </c>
      <c r="H218" s="73"/>
      <c r="I218" s="73"/>
      <c r="J218" s="73"/>
      <c r="K218" s="73"/>
      <c r="L218" s="73"/>
      <c r="M218" s="73"/>
      <c r="N218" s="73"/>
      <c r="O218" s="75">
        <f>SUM(TABELA25[[#This Row],[T1]:[T7]])</f>
        <v>0</v>
      </c>
      <c r="P218" s="76">
        <f>TABELA25[[#This Row],[PREÇO]]*TABELA25[[#This Row],[QTDE]]</f>
        <v>0</v>
      </c>
    </row>
    <row r="219" spans="1:16" x14ac:dyDescent="0.2">
      <c r="A219" s="70" t="s">
        <v>1497</v>
      </c>
      <c r="B219" s="71" t="s">
        <v>1495</v>
      </c>
      <c r="C219" s="72" t="s">
        <v>1496</v>
      </c>
      <c r="D219" s="73" t="s">
        <v>910</v>
      </c>
      <c r="E219" s="72" t="s">
        <v>912</v>
      </c>
      <c r="F219" s="74">
        <v>139.6</v>
      </c>
      <c r="G219" s="73" t="s">
        <v>829</v>
      </c>
      <c r="H219" s="73"/>
      <c r="I219" s="73"/>
      <c r="J219" s="73"/>
      <c r="K219" s="73"/>
      <c r="L219" s="73"/>
      <c r="M219" s="73"/>
      <c r="N219" s="73"/>
      <c r="O219" s="75">
        <f>SUM(TABELA25[[#This Row],[T1]:[T7]])</f>
        <v>0</v>
      </c>
      <c r="P219" s="76">
        <f>TABELA25[[#This Row],[PREÇO]]*TABELA25[[#This Row],[QTDE]]</f>
        <v>0</v>
      </c>
    </row>
    <row r="220" spans="1:16" x14ac:dyDescent="0.2">
      <c r="A220" s="70" t="s">
        <v>1500</v>
      </c>
      <c r="B220" s="71" t="s">
        <v>1498</v>
      </c>
      <c r="C220" s="72" t="s">
        <v>1499</v>
      </c>
      <c r="D220" s="73" t="s">
        <v>1474</v>
      </c>
      <c r="E220" s="72" t="s">
        <v>1475</v>
      </c>
      <c r="F220" s="74">
        <v>239.6</v>
      </c>
      <c r="G220" s="73" t="s">
        <v>829</v>
      </c>
      <c r="H220" s="73"/>
      <c r="I220" s="73"/>
      <c r="J220" s="73"/>
      <c r="K220" s="73"/>
      <c r="L220" s="73"/>
      <c r="M220" s="73"/>
      <c r="N220" s="73"/>
      <c r="O220" s="75">
        <f>SUM(TABELA25[[#This Row],[T1]:[T7]])</f>
        <v>0</v>
      </c>
      <c r="P220" s="76">
        <f>TABELA25[[#This Row],[PREÇO]]*TABELA25[[#This Row],[QTDE]]</f>
        <v>0</v>
      </c>
    </row>
    <row r="221" spans="1:16" x14ac:dyDescent="0.2">
      <c r="A221" s="70" t="s">
        <v>1503</v>
      </c>
      <c r="B221" s="71" t="s">
        <v>1501</v>
      </c>
      <c r="C221" s="72" t="s">
        <v>1502</v>
      </c>
      <c r="D221" s="73" t="s">
        <v>1488</v>
      </c>
      <c r="E221" s="72" t="s">
        <v>1490</v>
      </c>
      <c r="F221" s="74">
        <v>219.6</v>
      </c>
      <c r="G221" s="73" t="s">
        <v>2319</v>
      </c>
      <c r="H221" s="73"/>
      <c r="I221" s="73"/>
      <c r="J221" s="73"/>
      <c r="K221" s="73"/>
      <c r="L221" s="73"/>
      <c r="M221" s="73"/>
      <c r="N221" s="73"/>
      <c r="O221" s="75">
        <f>SUM(TABELA25[[#This Row],[T1]:[T7]])</f>
        <v>0</v>
      </c>
      <c r="P221" s="76">
        <f>TABELA25[[#This Row],[PREÇO]]*TABELA25[[#This Row],[QTDE]]</f>
        <v>0</v>
      </c>
    </row>
    <row r="222" spans="1:16" x14ac:dyDescent="0.2">
      <c r="A222" s="70" t="s">
        <v>1506</v>
      </c>
      <c r="B222" s="71" t="s">
        <v>1504</v>
      </c>
      <c r="C222" s="72" t="s">
        <v>1505</v>
      </c>
      <c r="D222" s="73" t="s">
        <v>1474</v>
      </c>
      <c r="E222" s="72" t="s">
        <v>1475</v>
      </c>
      <c r="F222" s="74">
        <v>211.6</v>
      </c>
      <c r="G222" s="73" t="s">
        <v>829</v>
      </c>
      <c r="H222" s="73"/>
      <c r="I222" s="73"/>
      <c r="J222" s="73"/>
      <c r="K222" s="73"/>
      <c r="L222" s="73"/>
      <c r="M222" s="73"/>
      <c r="N222" s="73"/>
      <c r="O222" s="75">
        <f>SUM(TABELA25[[#This Row],[T1]:[T7]])</f>
        <v>0</v>
      </c>
      <c r="P222" s="76">
        <f>TABELA25[[#This Row],[PREÇO]]*TABELA25[[#This Row],[QTDE]]</f>
        <v>0</v>
      </c>
    </row>
    <row r="223" spans="1:16" x14ac:dyDescent="0.2">
      <c r="A223" s="70" t="s">
        <v>1509</v>
      </c>
      <c r="B223" s="71" t="s">
        <v>1507</v>
      </c>
      <c r="C223" s="72" t="s">
        <v>1508</v>
      </c>
      <c r="D223" s="73" t="s">
        <v>1317</v>
      </c>
      <c r="E223" s="72" t="s">
        <v>1319</v>
      </c>
      <c r="F223" s="74">
        <v>319.60000000000002</v>
      </c>
      <c r="G223" s="73" t="s">
        <v>829</v>
      </c>
      <c r="H223" s="73"/>
      <c r="I223" s="73"/>
      <c r="J223" s="73"/>
      <c r="K223" s="73"/>
      <c r="L223" s="73"/>
      <c r="M223" s="73"/>
      <c r="N223" s="73"/>
      <c r="O223" s="75">
        <f>SUM(TABELA25[[#This Row],[T1]:[T7]])</f>
        <v>0</v>
      </c>
      <c r="P223" s="76">
        <f>TABELA25[[#This Row],[PREÇO]]*TABELA25[[#This Row],[QTDE]]</f>
        <v>0</v>
      </c>
    </row>
    <row r="224" spans="1:16" x14ac:dyDescent="0.2">
      <c r="A224" s="70" t="s">
        <v>1512</v>
      </c>
      <c r="B224" s="71" t="s">
        <v>1510</v>
      </c>
      <c r="C224" s="72" t="s">
        <v>1511</v>
      </c>
      <c r="D224" s="73" t="s">
        <v>1488</v>
      </c>
      <c r="E224" s="72" t="s">
        <v>1490</v>
      </c>
      <c r="F224" s="74">
        <v>359.6</v>
      </c>
      <c r="G224" s="73" t="s">
        <v>829</v>
      </c>
      <c r="H224" s="73"/>
      <c r="I224" s="73"/>
      <c r="J224" s="73"/>
      <c r="K224" s="73"/>
      <c r="L224" s="73"/>
      <c r="M224" s="73"/>
      <c r="N224" s="73"/>
      <c r="O224" s="75">
        <f>SUM(TABELA25[[#This Row],[T1]:[T7]])</f>
        <v>0</v>
      </c>
      <c r="P224" s="76">
        <f>TABELA25[[#This Row],[PREÇO]]*TABELA25[[#This Row],[QTDE]]</f>
        <v>0</v>
      </c>
    </row>
    <row r="225" spans="1:16" x14ac:dyDescent="0.2">
      <c r="A225" s="70" t="s">
        <v>1517</v>
      </c>
      <c r="B225" s="71" t="s">
        <v>1513</v>
      </c>
      <c r="C225" s="72" t="s">
        <v>1515</v>
      </c>
      <c r="D225" s="73" t="s">
        <v>1514</v>
      </c>
      <c r="E225" s="72" t="s">
        <v>1516</v>
      </c>
      <c r="F225" s="74">
        <v>139.6</v>
      </c>
      <c r="G225" s="73" t="s">
        <v>828</v>
      </c>
      <c r="H225" s="73"/>
      <c r="I225" s="73"/>
      <c r="J225" s="73"/>
      <c r="K225" s="73"/>
      <c r="L225" s="73"/>
      <c r="M225" s="73"/>
      <c r="N225" s="73"/>
      <c r="O225" s="75">
        <f>SUM(TABELA25[[#This Row],[T1]:[T7]])</f>
        <v>0</v>
      </c>
      <c r="P225" s="76">
        <f>TABELA25[[#This Row],[PREÇO]]*TABELA25[[#This Row],[QTDE]]</f>
        <v>0</v>
      </c>
    </row>
    <row r="226" spans="1:16" x14ac:dyDescent="0.2">
      <c r="A226" s="70" t="s">
        <v>1520</v>
      </c>
      <c r="B226" s="71" t="s">
        <v>1518</v>
      </c>
      <c r="C226" s="72" t="s">
        <v>1519</v>
      </c>
      <c r="D226" s="73" t="s">
        <v>830</v>
      </c>
      <c r="E226" s="72" t="s">
        <v>43</v>
      </c>
      <c r="F226" s="74">
        <v>131.6</v>
      </c>
      <c r="G226" s="73" t="s">
        <v>828</v>
      </c>
      <c r="H226" s="73"/>
      <c r="I226" s="73"/>
      <c r="J226" s="73"/>
      <c r="K226" s="73"/>
      <c r="L226" s="73"/>
      <c r="M226" s="73"/>
      <c r="N226" s="73"/>
      <c r="O226" s="75">
        <f>SUM(TABELA25[[#This Row],[T1]:[T7]])</f>
        <v>0</v>
      </c>
      <c r="P226" s="76">
        <f>TABELA25[[#This Row],[PREÇO]]*TABELA25[[#This Row],[QTDE]]</f>
        <v>0</v>
      </c>
    </row>
    <row r="227" spans="1:16" x14ac:dyDescent="0.2">
      <c r="A227" s="70" t="s">
        <v>1527</v>
      </c>
      <c r="B227" s="71" t="s">
        <v>1521</v>
      </c>
      <c r="C227" s="72" t="s">
        <v>1523</v>
      </c>
      <c r="D227" s="73" t="s">
        <v>1525</v>
      </c>
      <c r="E227" s="72" t="s">
        <v>1526</v>
      </c>
      <c r="F227" s="74">
        <v>239.6</v>
      </c>
      <c r="G227" s="73" t="s">
        <v>2320</v>
      </c>
      <c r="H227" s="73"/>
      <c r="I227" s="73"/>
      <c r="J227" s="73"/>
      <c r="K227" s="73"/>
      <c r="L227" s="73"/>
      <c r="M227" s="73"/>
      <c r="N227" s="73"/>
      <c r="O227" s="75">
        <f>SUM(TABELA25[[#This Row],[T1]:[T7]])</f>
        <v>0</v>
      </c>
      <c r="P227" s="76">
        <f>TABELA25[[#This Row],[PREÇO]]*TABELA25[[#This Row],[QTDE]]</f>
        <v>0</v>
      </c>
    </row>
    <row r="228" spans="1:16" x14ac:dyDescent="0.2">
      <c r="A228" s="70" t="s">
        <v>1530</v>
      </c>
      <c r="B228" s="71" t="s">
        <v>1528</v>
      </c>
      <c r="C228" s="72" t="s">
        <v>1529</v>
      </c>
      <c r="D228" s="73" t="s">
        <v>1317</v>
      </c>
      <c r="E228" s="72" t="s">
        <v>1319</v>
      </c>
      <c r="F228" s="74">
        <v>379.6</v>
      </c>
      <c r="G228" s="73" t="s">
        <v>829</v>
      </c>
      <c r="H228" s="73"/>
      <c r="I228" s="73"/>
      <c r="J228" s="73"/>
      <c r="K228" s="73"/>
      <c r="L228" s="73"/>
      <c r="M228" s="73"/>
      <c r="N228" s="73"/>
      <c r="O228" s="75">
        <f>SUM(TABELA25[[#This Row],[T1]:[T7]])</f>
        <v>0</v>
      </c>
      <c r="P228" s="76">
        <f>TABELA25[[#This Row],[PREÇO]]*TABELA25[[#This Row],[QTDE]]</f>
        <v>0</v>
      </c>
    </row>
    <row r="229" spans="1:16" x14ac:dyDescent="0.2">
      <c r="A229" s="70" t="s">
        <v>1533</v>
      </c>
      <c r="B229" s="71" t="s">
        <v>1531</v>
      </c>
      <c r="C229" s="72" t="s">
        <v>1532</v>
      </c>
      <c r="D229" s="73" t="s">
        <v>895</v>
      </c>
      <c r="E229" s="72" t="s">
        <v>896</v>
      </c>
      <c r="F229" s="74">
        <v>439.6</v>
      </c>
      <c r="G229" s="73" t="s">
        <v>829</v>
      </c>
      <c r="H229" s="73"/>
      <c r="I229" s="73"/>
      <c r="J229" s="73"/>
      <c r="K229" s="73"/>
      <c r="L229" s="73"/>
      <c r="M229" s="73"/>
      <c r="N229" s="73"/>
      <c r="O229" s="75">
        <f>SUM(TABELA25[[#This Row],[T1]:[T7]])</f>
        <v>0</v>
      </c>
      <c r="P229" s="76">
        <f>TABELA25[[#This Row],[PREÇO]]*TABELA25[[#This Row],[QTDE]]</f>
        <v>0</v>
      </c>
    </row>
    <row r="230" spans="1:16" x14ac:dyDescent="0.2">
      <c r="A230" s="70" t="s">
        <v>1537</v>
      </c>
      <c r="B230" s="71" t="s">
        <v>1534</v>
      </c>
      <c r="C230" s="72" t="s">
        <v>1535</v>
      </c>
      <c r="D230" s="73" t="s">
        <v>1024</v>
      </c>
      <c r="E230" s="72" t="s">
        <v>1536</v>
      </c>
      <c r="F230" s="74">
        <v>391.6</v>
      </c>
      <c r="G230" s="73" t="s">
        <v>2319</v>
      </c>
      <c r="H230" s="73"/>
      <c r="I230" s="73"/>
      <c r="J230" s="73"/>
      <c r="K230" s="73"/>
      <c r="L230" s="73"/>
      <c r="M230" s="73"/>
      <c r="N230" s="73"/>
      <c r="O230" s="75">
        <f>SUM(TABELA25[[#This Row],[T1]:[T7]])</f>
        <v>0</v>
      </c>
      <c r="P230" s="76">
        <f>TABELA25[[#This Row],[PREÇO]]*TABELA25[[#This Row],[QTDE]]</f>
        <v>0</v>
      </c>
    </row>
    <row r="231" spans="1:16" x14ac:dyDescent="0.2">
      <c r="A231" s="70" t="s">
        <v>1540</v>
      </c>
      <c r="B231" s="71" t="s">
        <v>1538</v>
      </c>
      <c r="C231" s="72" t="s">
        <v>1539</v>
      </c>
      <c r="D231" s="73" t="s">
        <v>823</v>
      </c>
      <c r="E231" s="72" t="s">
        <v>820</v>
      </c>
      <c r="F231" s="74">
        <v>147.6</v>
      </c>
      <c r="G231" s="73" t="s">
        <v>828</v>
      </c>
      <c r="H231" s="73"/>
      <c r="I231" s="73"/>
      <c r="J231" s="73"/>
      <c r="K231" s="73"/>
      <c r="L231" s="73"/>
      <c r="M231" s="73"/>
      <c r="N231" s="73"/>
      <c r="O231" s="75">
        <f>SUM(TABELA25[[#This Row],[T1]:[T7]])</f>
        <v>0</v>
      </c>
      <c r="P231" s="76">
        <f>TABELA25[[#This Row],[PREÇO]]*TABELA25[[#This Row],[QTDE]]</f>
        <v>0</v>
      </c>
    </row>
    <row r="232" spans="1:16" x14ac:dyDescent="0.2">
      <c r="A232" s="70" t="s">
        <v>1543</v>
      </c>
      <c r="B232" s="71" t="s">
        <v>1541</v>
      </c>
      <c r="C232" s="72" t="s">
        <v>1542</v>
      </c>
      <c r="D232" s="73" t="s">
        <v>823</v>
      </c>
      <c r="E232" s="72" t="s">
        <v>820</v>
      </c>
      <c r="F232" s="74">
        <v>159.6</v>
      </c>
      <c r="G232" s="73" t="s">
        <v>828</v>
      </c>
      <c r="H232" s="73"/>
      <c r="I232" s="73"/>
      <c r="J232" s="73"/>
      <c r="K232" s="73"/>
      <c r="L232" s="73"/>
      <c r="M232" s="73"/>
      <c r="N232" s="73"/>
      <c r="O232" s="75">
        <f>SUM(TABELA25[[#This Row],[T1]:[T7]])</f>
        <v>0</v>
      </c>
      <c r="P232" s="76">
        <f>TABELA25[[#This Row],[PREÇO]]*TABELA25[[#This Row],[QTDE]]</f>
        <v>0</v>
      </c>
    </row>
    <row r="233" spans="1:16" x14ac:dyDescent="0.2">
      <c r="A233" s="70" t="s">
        <v>1546</v>
      </c>
      <c r="B233" s="71" t="s">
        <v>1544</v>
      </c>
      <c r="C233" s="72" t="s">
        <v>1545</v>
      </c>
      <c r="D233" s="73" t="s">
        <v>823</v>
      </c>
      <c r="E233" s="72" t="s">
        <v>820</v>
      </c>
      <c r="F233" s="74">
        <v>147.6</v>
      </c>
      <c r="G233" s="73" t="s">
        <v>828</v>
      </c>
      <c r="H233" s="73"/>
      <c r="I233" s="73"/>
      <c r="J233" s="73"/>
      <c r="K233" s="73"/>
      <c r="L233" s="73"/>
      <c r="M233" s="73"/>
      <c r="N233" s="73"/>
      <c r="O233" s="75">
        <f>SUM(TABELA25[[#This Row],[T1]:[T7]])</f>
        <v>0</v>
      </c>
      <c r="P233" s="76">
        <f>TABELA25[[#This Row],[PREÇO]]*TABELA25[[#This Row],[QTDE]]</f>
        <v>0</v>
      </c>
    </row>
    <row r="234" spans="1:16" x14ac:dyDescent="0.2">
      <c r="A234" s="70" t="s">
        <v>1549</v>
      </c>
      <c r="B234" s="71" t="s">
        <v>1547</v>
      </c>
      <c r="C234" s="72" t="s">
        <v>1548</v>
      </c>
      <c r="D234" s="73" t="s">
        <v>1364</v>
      </c>
      <c r="E234" s="72" t="s">
        <v>1366</v>
      </c>
      <c r="F234" s="74">
        <v>147.6</v>
      </c>
      <c r="G234" s="73" t="s">
        <v>828</v>
      </c>
      <c r="H234" s="73"/>
      <c r="I234" s="73"/>
      <c r="J234" s="73"/>
      <c r="K234" s="73"/>
      <c r="L234" s="73"/>
      <c r="M234" s="73"/>
      <c r="N234" s="73"/>
      <c r="O234" s="75">
        <f>SUM(TABELA25[[#This Row],[T1]:[T7]])</f>
        <v>0</v>
      </c>
      <c r="P234" s="76">
        <f>TABELA25[[#This Row],[PREÇO]]*TABELA25[[#This Row],[QTDE]]</f>
        <v>0</v>
      </c>
    </row>
    <row r="235" spans="1:16" x14ac:dyDescent="0.2">
      <c r="A235" s="70" t="s">
        <v>1552</v>
      </c>
      <c r="B235" s="71" t="s">
        <v>1550</v>
      </c>
      <c r="C235" s="72" t="s">
        <v>1551</v>
      </c>
      <c r="D235" s="73" t="s">
        <v>823</v>
      </c>
      <c r="E235" s="72" t="s">
        <v>820</v>
      </c>
      <c r="F235" s="74">
        <v>147.6</v>
      </c>
      <c r="G235" s="73" t="s">
        <v>828</v>
      </c>
      <c r="H235" s="73"/>
      <c r="I235" s="73"/>
      <c r="J235" s="73"/>
      <c r="K235" s="73"/>
      <c r="L235" s="73"/>
      <c r="M235" s="73"/>
      <c r="N235" s="73"/>
      <c r="O235" s="75">
        <f>SUM(TABELA25[[#This Row],[T1]:[T7]])</f>
        <v>0</v>
      </c>
      <c r="P235" s="76">
        <f>TABELA25[[#This Row],[PREÇO]]*TABELA25[[#This Row],[QTDE]]</f>
        <v>0</v>
      </c>
    </row>
    <row r="236" spans="1:16" x14ac:dyDescent="0.2">
      <c r="A236" s="70" t="s">
        <v>1555</v>
      </c>
      <c r="B236" s="71" t="s">
        <v>1553</v>
      </c>
      <c r="C236" s="72" t="s">
        <v>1554</v>
      </c>
      <c r="D236" s="73" t="s">
        <v>938</v>
      </c>
      <c r="E236" s="72" t="s">
        <v>940</v>
      </c>
      <c r="F236" s="74">
        <v>119.6</v>
      </c>
      <c r="G236" s="73" t="s">
        <v>828</v>
      </c>
      <c r="H236" s="73"/>
      <c r="I236" s="73"/>
      <c r="J236" s="73"/>
      <c r="K236" s="73"/>
      <c r="L236" s="73"/>
      <c r="M236" s="73"/>
      <c r="N236" s="73"/>
      <c r="O236" s="75">
        <f>SUM(TABELA25[[#This Row],[T1]:[T7]])</f>
        <v>0</v>
      </c>
      <c r="P236" s="76">
        <f>TABELA25[[#This Row],[PREÇO]]*TABELA25[[#This Row],[QTDE]]</f>
        <v>0</v>
      </c>
    </row>
    <row r="237" spans="1:16" x14ac:dyDescent="0.2">
      <c r="A237" s="70" t="s">
        <v>1562</v>
      </c>
      <c r="B237" s="71" t="s">
        <v>1560</v>
      </c>
      <c r="C237" s="72" t="s">
        <v>1561</v>
      </c>
      <c r="D237" s="73" t="s">
        <v>1184</v>
      </c>
      <c r="E237" s="72" t="s">
        <v>1469</v>
      </c>
      <c r="F237" s="74">
        <v>139.6</v>
      </c>
      <c r="G237" s="73" t="s">
        <v>829</v>
      </c>
      <c r="H237" s="73"/>
      <c r="I237" s="73"/>
      <c r="J237" s="73"/>
      <c r="K237" s="73"/>
      <c r="L237" s="73"/>
      <c r="M237" s="73"/>
      <c r="N237" s="73"/>
      <c r="O237" s="75">
        <f>SUM(TABELA25[[#This Row],[T1]:[T7]])</f>
        <v>0</v>
      </c>
      <c r="P237" s="76">
        <f>TABELA25[[#This Row],[PREÇO]]*TABELA25[[#This Row],[QTDE]]</f>
        <v>0</v>
      </c>
    </row>
    <row r="238" spans="1:16" x14ac:dyDescent="0.2">
      <c r="A238" s="70" t="s">
        <v>1565</v>
      </c>
      <c r="B238" s="71" t="s">
        <v>1563</v>
      </c>
      <c r="C238" s="72" t="s">
        <v>1564</v>
      </c>
      <c r="D238" s="73" t="s">
        <v>1263</v>
      </c>
      <c r="E238" s="72" t="s">
        <v>1265</v>
      </c>
      <c r="F238" s="74">
        <v>199.6</v>
      </c>
      <c r="G238" s="73" t="s">
        <v>829</v>
      </c>
      <c r="H238" s="73"/>
      <c r="I238" s="73"/>
      <c r="J238" s="73"/>
      <c r="K238" s="73"/>
      <c r="L238" s="73"/>
      <c r="M238" s="73"/>
      <c r="N238" s="73"/>
      <c r="O238" s="75">
        <f>SUM(TABELA25[[#This Row],[T1]:[T7]])</f>
        <v>0</v>
      </c>
      <c r="P238" s="76">
        <f>TABELA25[[#This Row],[PREÇO]]*TABELA25[[#This Row],[QTDE]]</f>
        <v>0</v>
      </c>
    </row>
    <row r="239" spans="1:16" x14ac:dyDescent="0.2">
      <c r="A239" s="70" t="s">
        <v>1566</v>
      </c>
      <c r="B239" s="71" t="s">
        <v>1567</v>
      </c>
      <c r="C239" s="72" t="s">
        <v>1568</v>
      </c>
      <c r="D239" s="73" t="s">
        <v>938</v>
      </c>
      <c r="E239" s="72" t="s">
        <v>940</v>
      </c>
      <c r="F239" s="74">
        <v>199.6</v>
      </c>
      <c r="G239" s="73" t="s">
        <v>826</v>
      </c>
      <c r="H239" s="73"/>
      <c r="I239" s="73"/>
      <c r="J239" s="73"/>
      <c r="K239" s="73"/>
      <c r="L239" s="73"/>
      <c r="M239" s="73"/>
      <c r="N239" s="73"/>
      <c r="O239" s="75">
        <f>SUM(TABELA25[[#This Row],[T1]:[T7]])</f>
        <v>0</v>
      </c>
      <c r="P239" s="76">
        <f>TABELA25[[#This Row],[PREÇO]]*TABELA25[[#This Row],[QTDE]]</f>
        <v>0</v>
      </c>
    </row>
    <row r="240" spans="1:16" x14ac:dyDescent="0.2">
      <c r="A240" s="70" t="s">
        <v>1572</v>
      </c>
      <c r="B240" s="71" t="s">
        <v>1569</v>
      </c>
      <c r="C240" s="72" t="s">
        <v>1570</v>
      </c>
      <c r="D240" s="73" t="s">
        <v>821</v>
      </c>
      <c r="E240" s="72" t="s">
        <v>822</v>
      </c>
      <c r="F240" s="74">
        <v>171.6</v>
      </c>
      <c r="G240" s="73" t="s">
        <v>826</v>
      </c>
      <c r="H240" s="73"/>
      <c r="I240" s="73"/>
      <c r="J240" s="73"/>
      <c r="K240" s="73"/>
      <c r="L240" s="73"/>
      <c r="M240" s="73"/>
      <c r="N240" s="73"/>
      <c r="O240" s="75">
        <f>SUM(TABELA25[[#This Row],[T1]:[T7]])</f>
        <v>0</v>
      </c>
      <c r="P240" s="76">
        <f>TABELA25[[#This Row],[PREÇO]]*TABELA25[[#This Row],[QTDE]]</f>
        <v>0</v>
      </c>
    </row>
    <row r="241" spans="1:16" x14ac:dyDescent="0.2">
      <c r="A241" s="70" t="s">
        <v>1575</v>
      </c>
      <c r="B241" s="71" t="s">
        <v>1573</v>
      </c>
      <c r="C241" s="72" t="s">
        <v>1574</v>
      </c>
      <c r="D241" s="73" t="s">
        <v>821</v>
      </c>
      <c r="E241" s="72" t="s">
        <v>822</v>
      </c>
      <c r="F241" s="74">
        <v>119.6</v>
      </c>
      <c r="G241" s="73" t="s">
        <v>828</v>
      </c>
      <c r="H241" s="73"/>
      <c r="I241" s="73"/>
      <c r="J241" s="73"/>
      <c r="K241" s="73"/>
      <c r="L241" s="73"/>
      <c r="M241" s="73"/>
      <c r="N241" s="73"/>
      <c r="O241" s="75">
        <f>SUM(TABELA25[[#This Row],[T1]:[T7]])</f>
        <v>0</v>
      </c>
      <c r="P241" s="76">
        <f>TABELA25[[#This Row],[PREÇO]]*TABELA25[[#This Row],[QTDE]]</f>
        <v>0</v>
      </c>
    </row>
    <row r="242" spans="1:16" x14ac:dyDescent="0.2">
      <c r="A242" s="70" t="s">
        <v>1578</v>
      </c>
      <c r="B242" s="71" t="s">
        <v>1576</v>
      </c>
      <c r="C242" s="72" t="s">
        <v>1577</v>
      </c>
      <c r="D242" s="73" t="s">
        <v>1024</v>
      </c>
      <c r="E242" s="72" t="s">
        <v>1037</v>
      </c>
      <c r="F242" s="74">
        <v>199.6</v>
      </c>
      <c r="G242" s="73" t="s">
        <v>829</v>
      </c>
      <c r="H242" s="73"/>
      <c r="I242" s="73"/>
      <c r="J242" s="73"/>
      <c r="K242" s="73"/>
      <c r="L242" s="73"/>
      <c r="M242" s="73"/>
      <c r="N242" s="73"/>
      <c r="O242" s="75">
        <f>SUM(TABELA25[[#This Row],[T1]:[T7]])</f>
        <v>0</v>
      </c>
      <c r="P242" s="76">
        <f>TABELA25[[#This Row],[PREÇO]]*TABELA25[[#This Row],[QTDE]]</f>
        <v>0</v>
      </c>
    </row>
    <row r="243" spans="1:16" x14ac:dyDescent="0.2">
      <c r="A243" s="70" t="s">
        <v>1581</v>
      </c>
      <c r="B243" s="71" t="s">
        <v>1579</v>
      </c>
      <c r="C243" s="72" t="s">
        <v>1580</v>
      </c>
      <c r="D243" s="73" t="s">
        <v>823</v>
      </c>
      <c r="E243" s="72" t="s">
        <v>820</v>
      </c>
      <c r="F243" s="74">
        <v>119.6</v>
      </c>
      <c r="G243" s="73" t="s">
        <v>828</v>
      </c>
      <c r="H243" s="73"/>
      <c r="I243" s="73"/>
      <c r="J243" s="73"/>
      <c r="K243" s="73"/>
      <c r="L243" s="73"/>
      <c r="M243" s="73"/>
      <c r="N243" s="73"/>
      <c r="O243" s="75">
        <f>SUM(TABELA25[[#This Row],[T1]:[T7]])</f>
        <v>0</v>
      </c>
      <c r="P243" s="76">
        <f>TABELA25[[#This Row],[PREÇO]]*TABELA25[[#This Row],[QTDE]]</f>
        <v>0</v>
      </c>
    </row>
    <row r="244" spans="1:16" x14ac:dyDescent="0.2">
      <c r="A244" s="70" t="s">
        <v>1584</v>
      </c>
      <c r="B244" s="71" t="s">
        <v>1582</v>
      </c>
      <c r="C244" s="72" t="s">
        <v>1583</v>
      </c>
      <c r="D244" s="73" t="s">
        <v>823</v>
      </c>
      <c r="E244" s="72" t="s">
        <v>820</v>
      </c>
      <c r="F244" s="74">
        <v>131.6</v>
      </c>
      <c r="G244" s="73" t="s">
        <v>828</v>
      </c>
      <c r="H244" s="73"/>
      <c r="I244" s="73"/>
      <c r="J244" s="73"/>
      <c r="K244" s="73"/>
      <c r="L244" s="73"/>
      <c r="M244" s="73"/>
      <c r="N244" s="73"/>
      <c r="O244" s="75">
        <f>SUM(TABELA25[[#This Row],[T1]:[T7]])</f>
        <v>0</v>
      </c>
      <c r="P244" s="76">
        <f>TABELA25[[#This Row],[PREÇO]]*TABELA25[[#This Row],[QTDE]]</f>
        <v>0</v>
      </c>
    </row>
    <row r="245" spans="1:16" x14ac:dyDescent="0.2">
      <c r="A245" s="70" t="s">
        <v>1587</v>
      </c>
      <c r="B245" s="71" t="s">
        <v>1585</v>
      </c>
      <c r="C245" s="72" t="s">
        <v>1586</v>
      </c>
      <c r="D245" s="73" t="s">
        <v>1263</v>
      </c>
      <c r="E245" s="72" t="s">
        <v>1265</v>
      </c>
      <c r="F245" s="74">
        <v>291.60000000000002</v>
      </c>
      <c r="G245" s="73" t="s">
        <v>828</v>
      </c>
      <c r="H245" s="73"/>
      <c r="I245" s="73"/>
      <c r="J245" s="73"/>
      <c r="K245" s="73"/>
      <c r="L245" s="73"/>
      <c r="M245" s="73"/>
      <c r="N245" s="73"/>
      <c r="O245" s="75">
        <f>SUM(TABELA25[[#This Row],[T1]:[T7]])</f>
        <v>0</v>
      </c>
      <c r="P245" s="76">
        <f>TABELA25[[#This Row],[PREÇO]]*TABELA25[[#This Row],[QTDE]]</f>
        <v>0</v>
      </c>
    </row>
    <row r="246" spans="1:16" x14ac:dyDescent="0.2">
      <c r="A246" s="70" t="s">
        <v>1590</v>
      </c>
      <c r="B246" s="71" t="s">
        <v>1588</v>
      </c>
      <c r="C246" s="72" t="s">
        <v>1589</v>
      </c>
      <c r="D246" s="73" t="s">
        <v>32</v>
      </c>
      <c r="E246" s="72" t="s">
        <v>33</v>
      </c>
      <c r="F246" s="74">
        <v>359.6</v>
      </c>
      <c r="G246" s="73" t="s">
        <v>828</v>
      </c>
      <c r="H246" s="73"/>
      <c r="I246" s="73"/>
      <c r="J246" s="73"/>
      <c r="K246" s="73"/>
      <c r="L246" s="73"/>
      <c r="M246" s="73"/>
      <c r="N246" s="73"/>
      <c r="O246" s="75">
        <f>SUM(TABELA25[[#This Row],[T1]:[T7]])</f>
        <v>0</v>
      </c>
      <c r="P246" s="76">
        <f>TABELA25[[#This Row],[PREÇO]]*TABELA25[[#This Row],[QTDE]]</f>
        <v>0</v>
      </c>
    </row>
    <row r="247" spans="1:16" x14ac:dyDescent="0.2">
      <c r="A247" s="70" t="s">
        <v>1591</v>
      </c>
      <c r="B247" s="71" t="s">
        <v>1592</v>
      </c>
      <c r="C247" s="72" t="s">
        <v>1593</v>
      </c>
      <c r="D247" s="73" t="s">
        <v>895</v>
      </c>
      <c r="E247" s="72" t="s">
        <v>896</v>
      </c>
      <c r="F247" s="74">
        <v>131.6</v>
      </c>
      <c r="G247" s="73" t="s">
        <v>826</v>
      </c>
      <c r="H247" s="73"/>
      <c r="I247" s="73"/>
      <c r="J247" s="73"/>
      <c r="K247" s="73"/>
      <c r="L247" s="73"/>
      <c r="M247" s="73"/>
      <c r="N247" s="73"/>
      <c r="O247" s="75">
        <f>SUM(TABELA25[[#This Row],[T1]:[T7]])</f>
        <v>0</v>
      </c>
      <c r="P247" s="76">
        <f>TABELA25[[#This Row],[PREÇO]]*TABELA25[[#This Row],[QTDE]]</f>
        <v>0</v>
      </c>
    </row>
    <row r="248" spans="1:16" x14ac:dyDescent="0.2">
      <c r="A248" s="70" t="s">
        <v>1596</v>
      </c>
      <c r="B248" s="71" t="s">
        <v>1594</v>
      </c>
      <c r="C248" s="72" t="s">
        <v>1595</v>
      </c>
      <c r="D248" s="73" t="s">
        <v>32</v>
      </c>
      <c r="E248" s="72" t="s">
        <v>33</v>
      </c>
      <c r="F248" s="74">
        <v>395.6</v>
      </c>
      <c r="G248" s="73" t="s">
        <v>828</v>
      </c>
      <c r="H248" s="73"/>
      <c r="I248" s="73"/>
      <c r="J248" s="73"/>
      <c r="K248" s="73"/>
      <c r="L248" s="73"/>
      <c r="M248" s="73"/>
      <c r="N248" s="73"/>
      <c r="O248" s="75">
        <f>SUM(TABELA25[[#This Row],[T1]:[T7]])</f>
        <v>0</v>
      </c>
      <c r="P248" s="76">
        <f>TABELA25[[#This Row],[PREÇO]]*TABELA25[[#This Row],[QTDE]]</f>
        <v>0</v>
      </c>
    </row>
    <row r="249" spans="1:16" x14ac:dyDescent="0.2">
      <c r="A249" s="70" t="s">
        <v>1598</v>
      </c>
      <c r="B249" s="71" t="s">
        <v>1597</v>
      </c>
      <c r="C249" s="72" t="s">
        <v>2313</v>
      </c>
      <c r="D249" s="73" t="s">
        <v>1024</v>
      </c>
      <c r="E249" s="72" t="s">
        <v>1037</v>
      </c>
      <c r="F249" s="74">
        <v>339.6</v>
      </c>
      <c r="G249" s="73" t="s">
        <v>828</v>
      </c>
      <c r="H249" s="73"/>
      <c r="I249" s="73"/>
      <c r="J249" s="73"/>
      <c r="K249" s="73"/>
      <c r="L249" s="73"/>
      <c r="M249" s="73"/>
      <c r="N249" s="73"/>
      <c r="O249" s="75">
        <f>SUM(TABELA25[[#This Row],[T1]:[T7]])</f>
        <v>0</v>
      </c>
      <c r="P249" s="76">
        <f>TABELA25[[#This Row],[PREÇO]]*TABELA25[[#This Row],[QTDE]]</f>
        <v>0</v>
      </c>
    </row>
    <row r="250" spans="1:16" x14ac:dyDescent="0.2">
      <c r="A250" s="70" t="s">
        <v>1599</v>
      </c>
      <c r="B250" s="71" t="s">
        <v>1600</v>
      </c>
      <c r="C250" s="72" t="s">
        <v>818</v>
      </c>
      <c r="D250" s="73" t="s">
        <v>32</v>
      </c>
      <c r="E250" s="72" t="s">
        <v>33</v>
      </c>
      <c r="F250" s="74">
        <v>147.6</v>
      </c>
      <c r="G250" s="73" t="s">
        <v>826</v>
      </c>
      <c r="H250" s="73"/>
      <c r="I250" s="73"/>
      <c r="J250" s="73"/>
      <c r="K250" s="73"/>
      <c r="L250" s="73"/>
      <c r="M250" s="73"/>
      <c r="N250" s="73"/>
      <c r="O250" s="75">
        <f>SUM(TABELA25[[#This Row],[T1]:[T7]])</f>
        <v>0</v>
      </c>
      <c r="P250" s="76">
        <f>TABELA25[[#This Row],[PREÇO]]*TABELA25[[#This Row],[QTDE]]</f>
        <v>0</v>
      </c>
    </row>
    <row r="251" spans="1:16" x14ac:dyDescent="0.2">
      <c r="A251" s="70" t="s">
        <v>1601</v>
      </c>
      <c r="B251" s="71" t="s">
        <v>1602</v>
      </c>
      <c r="C251" s="72" t="s">
        <v>1603</v>
      </c>
      <c r="D251" s="73" t="s">
        <v>32</v>
      </c>
      <c r="E251" s="72" t="s">
        <v>33</v>
      </c>
      <c r="F251" s="74">
        <v>255.6</v>
      </c>
      <c r="G251" s="73" t="s">
        <v>826</v>
      </c>
      <c r="H251" s="73"/>
      <c r="I251" s="73"/>
      <c r="J251" s="73"/>
      <c r="K251" s="73"/>
      <c r="L251" s="73"/>
      <c r="M251" s="73"/>
      <c r="N251" s="73"/>
      <c r="O251" s="75">
        <f>SUM(TABELA25[[#This Row],[T1]:[T7]])</f>
        <v>0</v>
      </c>
      <c r="P251" s="76">
        <f>TABELA25[[#This Row],[PREÇO]]*TABELA25[[#This Row],[QTDE]]</f>
        <v>0</v>
      </c>
    </row>
    <row r="252" spans="1:16" x14ac:dyDescent="0.2">
      <c r="A252" s="70" t="s">
        <v>1605</v>
      </c>
      <c r="B252" s="71" t="s">
        <v>1606</v>
      </c>
      <c r="C252" s="72" t="s">
        <v>1607</v>
      </c>
      <c r="D252" s="73" t="s">
        <v>938</v>
      </c>
      <c r="E252" s="72" t="s">
        <v>940</v>
      </c>
      <c r="F252" s="74">
        <v>239.6</v>
      </c>
      <c r="G252" s="73" t="s">
        <v>826</v>
      </c>
      <c r="H252" s="73"/>
      <c r="I252" s="73"/>
      <c r="J252" s="73"/>
      <c r="K252" s="73"/>
      <c r="L252" s="73"/>
      <c r="M252" s="73"/>
      <c r="N252" s="73"/>
      <c r="O252" s="75">
        <f>SUM(TABELA25[[#This Row],[T1]:[T7]])</f>
        <v>0</v>
      </c>
      <c r="P252" s="76">
        <f>TABELA25[[#This Row],[PREÇO]]*TABELA25[[#This Row],[QTDE]]</f>
        <v>0</v>
      </c>
    </row>
    <row r="253" spans="1:16" x14ac:dyDescent="0.2">
      <c r="A253" s="70" t="s">
        <v>1610</v>
      </c>
      <c r="B253" s="71" t="s">
        <v>1608</v>
      </c>
      <c r="C253" s="72" t="s">
        <v>1609</v>
      </c>
      <c r="D253" s="73" t="s">
        <v>1433</v>
      </c>
      <c r="E253" s="72" t="s">
        <v>1434</v>
      </c>
      <c r="F253" s="74">
        <v>219.6</v>
      </c>
      <c r="G253" s="73" t="s">
        <v>828</v>
      </c>
      <c r="H253" s="73"/>
      <c r="I253" s="73"/>
      <c r="J253" s="73"/>
      <c r="K253" s="73"/>
      <c r="L253" s="73"/>
      <c r="M253" s="73"/>
      <c r="N253" s="73"/>
      <c r="O253" s="75">
        <f>SUM(TABELA25[[#This Row],[T1]:[T7]])</f>
        <v>0</v>
      </c>
      <c r="P253" s="76">
        <f>TABELA25[[#This Row],[PREÇO]]*TABELA25[[#This Row],[QTDE]]</f>
        <v>0</v>
      </c>
    </row>
    <row r="254" spans="1:16" x14ac:dyDescent="0.2">
      <c r="A254" s="70" t="s">
        <v>1611</v>
      </c>
      <c r="B254" s="71" t="s">
        <v>1612</v>
      </c>
      <c r="C254" s="72" t="s">
        <v>1613</v>
      </c>
      <c r="D254" s="73" t="s">
        <v>32</v>
      </c>
      <c r="E254" s="72" t="s">
        <v>33</v>
      </c>
      <c r="F254" s="74">
        <v>191.6</v>
      </c>
      <c r="G254" s="73" t="s">
        <v>826</v>
      </c>
      <c r="H254" s="73"/>
      <c r="I254" s="73"/>
      <c r="J254" s="73"/>
      <c r="K254" s="73"/>
      <c r="L254" s="73"/>
      <c r="M254" s="73"/>
      <c r="N254" s="73"/>
      <c r="O254" s="75">
        <f>SUM(TABELA25[[#This Row],[T1]:[T7]])</f>
        <v>0</v>
      </c>
      <c r="P254" s="76">
        <f>TABELA25[[#This Row],[PREÇO]]*TABELA25[[#This Row],[QTDE]]</f>
        <v>0</v>
      </c>
    </row>
    <row r="255" spans="1:16" x14ac:dyDescent="0.2">
      <c r="A255" s="70" t="s">
        <v>1614</v>
      </c>
      <c r="B255" s="71" t="s">
        <v>1612</v>
      </c>
      <c r="C255" s="72" t="s">
        <v>1613</v>
      </c>
      <c r="D255" s="73" t="s">
        <v>1184</v>
      </c>
      <c r="E255" s="72" t="s">
        <v>1469</v>
      </c>
      <c r="F255" s="74">
        <v>191.6</v>
      </c>
      <c r="G255" s="73" t="s">
        <v>826</v>
      </c>
      <c r="H255" s="73"/>
      <c r="I255" s="73"/>
      <c r="J255" s="73"/>
      <c r="K255" s="73"/>
      <c r="L255" s="73"/>
      <c r="M255" s="73"/>
      <c r="N255" s="73"/>
      <c r="O255" s="75">
        <f>SUM(TABELA25[[#This Row],[T1]:[T7]])</f>
        <v>0</v>
      </c>
      <c r="P255" s="76">
        <f>TABELA25[[#This Row],[PREÇO]]*TABELA25[[#This Row],[QTDE]]</f>
        <v>0</v>
      </c>
    </row>
    <row r="256" spans="1:16" x14ac:dyDescent="0.2">
      <c r="A256" s="70" t="s">
        <v>1617</v>
      </c>
      <c r="B256" s="71" t="s">
        <v>1615</v>
      </c>
      <c r="C256" s="72" t="s">
        <v>1616</v>
      </c>
      <c r="D256" s="73" t="s">
        <v>1433</v>
      </c>
      <c r="E256" s="72" t="s">
        <v>1434</v>
      </c>
      <c r="F256" s="74">
        <v>319.60000000000002</v>
      </c>
      <c r="G256" s="73" t="s">
        <v>826</v>
      </c>
      <c r="H256" s="73"/>
      <c r="I256" s="73"/>
      <c r="J256" s="73"/>
      <c r="K256" s="73"/>
      <c r="L256" s="73"/>
      <c r="M256" s="73"/>
      <c r="N256" s="73"/>
      <c r="O256" s="75">
        <f>SUM(TABELA25[[#This Row],[T1]:[T7]])</f>
        <v>0</v>
      </c>
      <c r="P256" s="76">
        <f>TABELA25[[#This Row],[PREÇO]]*TABELA25[[#This Row],[QTDE]]</f>
        <v>0</v>
      </c>
    </row>
    <row r="257" spans="1:16" x14ac:dyDescent="0.2">
      <c r="A257" s="70" t="s">
        <v>1618</v>
      </c>
      <c r="B257" s="71" t="s">
        <v>1619</v>
      </c>
      <c r="C257" s="72" t="s">
        <v>1620</v>
      </c>
      <c r="D257" s="73" t="s">
        <v>1184</v>
      </c>
      <c r="E257" s="72" t="s">
        <v>1469</v>
      </c>
      <c r="F257" s="74">
        <v>251.6</v>
      </c>
      <c r="G257" s="73" t="s">
        <v>826</v>
      </c>
      <c r="H257" s="73"/>
      <c r="I257" s="73"/>
      <c r="J257" s="73"/>
      <c r="K257" s="73"/>
      <c r="L257" s="73"/>
      <c r="M257" s="73"/>
      <c r="N257" s="73"/>
      <c r="O257" s="75">
        <f>SUM(TABELA25[[#This Row],[T1]:[T7]])</f>
        <v>0</v>
      </c>
      <c r="P257" s="76">
        <f>TABELA25[[#This Row],[PREÇO]]*TABELA25[[#This Row],[QTDE]]</f>
        <v>0</v>
      </c>
    </row>
    <row r="258" spans="1:16" x14ac:dyDescent="0.2">
      <c r="A258" s="70" t="s">
        <v>1623</v>
      </c>
      <c r="B258" s="71" t="s">
        <v>1621</v>
      </c>
      <c r="C258" s="72" t="s">
        <v>1622</v>
      </c>
      <c r="D258" s="73" t="s">
        <v>1448</v>
      </c>
      <c r="E258" s="72" t="s">
        <v>1450</v>
      </c>
      <c r="F258" s="74">
        <v>439.6</v>
      </c>
      <c r="G258" s="73" t="s">
        <v>829</v>
      </c>
      <c r="H258" s="73"/>
      <c r="I258" s="73"/>
      <c r="J258" s="73"/>
      <c r="K258" s="73"/>
      <c r="L258" s="73"/>
      <c r="M258" s="73"/>
      <c r="N258" s="73"/>
      <c r="O258" s="75">
        <f>SUM(TABELA25[[#This Row],[T1]:[T7]])</f>
        <v>0</v>
      </c>
      <c r="P258" s="76">
        <f>TABELA25[[#This Row],[PREÇO]]*TABELA25[[#This Row],[QTDE]]</f>
        <v>0</v>
      </c>
    </row>
    <row r="259" spans="1:16" x14ac:dyDescent="0.2">
      <c r="A259" s="70" t="s">
        <v>1626</v>
      </c>
      <c r="B259" s="71" t="s">
        <v>1624</v>
      </c>
      <c r="C259" s="72" t="s">
        <v>1625</v>
      </c>
      <c r="D259" s="73" t="s">
        <v>1417</v>
      </c>
      <c r="E259" s="72" t="s">
        <v>1419</v>
      </c>
      <c r="F259" s="74">
        <v>479.6</v>
      </c>
      <c r="G259" s="73" t="s">
        <v>829</v>
      </c>
      <c r="H259" s="73"/>
      <c r="I259" s="73"/>
      <c r="J259" s="73"/>
      <c r="K259" s="73"/>
      <c r="L259" s="73"/>
      <c r="M259" s="73"/>
      <c r="N259" s="73"/>
      <c r="O259" s="75">
        <f>SUM(TABELA25[[#This Row],[T1]:[T7]])</f>
        <v>0</v>
      </c>
      <c r="P259" s="76">
        <f>TABELA25[[#This Row],[PREÇO]]*TABELA25[[#This Row],[QTDE]]</f>
        <v>0</v>
      </c>
    </row>
    <row r="260" spans="1:16" x14ac:dyDescent="0.2">
      <c r="A260" s="70" t="s">
        <v>1627</v>
      </c>
      <c r="B260" s="71" t="s">
        <v>1628</v>
      </c>
      <c r="C260" s="72" t="s">
        <v>1629</v>
      </c>
      <c r="D260" s="73" t="s">
        <v>32</v>
      </c>
      <c r="E260" s="72" t="s">
        <v>33</v>
      </c>
      <c r="F260" s="74">
        <v>131.6</v>
      </c>
      <c r="G260" s="73" t="s">
        <v>826</v>
      </c>
      <c r="H260" s="73"/>
      <c r="I260" s="73"/>
      <c r="J260" s="73"/>
      <c r="K260" s="73"/>
      <c r="L260" s="73"/>
      <c r="M260" s="73"/>
      <c r="N260" s="73"/>
      <c r="O260" s="75">
        <f>SUM(TABELA25[[#This Row],[T1]:[T7]])</f>
        <v>0</v>
      </c>
      <c r="P260" s="76">
        <f>TABELA25[[#This Row],[PREÇO]]*TABELA25[[#This Row],[QTDE]]</f>
        <v>0</v>
      </c>
    </row>
    <row r="261" spans="1:16" x14ac:dyDescent="0.2">
      <c r="A261" s="70" t="s">
        <v>1630</v>
      </c>
      <c r="B261" s="71" t="s">
        <v>1628</v>
      </c>
      <c r="C261" s="72" t="s">
        <v>1629</v>
      </c>
      <c r="D261" s="73" t="s">
        <v>821</v>
      </c>
      <c r="E261" s="72" t="s">
        <v>822</v>
      </c>
      <c r="F261" s="74">
        <v>131.6</v>
      </c>
      <c r="G261" s="73" t="s">
        <v>826</v>
      </c>
      <c r="H261" s="73"/>
      <c r="I261" s="73"/>
      <c r="J261" s="73"/>
      <c r="K261" s="73"/>
      <c r="L261" s="73"/>
      <c r="M261" s="73"/>
      <c r="N261" s="73"/>
      <c r="O261" s="75">
        <f>SUM(TABELA25[[#This Row],[T1]:[T7]])</f>
        <v>0</v>
      </c>
      <c r="P261" s="76">
        <f>TABELA25[[#This Row],[PREÇO]]*TABELA25[[#This Row],[QTDE]]</f>
        <v>0</v>
      </c>
    </row>
    <row r="262" spans="1:16" x14ac:dyDescent="0.2">
      <c r="A262" s="70" t="s">
        <v>1631</v>
      </c>
      <c r="B262" s="71" t="s">
        <v>1632</v>
      </c>
      <c r="C262" s="72" t="s">
        <v>1633</v>
      </c>
      <c r="D262" s="73" t="s">
        <v>32</v>
      </c>
      <c r="E262" s="72" t="s">
        <v>33</v>
      </c>
      <c r="F262" s="74">
        <v>155.6</v>
      </c>
      <c r="G262" s="73" t="s">
        <v>826</v>
      </c>
      <c r="H262" s="73"/>
      <c r="I262" s="73"/>
      <c r="J262" s="73"/>
      <c r="K262" s="73"/>
      <c r="L262" s="73"/>
      <c r="M262" s="73"/>
      <c r="N262" s="73"/>
      <c r="O262" s="75">
        <f>SUM(TABELA25[[#This Row],[T1]:[T7]])</f>
        <v>0</v>
      </c>
      <c r="P262" s="76">
        <f>TABELA25[[#This Row],[PREÇO]]*TABELA25[[#This Row],[QTDE]]</f>
        <v>0</v>
      </c>
    </row>
    <row r="263" spans="1:16" x14ac:dyDescent="0.2">
      <c r="A263" s="70" t="s">
        <v>1634</v>
      </c>
      <c r="B263" s="71" t="s">
        <v>1632</v>
      </c>
      <c r="C263" s="72" t="s">
        <v>1633</v>
      </c>
      <c r="D263" s="73" t="s">
        <v>1635</v>
      </c>
      <c r="E263" s="72" t="s">
        <v>1636</v>
      </c>
      <c r="F263" s="74">
        <v>155.6</v>
      </c>
      <c r="G263" s="73" t="s">
        <v>826</v>
      </c>
      <c r="H263" s="73"/>
      <c r="I263" s="73"/>
      <c r="J263" s="73"/>
      <c r="K263" s="73"/>
      <c r="L263" s="73"/>
      <c r="M263" s="73"/>
      <c r="N263" s="73"/>
      <c r="O263" s="75">
        <f>SUM(TABELA25[[#This Row],[T1]:[T7]])</f>
        <v>0</v>
      </c>
      <c r="P263" s="76">
        <f>TABELA25[[#This Row],[PREÇO]]*TABELA25[[#This Row],[QTDE]]</f>
        <v>0</v>
      </c>
    </row>
    <row r="264" spans="1:16" x14ac:dyDescent="0.2">
      <c r="A264" s="70" t="s">
        <v>1637</v>
      </c>
      <c r="B264" s="71" t="s">
        <v>1638</v>
      </c>
      <c r="C264" s="72" t="s">
        <v>1639</v>
      </c>
      <c r="D264" s="73" t="s">
        <v>32</v>
      </c>
      <c r="E264" s="72" t="s">
        <v>33</v>
      </c>
      <c r="F264" s="74">
        <v>251.6</v>
      </c>
      <c r="G264" s="73" t="s">
        <v>826</v>
      </c>
      <c r="H264" s="73"/>
      <c r="I264" s="73"/>
      <c r="J264" s="73"/>
      <c r="K264" s="73"/>
      <c r="L264" s="73"/>
      <c r="M264" s="73"/>
      <c r="N264" s="73"/>
      <c r="O264" s="75">
        <f>SUM(TABELA25[[#This Row],[T1]:[T7]])</f>
        <v>0</v>
      </c>
      <c r="P264" s="76">
        <f>TABELA25[[#This Row],[PREÇO]]*TABELA25[[#This Row],[QTDE]]</f>
        <v>0</v>
      </c>
    </row>
    <row r="265" spans="1:16" x14ac:dyDescent="0.2">
      <c r="A265" s="70" t="s">
        <v>1640</v>
      </c>
      <c r="B265" s="71" t="s">
        <v>1638</v>
      </c>
      <c r="C265" s="72" t="s">
        <v>1639</v>
      </c>
      <c r="D265" s="73" t="s">
        <v>830</v>
      </c>
      <c r="E265" s="72" t="s">
        <v>43</v>
      </c>
      <c r="F265" s="74">
        <v>251.6</v>
      </c>
      <c r="G265" s="73" t="s">
        <v>826</v>
      </c>
      <c r="H265" s="73"/>
      <c r="I265" s="73"/>
      <c r="J265" s="73"/>
      <c r="K265" s="73"/>
      <c r="L265" s="73"/>
      <c r="M265" s="73"/>
      <c r="N265" s="73"/>
      <c r="O265" s="75">
        <f>SUM(TABELA25[[#This Row],[T1]:[T7]])</f>
        <v>0</v>
      </c>
      <c r="P265" s="76">
        <f>TABELA25[[#This Row],[PREÇO]]*TABELA25[[#This Row],[QTDE]]</f>
        <v>0</v>
      </c>
    </row>
    <row r="266" spans="1:16" x14ac:dyDescent="0.2">
      <c r="A266" s="70" t="s">
        <v>1641</v>
      </c>
      <c r="B266" s="71" t="s">
        <v>1642</v>
      </c>
      <c r="C266" s="72" t="s">
        <v>1644</v>
      </c>
      <c r="D266" s="73" t="s">
        <v>1643</v>
      </c>
      <c r="E266" s="72" t="s">
        <v>64</v>
      </c>
      <c r="F266" s="74">
        <v>151.6</v>
      </c>
      <c r="G266" s="73" t="s">
        <v>826</v>
      </c>
      <c r="H266" s="73"/>
      <c r="I266" s="73"/>
      <c r="J266" s="73"/>
      <c r="K266" s="73"/>
      <c r="L266" s="73"/>
      <c r="M266" s="73"/>
      <c r="N266" s="73"/>
      <c r="O266" s="75">
        <f>SUM(TABELA25[[#This Row],[T1]:[T7]])</f>
        <v>0</v>
      </c>
      <c r="P266" s="76">
        <f>TABELA25[[#This Row],[PREÇO]]*TABELA25[[#This Row],[QTDE]]</f>
        <v>0</v>
      </c>
    </row>
    <row r="267" spans="1:16" x14ac:dyDescent="0.2">
      <c r="A267" s="70" t="s">
        <v>1645</v>
      </c>
      <c r="B267" s="71" t="s">
        <v>1646</v>
      </c>
      <c r="C267" s="72" t="s">
        <v>1647</v>
      </c>
      <c r="D267" s="73" t="s">
        <v>1009</v>
      </c>
      <c r="E267" s="72" t="s">
        <v>1011</v>
      </c>
      <c r="F267" s="74">
        <v>263.60000000000002</v>
      </c>
      <c r="G267" s="73" t="s">
        <v>826</v>
      </c>
      <c r="H267" s="73"/>
      <c r="I267" s="73"/>
      <c r="J267" s="73"/>
      <c r="K267" s="73"/>
      <c r="L267" s="73"/>
      <c r="M267" s="73"/>
      <c r="N267" s="73"/>
      <c r="O267" s="75">
        <f>SUM(TABELA25[[#This Row],[T1]:[T7]])</f>
        <v>0</v>
      </c>
      <c r="P267" s="76">
        <f>TABELA25[[#This Row],[PREÇO]]*TABELA25[[#This Row],[QTDE]]</f>
        <v>0</v>
      </c>
    </row>
    <row r="268" spans="1:16" x14ac:dyDescent="0.2">
      <c r="A268" s="70" t="s">
        <v>1648</v>
      </c>
      <c r="B268" s="71" t="s">
        <v>1649</v>
      </c>
      <c r="C268" s="72" t="s">
        <v>1650</v>
      </c>
      <c r="D268" s="73" t="s">
        <v>32</v>
      </c>
      <c r="E268" s="72" t="s">
        <v>33</v>
      </c>
      <c r="F268" s="74">
        <v>179.6</v>
      </c>
      <c r="G268" s="73" t="s">
        <v>2321</v>
      </c>
      <c r="H268" s="73"/>
      <c r="I268" s="73"/>
      <c r="J268" s="73"/>
      <c r="K268" s="73"/>
      <c r="L268" s="73"/>
      <c r="M268" s="73"/>
      <c r="N268" s="73"/>
      <c r="O268" s="75">
        <f>SUM(TABELA25[[#This Row],[T1]:[T7]])</f>
        <v>0</v>
      </c>
      <c r="P268" s="76">
        <f>TABELA25[[#This Row],[PREÇO]]*TABELA25[[#This Row],[QTDE]]</f>
        <v>0</v>
      </c>
    </row>
    <row r="269" spans="1:16" x14ac:dyDescent="0.2">
      <c r="A269" s="70" t="s">
        <v>1651</v>
      </c>
      <c r="B269" s="71" t="s">
        <v>1649</v>
      </c>
      <c r="C269" s="72" t="s">
        <v>1650</v>
      </c>
      <c r="D269" s="73" t="s">
        <v>830</v>
      </c>
      <c r="E269" s="72" t="s">
        <v>43</v>
      </c>
      <c r="F269" s="74">
        <v>179.6</v>
      </c>
      <c r="G269" s="73" t="s">
        <v>2321</v>
      </c>
      <c r="H269" s="73"/>
      <c r="I269" s="73"/>
      <c r="J269" s="73"/>
      <c r="K269" s="73"/>
      <c r="L269" s="73"/>
      <c r="M269" s="73"/>
      <c r="N269" s="73"/>
      <c r="O269" s="75">
        <f>SUM(TABELA25[[#This Row],[T1]:[T7]])</f>
        <v>0</v>
      </c>
      <c r="P269" s="76">
        <f>TABELA25[[#This Row],[PREÇO]]*TABELA25[[#This Row],[QTDE]]</f>
        <v>0</v>
      </c>
    </row>
    <row r="270" spans="1:16" x14ac:dyDescent="0.2">
      <c r="A270" s="70" t="s">
        <v>1652</v>
      </c>
      <c r="B270" s="71" t="s">
        <v>1653</v>
      </c>
      <c r="C270" s="72" t="s">
        <v>1654</v>
      </c>
      <c r="D270" s="73" t="s">
        <v>1635</v>
      </c>
      <c r="E270" s="72" t="s">
        <v>1636</v>
      </c>
      <c r="F270" s="74">
        <v>215.6</v>
      </c>
      <c r="G270" s="73" t="s">
        <v>826</v>
      </c>
      <c r="H270" s="73"/>
      <c r="I270" s="73"/>
      <c r="J270" s="73"/>
      <c r="K270" s="73"/>
      <c r="L270" s="73"/>
      <c r="M270" s="73"/>
      <c r="N270" s="73"/>
      <c r="O270" s="75">
        <f>SUM(TABELA25[[#This Row],[T1]:[T7]])</f>
        <v>0</v>
      </c>
      <c r="P270" s="76">
        <f>TABELA25[[#This Row],[PREÇO]]*TABELA25[[#This Row],[QTDE]]</f>
        <v>0</v>
      </c>
    </row>
    <row r="271" spans="1:16" x14ac:dyDescent="0.2">
      <c r="A271" s="70" t="s">
        <v>1655</v>
      </c>
      <c r="B271" s="71" t="s">
        <v>1656</v>
      </c>
      <c r="C271" s="72" t="s">
        <v>1657</v>
      </c>
      <c r="D271" s="73" t="s">
        <v>1635</v>
      </c>
      <c r="E271" s="72" t="s">
        <v>1636</v>
      </c>
      <c r="F271" s="74">
        <v>231.6</v>
      </c>
      <c r="G271" s="73" t="s">
        <v>826</v>
      </c>
      <c r="H271" s="73"/>
      <c r="I271" s="73"/>
      <c r="J271" s="73"/>
      <c r="K271" s="73"/>
      <c r="L271" s="73"/>
      <c r="M271" s="73"/>
      <c r="N271" s="73"/>
      <c r="O271" s="75">
        <f>SUM(TABELA25[[#This Row],[T1]:[T7]])</f>
        <v>0</v>
      </c>
      <c r="P271" s="76">
        <f>TABELA25[[#This Row],[PREÇO]]*TABELA25[[#This Row],[QTDE]]</f>
        <v>0</v>
      </c>
    </row>
    <row r="272" spans="1:16" x14ac:dyDescent="0.2">
      <c r="A272" s="70" t="s">
        <v>1658</v>
      </c>
      <c r="B272" s="71" t="s">
        <v>1659</v>
      </c>
      <c r="C272" s="72" t="s">
        <v>1660</v>
      </c>
      <c r="D272" s="73" t="s">
        <v>32</v>
      </c>
      <c r="E272" s="72" t="s">
        <v>33</v>
      </c>
      <c r="F272" s="74">
        <v>267.60000000000002</v>
      </c>
      <c r="G272" s="73" t="s">
        <v>826</v>
      </c>
      <c r="H272" s="73"/>
      <c r="I272" s="73"/>
      <c r="J272" s="73"/>
      <c r="K272" s="73"/>
      <c r="L272" s="73"/>
      <c r="M272" s="73"/>
      <c r="N272" s="73"/>
      <c r="O272" s="75">
        <f>SUM(TABELA25[[#This Row],[T1]:[T7]])</f>
        <v>0</v>
      </c>
      <c r="P272" s="76">
        <f>TABELA25[[#This Row],[PREÇO]]*TABELA25[[#This Row],[QTDE]]</f>
        <v>0</v>
      </c>
    </row>
    <row r="273" spans="1:16" x14ac:dyDescent="0.2">
      <c r="A273" s="70" t="s">
        <v>1661</v>
      </c>
      <c r="B273" s="71" t="s">
        <v>1659</v>
      </c>
      <c r="C273" s="72" t="s">
        <v>1660</v>
      </c>
      <c r="D273" s="73" t="s">
        <v>1662</v>
      </c>
      <c r="E273" s="72" t="s">
        <v>1663</v>
      </c>
      <c r="F273" s="74">
        <v>267.60000000000002</v>
      </c>
      <c r="G273" s="73" t="s">
        <v>826</v>
      </c>
      <c r="H273" s="73"/>
      <c r="I273" s="73"/>
      <c r="J273" s="73"/>
      <c r="K273" s="73"/>
      <c r="L273" s="73"/>
      <c r="M273" s="73"/>
      <c r="N273" s="73"/>
      <c r="O273" s="75">
        <f>SUM(TABELA25[[#This Row],[T1]:[T7]])</f>
        <v>0</v>
      </c>
      <c r="P273" s="76">
        <f>TABELA25[[#This Row],[PREÇO]]*TABELA25[[#This Row],[QTDE]]</f>
        <v>0</v>
      </c>
    </row>
    <row r="274" spans="1:16" x14ac:dyDescent="0.2">
      <c r="A274" s="70" t="s">
        <v>1664</v>
      </c>
      <c r="B274" s="71" t="s">
        <v>1665</v>
      </c>
      <c r="C274" s="72" t="s">
        <v>1666</v>
      </c>
      <c r="D274" s="73" t="s">
        <v>1384</v>
      </c>
      <c r="E274" s="72" t="s">
        <v>1386</v>
      </c>
      <c r="F274" s="74">
        <v>295.60000000000002</v>
      </c>
      <c r="G274" s="73" t="s">
        <v>826</v>
      </c>
      <c r="H274" s="73"/>
      <c r="I274" s="73"/>
      <c r="J274" s="73"/>
      <c r="K274" s="73"/>
      <c r="L274" s="73"/>
      <c r="M274" s="73"/>
      <c r="N274" s="73"/>
      <c r="O274" s="75">
        <f>SUM(TABELA25[[#This Row],[T1]:[T7]])</f>
        <v>0</v>
      </c>
      <c r="P274" s="76">
        <f>TABELA25[[#This Row],[PREÇO]]*TABELA25[[#This Row],[QTDE]]</f>
        <v>0</v>
      </c>
    </row>
    <row r="275" spans="1:16" x14ac:dyDescent="0.2">
      <c r="A275" s="70" t="s">
        <v>1667</v>
      </c>
      <c r="B275" s="71" t="s">
        <v>1668</v>
      </c>
      <c r="C275" s="72" t="s">
        <v>1669</v>
      </c>
      <c r="D275" s="73" t="s">
        <v>1635</v>
      </c>
      <c r="E275" s="72" t="s">
        <v>1636</v>
      </c>
      <c r="F275" s="74">
        <v>175.6</v>
      </c>
      <c r="G275" s="73" t="s">
        <v>826</v>
      </c>
      <c r="H275" s="73"/>
      <c r="I275" s="73"/>
      <c r="J275" s="73"/>
      <c r="K275" s="73"/>
      <c r="L275" s="73"/>
      <c r="M275" s="73"/>
      <c r="N275" s="73"/>
      <c r="O275" s="75">
        <f>SUM(TABELA25[[#This Row],[T1]:[T7]])</f>
        <v>0</v>
      </c>
      <c r="P275" s="76">
        <f>TABELA25[[#This Row],[PREÇO]]*TABELA25[[#This Row],[QTDE]]</f>
        <v>0</v>
      </c>
    </row>
    <row r="276" spans="1:16" x14ac:dyDescent="0.2">
      <c r="A276" s="70" t="s">
        <v>1673</v>
      </c>
      <c r="B276" s="71" t="s">
        <v>1671</v>
      </c>
      <c r="C276" s="72" t="s">
        <v>1672</v>
      </c>
      <c r="D276" s="73" t="s">
        <v>830</v>
      </c>
      <c r="E276" s="72" t="s">
        <v>43</v>
      </c>
      <c r="F276" s="74">
        <v>155.6</v>
      </c>
      <c r="G276" s="73" t="s">
        <v>826</v>
      </c>
      <c r="H276" s="73"/>
      <c r="I276" s="73"/>
      <c r="J276" s="73"/>
      <c r="K276" s="73"/>
      <c r="L276" s="73"/>
      <c r="M276" s="73"/>
      <c r="N276" s="73"/>
      <c r="O276" s="75">
        <f>SUM(TABELA25[[#This Row],[T1]:[T7]])</f>
        <v>0</v>
      </c>
      <c r="P276" s="76">
        <f>TABELA25[[#This Row],[PREÇO]]*TABELA25[[#This Row],[QTDE]]</f>
        <v>0</v>
      </c>
    </row>
    <row r="277" spans="1:16" x14ac:dyDescent="0.2">
      <c r="A277" s="70" t="s">
        <v>1670</v>
      </c>
      <c r="B277" s="71" t="s">
        <v>1671</v>
      </c>
      <c r="C277" s="72" t="s">
        <v>1672</v>
      </c>
      <c r="D277" s="73" t="s">
        <v>32</v>
      </c>
      <c r="E277" s="72" t="s">
        <v>33</v>
      </c>
      <c r="F277" s="74">
        <v>155.6</v>
      </c>
      <c r="G277" s="73" t="s">
        <v>826</v>
      </c>
      <c r="H277" s="73"/>
      <c r="I277" s="73"/>
      <c r="J277" s="73"/>
      <c r="K277" s="73"/>
      <c r="L277" s="73"/>
      <c r="M277" s="73"/>
      <c r="N277" s="73"/>
      <c r="O277" s="75">
        <f>SUM(TABELA25[[#This Row],[T1]:[T7]])</f>
        <v>0</v>
      </c>
      <c r="P277" s="76">
        <f>TABELA25[[#This Row],[PREÇO]]*TABELA25[[#This Row],[QTDE]]</f>
        <v>0</v>
      </c>
    </row>
    <row r="278" spans="1:16" x14ac:dyDescent="0.2">
      <c r="A278" s="70" t="s">
        <v>1675</v>
      </c>
      <c r="B278" s="71" t="s">
        <v>1676</v>
      </c>
      <c r="C278" s="72" t="s">
        <v>1677</v>
      </c>
      <c r="D278" s="73" t="s">
        <v>1317</v>
      </c>
      <c r="E278" s="72" t="s">
        <v>1319</v>
      </c>
      <c r="F278" s="74">
        <v>199.6</v>
      </c>
      <c r="G278" s="73" t="s">
        <v>826</v>
      </c>
      <c r="H278" s="73"/>
      <c r="I278" s="73"/>
      <c r="J278" s="73"/>
      <c r="K278" s="73"/>
      <c r="L278" s="73"/>
      <c r="M278" s="73"/>
      <c r="N278" s="73"/>
      <c r="O278" s="75">
        <f>SUM(TABELA25[[#This Row],[T1]:[T7]])</f>
        <v>0</v>
      </c>
      <c r="P278" s="76">
        <f>TABELA25[[#This Row],[PREÇO]]*TABELA25[[#This Row],[QTDE]]</f>
        <v>0</v>
      </c>
    </row>
    <row r="279" spans="1:16" x14ac:dyDescent="0.2">
      <c r="A279" s="70" t="s">
        <v>1681</v>
      </c>
      <c r="B279" s="71" t="s">
        <v>1678</v>
      </c>
      <c r="C279" s="72" t="s">
        <v>1679</v>
      </c>
      <c r="D279" s="73" t="s">
        <v>882</v>
      </c>
      <c r="E279" s="72" t="s">
        <v>817</v>
      </c>
      <c r="F279" s="74">
        <v>179.6</v>
      </c>
      <c r="G279" s="73" t="s">
        <v>826</v>
      </c>
      <c r="H279" s="73"/>
      <c r="I279" s="73"/>
      <c r="J279" s="73"/>
      <c r="K279" s="73"/>
      <c r="L279" s="73"/>
      <c r="M279" s="73"/>
      <c r="N279" s="73"/>
      <c r="O279" s="75">
        <f>SUM(TABELA25[[#This Row],[T1]:[T7]])</f>
        <v>0</v>
      </c>
      <c r="P279" s="76">
        <f>TABELA25[[#This Row],[PREÇO]]*TABELA25[[#This Row],[QTDE]]</f>
        <v>0</v>
      </c>
    </row>
    <row r="280" spans="1:16" x14ac:dyDescent="0.2">
      <c r="A280" s="70" t="s">
        <v>1684</v>
      </c>
      <c r="B280" s="71" t="s">
        <v>1682</v>
      </c>
      <c r="C280" s="72" t="s">
        <v>1683</v>
      </c>
      <c r="D280" s="73" t="s">
        <v>1643</v>
      </c>
      <c r="E280" s="72" t="s">
        <v>64</v>
      </c>
      <c r="F280" s="74">
        <v>255.6</v>
      </c>
      <c r="G280" s="73" t="s">
        <v>826</v>
      </c>
      <c r="H280" s="73"/>
      <c r="I280" s="73"/>
      <c r="J280" s="73"/>
      <c r="K280" s="73"/>
      <c r="L280" s="73"/>
      <c r="M280" s="73"/>
      <c r="N280" s="73"/>
      <c r="O280" s="75">
        <f>SUM(TABELA25[[#This Row],[T1]:[T7]])</f>
        <v>0</v>
      </c>
      <c r="P280" s="76">
        <f>TABELA25[[#This Row],[PREÇO]]*TABELA25[[#This Row],[QTDE]]</f>
        <v>0</v>
      </c>
    </row>
    <row r="281" spans="1:16" x14ac:dyDescent="0.2">
      <c r="A281" s="70" t="s">
        <v>1685</v>
      </c>
      <c r="B281" s="71" t="s">
        <v>1686</v>
      </c>
      <c r="C281" s="72" t="s">
        <v>1687</v>
      </c>
      <c r="D281" s="73" t="s">
        <v>32</v>
      </c>
      <c r="E281" s="72" t="s">
        <v>33</v>
      </c>
      <c r="F281" s="74">
        <v>131.6</v>
      </c>
      <c r="G281" s="73" t="s">
        <v>826</v>
      </c>
      <c r="H281" s="73"/>
      <c r="I281" s="73"/>
      <c r="J281" s="73"/>
      <c r="K281" s="73"/>
      <c r="L281" s="73"/>
      <c r="M281" s="73"/>
      <c r="N281" s="73"/>
      <c r="O281" s="75">
        <f>SUM(TABELA25[[#This Row],[T1]:[T7]])</f>
        <v>0</v>
      </c>
      <c r="P281" s="76">
        <f>TABELA25[[#This Row],[PREÇO]]*TABELA25[[#This Row],[QTDE]]</f>
        <v>0</v>
      </c>
    </row>
    <row r="282" spans="1:16" x14ac:dyDescent="0.2">
      <c r="A282" s="70" t="s">
        <v>1690</v>
      </c>
      <c r="B282" s="71" t="s">
        <v>1691</v>
      </c>
      <c r="C282" s="72" t="s">
        <v>1692</v>
      </c>
      <c r="D282" s="73" t="s">
        <v>1371</v>
      </c>
      <c r="E282" s="72" t="s">
        <v>1373</v>
      </c>
      <c r="F282" s="74">
        <v>219.6</v>
      </c>
      <c r="G282" s="73" t="s">
        <v>826</v>
      </c>
      <c r="H282" s="73"/>
      <c r="I282" s="73"/>
      <c r="J282" s="73"/>
      <c r="K282" s="73"/>
      <c r="L282" s="73"/>
      <c r="M282" s="73"/>
      <c r="N282" s="73"/>
      <c r="O282" s="75">
        <f>SUM(TABELA25[[#This Row],[T1]:[T7]])</f>
        <v>0</v>
      </c>
      <c r="P282" s="76">
        <f>TABELA25[[#This Row],[PREÇO]]*TABELA25[[#This Row],[QTDE]]</f>
        <v>0</v>
      </c>
    </row>
    <row r="283" spans="1:16" x14ac:dyDescent="0.2">
      <c r="A283" s="70" t="s">
        <v>1695</v>
      </c>
      <c r="B283" s="71" t="s">
        <v>1693</v>
      </c>
      <c r="C283" s="72" t="s">
        <v>1694</v>
      </c>
      <c r="D283" s="73" t="s">
        <v>1662</v>
      </c>
      <c r="E283" s="72" t="s">
        <v>1663</v>
      </c>
      <c r="F283" s="74">
        <v>223.6</v>
      </c>
      <c r="G283" s="73" t="s">
        <v>19</v>
      </c>
      <c r="H283" s="73"/>
      <c r="I283" s="73"/>
      <c r="J283" s="73"/>
      <c r="K283" s="73"/>
      <c r="L283" s="73"/>
      <c r="M283" s="73"/>
      <c r="N283" s="73"/>
      <c r="O283" s="75">
        <f>SUM(TABELA25[[#This Row],[T1]:[T7]])</f>
        <v>0</v>
      </c>
      <c r="P283" s="76">
        <f>TABELA25[[#This Row],[PREÇO]]*TABELA25[[#This Row],[QTDE]]</f>
        <v>0</v>
      </c>
    </row>
    <row r="284" spans="1:16" x14ac:dyDescent="0.2">
      <c r="A284" s="70" t="s">
        <v>1697</v>
      </c>
      <c r="B284" s="71" t="s">
        <v>1693</v>
      </c>
      <c r="C284" s="72" t="s">
        <v>1694</v>
      </c>
      <c r="D284" s="73" t="s">
        <v>1696</v>
      </c>
      <c r="E284" s="72" t="s">
        <v>73</v>
      </c>
      <c r="F284" s="74">
        <v>223.6</v>
      </c>
      <c r="G284" s="73" t="s">
        <v>19</v>
      </c>
      <c r="H284" s="73"/>
      <c r="I284" s="73"/>
      <c r="J284" s="73"/>
      <c r="K284" s="73"/>
      <c r="L284" s="73"/>
      <c r="M284" s="73"/>
      <c r="N284" s="73"/>
      <c r="O284" s="75">
        <f>SUM(TABELA25[[#This Row],[T1]:[T7]])</f>
        <v>0</v>
      </c>
      <c r="P284" s="76">
        <f>TABELA25[[#This Row],[PREÇO]]*TABELA25[[#This Row],[QTDE]]</f>
        <v>0</v>
      </c>
    </row>
    <row r="285" spans="1:16" x14ac:dyDescent="0.2">
      <c r="A285" s="70" t="s">
        <v>1698</v>
      </c>
      <c r="B285" s="71" t="s">
        <v>1699</v>
      </c>
      <c r="C285" s="72" t="s">
        <v>1700</v>
      </c>
      <c r="D285" s="73" t="s">
        <v>32</v>
      </c>
      <c r="E285" s="72" t="s">
        <v>33</v>
      </c>
      <c r="F285" s="74">
        <v>151.6</v>
      </c>
      <c r="G285" s="73" t="s">
        <v>826</v>
      </c>
      <c r="H285" s="73"/>
      <c r="I285" s="73"/>
      <c r="J285" s="73"/>
      <c r="K285" s="73"/>
      <c r="L285" s="73"/>
      <c r="M285" s="73"/>
      <c r="N285" s="73"/>
      <c r="O285" s="75">
        <f>SUM(TABELA25[[#This Row],[T1]:[T7]])</f>
        <v>0</v>
      </c>
      <c r="P285" s="76">
        <f>TABELA25[[#This Row],[PREÇO]]*TABELA25[[#This Row],[QTDE]]</f>
        <v>0</v>
      </c>
    </row>
    <row r="286" spans="1:16" x14ac:dyDescent="0.2">
      <c r="A286" s="70" t="s">
        <v>1701</v>
      </c>
      <c r="B286" s="71" t="s">
        <v>1702</v>
      </c>
      <c r="C286" s="72" t="s">
        <v>1703</v>
      </c>
      <c r="D286" s="73" t="s">
        <v>32</v>
      </c>
      <c r="E286" s="72" t="s">
        <v>33</v>
      </c>
      <c r="F286" s="74">
        <v>171.6</v>
      </c>
      <c r="G286" s="73" t="s">
        <v>826</v>
      </c>
      <c r="H286" s="73"/>
      <c r="I286" s="73"/>
      <c r="J286" s="73"/>
      <c r="K286" s="73"/>
      <c r="L286" s="73"/>
      <c r="M286" s="73"/>
      <c r="N286" s="73"/>
      <c r="O286" s="75">
        <f>SUM(TABELA25[[#This Row],[T1]:[T7]])</f>
        <v>0</v>
      </c>
      <c r="P286" s="76">
        <f>TABELA25[[#This Row],[PREÇO]]*TABELA25[[#This Row],[QTDE]]</f>
        <v>0</v>
      </c>
    </row>
    <row r="287" spans="1:16" x14ac:dyDescent="0.2">
      <c r="A287" s="70" t="s">
        <v>1704</v>
      </c>
      <c r="B287" s="71" t="s">
        <v>1705</v>
      </c>
      <c r="C287" s="72" t="s">
        <v>1654</v>
      </c>
      <c r="D287" s="73" t="s">
        <v>1184</v>
      </c>
      <c r="E287" s="72" t="s">
        <v>2317</v>
      </c>
      <c r="F287" s="74">
        <v>215.6</v>
      </c>
      <c r="G287" s="73" t="s">
        <v>826</v>
      </c>
      <c r="H287" s="73"/>
      <c r="I287" s="73"/>
      <c r="J287" s="73"/>
      <c r="K287" s="73"/>
      <c r="L287" s="73"/>
      <c r="M287" s="73"/>
      <c r="N287" s="73"/>
      <c r="O287" s="75">
        <f>SUM(TABELA25[[#This Row],[T1]:[T7]])</f>
        <v>0</v>
      </c>
      <c r="P287" s="76">
        <f>TABELA25[[#This Row],[PREÇO]]*TABELA25[[#This Row],[QTDE]]</f>
        <v>0</v>
      </c>
    </row>
    <row r="288" spans="1:16" x14ac:dyDescent="0.2">
      <c r="A288" s="70" t="s">
        <v>1708</v>
      </c>
      <c r="B288" s="71" t="s">
        <v>1706</v>
      </c>
      <c r="C288" s="72" t="s">
        <v>1707</v>
      </c>
      <c r="D288" s="73" t="s">
        <v>1643</v>
      </c>
      <c r="E288" s="72" t="s">
        <v>64</v>
      </c>
      <c r="F288" s="74">
        <v>175.6</v>
      </c>
      <c r="G288" s="73" t="s">
        <v>826</v>
      </c>
      <c r="H288" s="73"/>
      <c r="I288" s="73"/>
      <c r="J288" s="73"/>
      <c r="K288" s="73"/>
      <c r="L288" s="73"/>
      <c r="M288" s="73"/>
      <c r="N288" s="73"/>
      <c r="O288" s="75">
        <f>SUM(TABELA25[[#This Row],[T1]:[T7]])</f>
        <v>0</v>
      </c>
      <c r="P288" s="76">
        <f>TABELA25[[#This Row],[PREÇO]]*TABELA25[[#This Row],[QTDE]]</f>
        <v>0</v>
      </c>
    </row>
    <row r="289" spans="1:16" x14ac:dyDescent="0.2">
      <c r="A289" s="70" t="s">
        <v>1711</v>
      </c>
      <c r="B289" s="71" t="s">
        <v>1709</v>
      </c>
      <c r="C289" s="72" t="s">
        <v>1710</v>
      </c>
      <c r="D289" s="73" t="s">
        <v>1364</v>
      </c>
      <c r="E289" s="72" t="s">
        <v>1366</v>
      </c>
      <c r="F289" s="74">
        <v>159.6</v>
      </c>
      <c r="G289" s="73" t="s">
        <v>828</v>
      </c>
      <c r="H289" s="73"/>
      <c r="I289" s="73"/>
      <c r="J289" s="73"/>
      <c r="K289" s="73"/>
      <c r="L289" s="73"/>
      <c r="M289" s="73"/>
      <c r="N289" s="73"/>
      <c r="O289" s="75">
        <f>SUM(TABELA25[[#This Row],[T1]:[T7]])</f>
        <v>0</v>
      </c>
      <c r="P289" s="76">
        <f>TABELA25[[#This Row],[PREÇO]]*TABELA25[[#This Row],[QTDE]]</f>
        <v>0</v>
      </c>
    </row>
    <row r="290" spans="1:16" x14ac:dyDescent="0.2">
      <c r="A290" s="70" t="s">
        <v>1714</v>
      </c>
      <c r="B290" s="71" t="s">
        <v>1712</v>
      </c>
      <c r="C290" s="72" t="s">
        <v>1713</v>
      </c>
      <c r="D290" s="73" t="s">
        <v>1364</v>
      </c>
      <c r="E290" s="72" t="s">
        <v>1366</v>
      </c>
      <c r="F290" s="74">
        <v>191.6</v>
      </c>
      <c r="G290" s="73" t="s">
        <v>828</v>
      </c>
      <c r="H290" s="73"/>
      <c r="I290" s="73"/>
      <c r="J290" s="73"/>
      <c r="K290" s="73"/>
      <c r="L290" s="73"/>
      <c r="M290" s="73"/>
      <c r="N290" s="73"/>
      <c r="O290" s="75">
        <f>SUM(TABELA25[[#This Row],[T1]:[T7]])</f>
        <v>0</v>
      </c>
      <c r="P290" s="76">
        <f>TABELA25[[#This Row],[PREÇO]]*TABELA25[[#This Row],[QTDE]]</f>
        <v>0</v>
      </c>
    </row>
    <row r="291" spans="1:16" x14ac:dyDescent="0.2">
      <c r="A291" s="70" t="s">
        <v>1717</v>
      </c>
      <c r="B291" s="71" t="s">
        <v>1715</v>
      </c>
      <c r="C291" s="72" t="s">
        <v>1716</v>
      </c>
      <c r="D291" s="73" t="s">
        <v>823</v>
      </c>
      <c r="E291" s="72" t="s">
        <v>820</v>
      </c>
      <c r="F291" s="74">
        <v>191.6</v>
      </c>
      <c r="G291" s="73" t="s">
        <v>828</v>
      </c>
      <c r="H291" s="73"/>
      <c r="I291" s="73"/>
      <c r="J291" s="73"/>
      <c r="K291" s="73"/>
      <c r="L291" s="73"/>
      <c r="M291" s="73"/>
      <c r="N291" s="73"/>
      <c r="O291" s="75">
        <f>SUM(TABELA25[[#This Row],[T1]:[T7]])</f>
        <v>0</v>
      </c>
      <c r="P291" s="76">
        <f>TABELA25[[#This Row],[PREÇO]]*TABELA25[[#This Row],[QTDE]]</f>
        <v>0</v>
      </c>
    </row>
    <row r="292" spans="1:16" x14ac:dyDescent="0.2">
      <c r="A292" s="70" t="s">
        <v>1720</v>
      </c>
      <c r="B292" s="71" t="s">
        <v>1718</v>
      </c>
      <c r="C292" s="72" t="s">
        <v>1719</v>
      </c>
      <c r="D292" s="73" t="s">
        <v>823</v>
      </c>
      <c r="E292" s="72" t="s">
        <v>820</v>
      </c>
      <c r="F292" s="74">
        <v>191.6</v>
      </c>
      <c r="G292" s="73" t="s">
        <v>828</v>
      </c>
      <c r="H292" s="73"/>
      <c r="I292" s="73"/>
      <c r="J292" s="73"/>
      <c r="K292" s="73"/>
      <c r="L292" s="73"/>
      <c r="M292" s="73"/>
      <c r="N292" s="73"/>
      <c r="O292" s="75">
        <f>SUM(TABELA25[[#This Row],[T1]:[T7]])</f>
        <v>0</v>
      </c>
      <c r="P292" s="76">
        <f>TABELA25[[#This Row],[PREÇO]]*TABELA25[[#This Row],[QTDE]]</f>
        <v>0</v>
      </c>
    </row>
    <row r="293" spans="1:16" x14ac:dyDescent="0.2">
      <c r="A293" s="70" t="s">
        <v>1721</v>
      </c>
      <c r="B293" s="71" t="s">
        <v>1722</v>
      </c>
      <c r="C293" s="72" t="s">
        <v>1723</v>
      </c>
      <c r="D293" s="73" t="s">
        <v>823</v>
      </c>
      <c r="E293" s="72" t="s">
        <v>820</v>
      </c>
      <c r="F293" s="74">
        <v>251.6</v>
      </c>
      <c r="G293" s="73" t="s">
        <v>826</v>
      </c>
      <c r="H293" s="73"/>
      <c r="I293" s="73"/>
      <c r="J293" s="73"/>
      <c r="K293" s="73"/>
      <c r="L293" s="73"/>
      <c r="M293" s="73"/>
      <c r="N293" s="73"/>
      <c r="O293" s="75">
        <f>SUM(TABELA25[[#This Row],[T1]:[T7]])</f>
        <v>0</v>
      </c>
      <c r="P293" s="76">
        <f>TABELA25[[#This Row],[PREÇO]]*TABELA25[[#This Row],[QTDE]]</f>
        <v>0</v>
      </c>
    </row>
    <row r="294" spans="1:16" x14ac:dyDescent="0.2">
      <c r="A294" s="70" t="s">
        <v>1726</v>
      </c>
      <c r="B294" s="71" t="s">
        <v>1724</v>
      </c>
      <c r="C294" s="72" t="s">
        <v>1725</v>
      </c>
      <c r="D294" s="73" t="s">
        <v>1317</v>
      </c>
      <c r="E294" s="72" t="s">
        <v>1319</v>
      </c>
      <c r="F294" s="74">
        <v>147.6</v>
      </c>
      <c r="G294" s="73" t="s">
        <v>828</v>
      </c>
      <c r="H294" s="73"/>
      <c r="I294" s="73"/>
      <c r="J294" s="73"/>
      <c r="K294" s="73"/>
      <c r="L294" s="73"/>
      <c r="M294" s="73"/>
      <c r="N294" s="73"/>
      <c r="O294" s="75">
        <f>SUM(TABELA25[[#This Row],[T1]:[T7]])</f>
        <v>0</v>
      </c>
      <c r="P294" s="76">
        <f>TABELA25[[#This Row],[PREÇO]]*TABELA25[[#This Row],[QTDE]]</f>
        <v>0</v>
      </c>
    </row>
    <row r="295" spans="1:16" x14ac:dyDescent="0.2">
      <c r="A295" s="70" t="s">
        <v>1730</v>
      </c>
      <c r="B295" s="71" t="s">
        <v>1728</v>
      </c>
      <c r="C295" s="72" t="s">
        <v>1729</v>
      </c>
      <c r="D295" s="73" t="s">
        <v>830</v>
      </c>
      <c r="E295" s="72" t="s">
        <v>43</v>
      </c>
      <c r="F295" s="74">
        <v>195.6</v>
      </c>
      <c r="G295" s="73" t="s">
        <v>826</v>
      </c>
      <c r="H295" s="73"/>
      <c r="I295" s="73"/>
      <c r="J295" s="73"/>
      <c r="K295" s="73"/>
      <c r="L295" s="73"/>
      <c r="M295" s="73"/>
      <c r="N295" s="73"/>
      <c r="O295" s="75">
        <f>SUM(TABELA25[[#This Row],[T1]:[T7]])</f>
        <v>0</v>
      </c>
      <c r="P295" s="76">
        <f>TABELA25[[#This Row],[PREÇO]]*TABELA25[[#This Row],[QTDE]]</f>
        <v>0</v>
      </c>
    </row>
    <row r="296" spans="1:16" x14ac:dyDescent="0.2">
      <c r="A296" s="70" t="s">
        <v>1727</v>
      </c>
      <c r="B296" s="71" t="s">
        <v>1728</v>
      </c>
      <c r="C296" s="72" t="s">
        <v>1729</v>
      </c>
      <c r="D296" s="73" t="s">
        <v>32</v>
      </c>
      <c r="E296" s="72" t="s">
        <v>33</v>
      </c>
      <c r="F296" s="74">
        <v>195.6</v>
      </c>
      <c r="G296" s="73" t="s">
        <v>826</v>
      </c>
      <c r="H296" s="73"/>
      <c r="I296" s="73"/>
      <c r="J296" s="73"/>
      <c r="K296" s="73"/>
      <c r="L296" s="73"/>
      <c r="M296" s="73"/>
      <c r="N296" s="73"/>
      <c r="O296" s="75">
        <f>SUM(TABELA25[[#This Row],[T1]:[T7]])</f>
        <v>0</v>
      </c>
      <c r="P296" s="76">
        <f>TABELA25[[#This Row],[PREÇO]]*TABELA25[[#This Row],[QTDE]]</f>
        <v>0</v>
      </c>
    </row>
    <row r="297" spans="1:16" x14ac:dyDescent="0.2">
      <c r="A297" s="70" t="s">
        <v>1731</v>
      </c>
      <c r="B297" s="71" t="s">
        <v>1732</v>
      </c>
      <c r="C297" s="72" t="s">
        <v>1733</v>
      </c>
      <c r="D297" s="73" t="s">
        <v>830</v>
      </c>
      <c r="E297" s="72" t="s">
        <v>43</v>
      </c>
      <c r="F297" s="74">
        <v>235.6</v>
      </c>
      <c r="G297" s="73" t="s">
        <v>826</v>
      </c>
      <c r="H297" s="73"/>
      <c r="I297" s="73"/>
      <c r="J297" s="73"/>
      <c r="K297" s="73"/>
      <c r="L297" s="73"/>
      <c r="M297" s="73"/>
      <c r="N297" s="73"/>
      <c r="O297" s="75">
        <f>SUM(TABELA25[[#This Row],[T1]:[T7]])</f>
        <v>0</v>
      </c>
      <c r="P297" s="76">
        <f>TABELA25[[#This Row],[PREÇO]]*TABELA25[[#This Row],[QTDE]]</f>
        <v>0</v>
      </c>
    </row>
    <row r="298" spans="1:16" x14ac:dyDescent="0.2">
      <c r="A298" s="70" t="s">
        <v>1734</v>
      </c>
      <c r="B298" s="71" t="s">
        <v>1732</v>
      </c>
      <c r="C298" s="72" t="s">
        <v>1733</v>
      </c>
      <c r="D298" s="73" t="s">
        <v>1635</v>
      </c>
      <c r="E298" s="72" t="s">
        <v>1636</v>
      </c>
      <c r="F298" s="74">
        <v>235.6</v>
      </c>
      <c r="G298" s="73" t="s">
        <v>826</v>
      </c>
      <c r="H298" s="73"/>
      <c r="I298" s="73"/>
      <c r="J298" s="73"/>
      <c r="K298" s="73"/>
      <c r="L298" s="73"/>
      <c r="M298" s="73"/>
      <c r="N298" s="73"/>
      <c r="O298" s="75">
        <f>SUM(TABELA25[[#This Row],[T1]:[T7]])</f>
        <v>0</v>
      </c>
      <c r="P298" s="76">
        <f>TABELA25[[#This Row],[PREÇO]]*TABELA25[[#This Row],[QTDE]]</f>
        <v>0</v>
      </c>
    </row>
    <row r="299" spans="1:16" x14ac:dyDescent="0.2">
      <c r="A299" s="70" t="s">
        <v>1737</v>
      </c>
      <c r="B299" s="71" t="s">
        <v>1735</v>
      </c>
      <c r="C299" s="72" t="s">
        <v>1736</v>
      </c>
      <c r="D299" s="73" t="s">
        <v>823</v>
      </c>
      <c r="E299" s="72" t="s">
        <v>820</v>
      </c>
      <c r="F299" s="74">
        <v>279.60000000000002</v>
      </c>
      <c r="G299" s="73" t="s">
        <v>828</v>
      </c>
      <c r="H299" s="73"/>
      <c r="I299" s="73"/>
      <c r="J299" s="73"/>
      <c r="K299" s="73"/>
      <c r="L299" s="73"/>
      <c r="M299" s="73"/>
      <c r="N299" s="73"/>
      <c r="O299" s="75">
        <f>SUM(TABELA25[[#This Row],[T1]:[T7]])</f>
        <v>0</v>
      </c>
      <c r="P299" s="76">
        <f>TABELA25[[#This Row],[PREÇO]]*TABELA25[[#This Row],[QTDE]]</f>
        <v>0</v>
      </c>
    </row>
    <row r="300" spans="1:16" x14ac:dyDescent="0.2">
      <c r="A300" s="70" t="s">
        <v>1740</v>
      </c>
      <c r="B300" s="71" t="s">
        <v>1738</v>
      </c>
      <c r="C300" s="72" t="s">
        <v>1739</v>
      </c>
      <c r="D300" s="73" t="s">
        <v>823</v>
      </c>
      <c r="E300" s="72" t="s">
        <v>820</v>
      </c>
      <c r="F300" s="74">
        <v>183.6</v>
      </c>
      <c r="G300" s="73" t="s">
        <v>828</v>
      </c>
      <c r="H300" s="73"/>
      <c r="I300" s="73"/>
      <c r="J300" s="73"/>
      <c r="K300" s="73"/>
      <c r="L300" s="73"/>
      <c r="M300" s="73"/>
      <c r="N300" s="73"/>
      <c r="O300" s="75">
        <f>SUM(TABELA25[[#This Row],[T1]:[T7]])</f>
        <v>0</v>
      </c>
      <c r="P300" s="76">
        <f>TABELA25[[#This Row],[PREÇO]]*TABELA25[[#This Row],[QTDE]]</f>
        <v>0</v>
      </c>
    </row>
    <row r="301" spans="1:16" x14ac:dyDescent="0.2">
      <c r="A301" s="70" t="s">
        <v>1743</v>
      </c>
      <c r="B301" s="71" t="s">
        <v>1741</v>
      </c>
      <c r="C301" s="72" t="s">
        <v>1742</v>
      </c>
      <c r="D301" s="73" t="s">
        <v>32</v>
      </c>
      <c r="E301" s="72" t="s">
        <v>33</v>
      </c>
      <c r="F301" s="74">
        <v>171.6</v>
      </c>
      <c r="G301" s="73" t="s">
        <v>828</v>
      </c>
      <c r="H301" s="73"/>
      <c r="I301" s="73"/>
      <c r="J301" s="73"/>
      <c r="K301" s="73"/>
      <c r="L301" s="73"/>
      <c r="M301" s="73"/>
      <c r="N301" s="73"/>
      <c r="O301" s="75">
        <f>SUM(TABELA25[[#This Row],[T1]:[T7]])</f>
        <v>0</v>
      </c>
      <c r="P301" s="76">
        <f>TABELA25[[#This Row],[PREÇO]]*TABELA25[[#This Row],[QTDE]]</f>
        <v>0</v>
      </c>
    </row>
    <row r="302" spans="1:16" x14ac:dyDescent="0.2">
      <c r="A302" s="70" t="s">
        <v>1744</v>
      </c>
      <c r="B302" s="71" t="s">
        <v>1745</v>
      </c>
      <c r="C302" s="72" t="s">
        <v>1746</v>
      </c>
      <c r="D302" s="73" t="s">
        <v>823</v>
      </c>
      <c r="E302" s="72" t="s">
        <v>820</v>
      </c>
      <c r="F302" s="74">
        <v>271.60000000000002</v>
      </c>
      <c r="G302" s="73" t="s">
        <v>826</v>
      </c>
      <c r="H302" s="73"/>
      <c r="I302" s="73"/>
      <c r="J302" s="73"/>
      <c r="K302" s="73"/>
      <c r="L302" s="73"/>
      <c r="M302" s="73"/>
      <c r="N302" s="73"/>
      <c r="O302" s="75">
        <f>SUM(TABELA25[[#This Row],[T1]:[T7]])</f>
        <v>0</v>
      </c>
      <c r="P302" s="76">
        <f>TABELA25[[#This Row],[PREÇO]]*TABELA25[[#This Row],[QTDE]]</f>
        <v>0</v>
      </c>
    </row>
    <row r="303" spans="1:16" x14ac:dyDescent="0.2">
      <c r="A303" s="70" t="s">
        <v>1747</v>
      </c>
      <c r="B303" s="71" t="s">
        <v>1748</v>
      </c>
      <c r="C303" s="72" t="s">
        <v>2314</v>
      </c>
      <c r="D303" s="73" t="s">
        <v>32</v>
      </c>
      <c r="E303" s="72" t="s">
        <v>33</v>
      </c>
      <c r="F303" s="74">
        <v>271.60000000000002</v>
      </c>
      <c r="G303" s="73" t="s">
        <v>826</v>
      </c>
      <c r="H303" s="73"/>
      <c r="I303" s="73"/>
      <c r="J303" s="73"/>
      <c r="K303" s="73"/>
      <c r="L303" s="73"/>
      <c r="M303" s="73"/>
      <c r="N303" s="73"/>
      <c r="O303" s="75">
        <f>SUM(TABELA25[[#This Row],[T1]:[T7]])</f>
        <v>0</v>
      </c>
      <c r="P303" s="76">
        <f>TABELA25[[#This Row],[PREÇO]]*TABELA25[[#This Row],[QTDE]]</f>
        <v>0</v>
      </c>
    </row>
    <row r="304" spans="1:16" x14ac:dyDescent="0.2">
      <c r="A304" s="70" t="s">
        <v>1751</v>
      </c>
      <c r="B304" s="71" t="s">
        <v>1749</v>
      </c>
      <c r="C304" s="72" t="s">
        <v>1750</v>
      </c>
      <c r="D304" s="73" t="s">
        <v>1371</v>
      </c>
      <c r="E304" s="72" t="s">
        <v>1373</v>
      </c>
      <c r="F304" s="74">
        <v>439.6</v>
      </c>
      <c r="G304" s="73" t="s">
        <v>826</v>
      </c>
      <c r="H304" s="73"/>
      <c r="I304" s="73"/>
      <c r="J304" s="73"/>
      <c r="K304" s="73"/>
      <c r="L304" s="73"/>
      <c r="M304" s="73"/>
      <c r="N304" s="73"/>
      <c r="O304" s="75">
        <f>SUM(TABELA25[[#This Row],[T1]:[T7]])</f>
        <v>0</v>
      </c>
      <c r="P304" s="76">
        <f>TABELA25[[#This Row],[PREÇO]]*TABELA25[[#This Row],[QTDE]]</f>
        <v>0</v>
      </c>
    </row>
    <row r="305" spans="1:16" x14ac:dyDescent="0.2">
      <c r="A305" s="70" t="s">
        <v>1754</v>
      </c>
      <c r="B305" s="71" t="s">
        <v>1752</v>
      </c>
      <c r="C305" s="72" t="s">
        <v>1753</v>
      </c>
      <c r="D305" s="73" t="s">
        <v>1184</v>
      </c>
      <c r="E305" s="72" t="s">
        <v>1469</v>
      </c>
      <c r="F305" s="74">
        <v>479.6</v>
      </c>
      <c r="G305" s="73" t="s">
        <v>826</v>
      </c>
      <c r="H305" s="73"/>
      <c r="I305" s="73"/>
      <c r="J305" s="73"/>
      <c r="K305" s="73"/>
      <c r="L305" s="73"/>
      <c r="M305" s="73"/>
      <c r="N305" s="73"/>
      <c r="O305" s="75">
        <f>SUM(TABELA25[[#This Row],[T1]:[T7]])</f>
        <v>0</v>
      </c>
      <c r="P305" s="76">
        <f>TABELA25[[#This Row],[PREÇO]]*TABELA25[[#This Row],[QTDE]]</f>
        <v>0</v>
      </c>
    </row>
    <row r="306" spans="1:16" x14ac:dyDescent="0.2">
      <c r="A306" s="70" t="s">
        <v>1755</v>
      </c>
      <c r="B306" s="71" t="s">
        <v>1756</v>
      </c>
      <c r="C306" s="72" t="s">
        <v>1757</v>
      </c>
      <c r="D306" s="73" t="s">
        <v>32</v>
      </c>
      <c r="E306" s="72" t="s">
        <v>33</v>
      </c>
      <c r="F306" s="74">
        <v>91.6</v>
      </c>
      <c r="G306" s="73" t="s">
        <v>826</v>
      </c>
      <c r="H306" s="73"/>
      <c r="I306" s="73"/>
      <c r="J306" s="73"/>
      <c r="K306" s="73"/>
      <c r="L306" s="73"/>
      <c r="M306" s="73"/>
      <c r="N306" s="73"/>
      <c r="O306" s="75">
        <f>SUM(TABELA25[[#This Row],[T1]:[T7]])</f>
        <v>0</v>
      </c>
      <c r="P306" s="76">
        <f>TABELA25[[#This Row],[PREÇO]]*TABELA25[[#This Row],[QTDE]]</f>
        <v>0</v>
      </c>
    </row>
    <row r="307" spans="1:16" x14ac:dyDescent="0.2">
      <c r="A307" s="70" t="s">
        <v>1758</v>
      </c>
      <c r="B307" s="71" t="s">
        <v>1759</v>
      </c>
      <c r="C307" s="72" t="s">
        <v>1760</v>
      </c>
      <c r="D307" s="73" t="s">
        <v>32</v>
      </c>
      <c r="E307" s="72" t="s">
        <v>33</v>
      </c>
      <c r="F307" s="74">
        <v>75.599999999999994</v>
      </c>
      <c r="G307" s="73" t="s">
        <v>826</v>
      </c>
      <c r="H307" s="73"/>
      <c r="I307" s="73"/>
      <c r="J307" s="73"/>
      <c r="K307" s="73"/>
      <c r="L307" s="73"/>
      <c r="M307" s="73"/>
      <c r="N307" s="73"/>
      <c r="O307" s="75">
        <f>SUM(TABELA25[[#This Row],[T1]:[T7]])</f>
        <v>0</v>
      </c>
      <c r="P307" s="76">
        <f>TABELA25[[#This Row],[PREÇO]]*TABELA25[[#This Row],[QTDE]]</f>
        <v>0</v>
      </c>
    </row>
    <row r="308" spans="1:16" x14ac:dyDescent="0.2">
      <c r="A308" s="70" t="s">
        <v>1761</v>
      </c>
      <c r="B308" s="71" t="s">
        <v>1762</v>
      </c>
      <c r="C308" s="72" t="s">
        <v>1763</v>
      </c>
      <c r="D308" s="73" t="s">
        <v>561</v>
      </c>
      <c r="E308" s="72" t="s">
        <v>45</v>
      </c>
      <c r="F308" s="74">
        <v>99.6</v>
      </c>
      <c r="G308" s="73" t="s">
        <v>826</v>
      </c>
      <c r="H308" s="73"/>
      <c r="I308" s="73"/>
      <c r="J308" s="73"/>
      <c r="K308" s="73"/>
      <c r="L308" s="73"/>
      <c r="M308" s="73"/>
      <c r="N308" s="73"/>
      <c r="O308" s="75">
        <f>SUM(TABELA25[[#This Row],[T1]:[T7]])</f>
        <v>0</v>
      </c>
      <c r="P308" s="76">
        <f>TABELA25[[#This Row],[PREÇO]]*TABELA25[[#This Row],[QTDE]]</f>
        <v>0</v>
      </c>
    </row>
    <row r="309" spans="1:16" x14ac:dyDescent="0.2">
      <c r="A309" s="70" t="s">
        <v>1764</v>
      </c>
      <c r="B309" s="71" t="s">
        <v>1762</v>
      </c>
      <c r="C309" s="72" t="s">
        <v>1763</v>
      </c>
      <c r="D309" s="73" t="s">
        <v>32</v>
      </c>
      <c r="E309" s="72" t="s">
        <v>33</v>
      </c>
      <c r="F309" s="74">
        <v>99.6</v>
      </c>
      <c r="G309" s="73" t="s">
        <v>826</v>
      </c>
      <c r="H309" s="73"/>
      <c r="I309" s="73"/>
      <c r="J309" s="73"/>
      <c r="K309" s="73"/>
      <c r="L309" s="73"/>
      <c r="M309" s="73"/>
      <c r="N309" s="73"/>
      <c r="O309" s="75">
        <f>SUM(TABELA25[[#This Row],[T1]:[T7]])</f>
        <v>0</v>
      </c>
      <c r="P309" s="76">
        <f>TABELA25[[#This Row],[PREÇO]]*TABELA25[[#This Row],[QTDE]]</f>
        <v>0</v>
      </c>
    </row>
    <row r="310" spans="1:16" x14ac:dyDescent="0.2">
      <c r="A310" s="70" t="s">
        <v>1767</v>
      </c>
      <c r="B310" s="71" t="s">
        <v>1765</v>
      </c>
      <c r="C310" s="72" t="s">
        <v>1766</v>
      </c>
      <c r="D310" s="73" t="s">
        <v>1384</v>
      </c>
      <c r="E310" s="72" t="s">
        <v>1386</v>
      </c>
      <c r="F310" s="74">
        <v>91.6</v>
      </c>
      <c r="G310" s="73" t="s">
        <v>829</v>
      </c>
      <c r="H310" s="73"/>
      <c r="I310" s="73"/>
      <c r="J310" s="73"/>
      <c r="K310" s="73"/>
      <c r="L310" s="73"/>
      <c r="M310" s="73"/>
      <c r="N310" s="73"/>
      <c r="O310" s="75">
        <f>SUM(TABELA25[[#This Row],[T1]:[T7]])</f>
        <v>0</v>
      </c>
      <c r="P310" s="76">
        <f>TABELA25[[#This Row],[PREÇO]]*TABELA25[[#This Row],[QTDE]]</f>
        <v>0</v>
      </c>
    </row>
    <row r="311" spans="1:16" x14ac:dyDescent="0.2">
      <c r="A311" s="70" t="s">
        <v>1770</v>
      </c>
      <c r="B311" s="71" t="s">
        <v>1768</v>
      </c>
      <c r="C311" s="72" t="s">
        <v>1769</v>
      </c>
      <c r="D311" s="73" t="s">
        <v>929</v>
      </c>
      <c r="E311" s="72" t="s">
        <v>931</v>
      </c>
      <c r="F311" s="74">
        <v>75.599999999999994</v>
      </c>
      <c r="G311" s="73" t="s">
        <v>829</v>
      </c>
      <c r="H311" s="73"/>
      <c r="I311" s="73"/>
      <c r="J311" s="73"/>
      <c r="K311" s="73"/>
      <c r="L311" s="73"/>
      <c r="M311" s="73"/>
      <c r="N311" s="73"/>
      <c r="O311" s="75">
        <f>SUM(TABELA25[[#This Row],[T1]:[T7]])</f>
        <v>0</v>
      </c>
      <c r="P311" s="76">
        <f>TABELA25[[#This Row],[PREÇO]]*TABELA25[[#This Row],[QTDE]]</f>
        <v>0</v>
      </c>
    </row>
    <row r="312" spans="1:16" x14ac:dyDescent="0.2">
      <c r="A312" s="70" t="s">
        <v>1771</v>
      </c>
      <c r="B312" s="71" t="s">
        <v>1768</v>
      </c>
      <c r="C312" s="72" t="s">
        <v>1769</v>
      </c>
      <c r="D312" s="73" t="s">
        <v>1164</v>
      </c>
      <c r="E312" s="72" t="s">
        <v>1166</v>
      </c>
      <c r="F312" s="74">
        <v>75.599999999999994</v>
      </c>
      <c r="G312" s="73" t="s">
        <v>829</v>
      </c>
      <c r="H312" s="73"/>
      <c r="I312" s="73"/>
      <c r="J312" s="73"/>
      <c r="K312" s="73"/>
      <c r="L312" s="73"/>
      <c r="M312" s="73"/>
      <c r="N312" s="73"/>
      <c r="O312" s="75">
        <f>SUM(TABELA25[[#This Row],[T1]:[T7]])</f>
        <v>0</v>
      </c>
      <c r="P312" s="76">
        <f>TABELA25[[#This Row],[PREÇO]]*TABELA25[[#This Row],[QTDE]]</f>
        <v>0</v>
      </c>
    </row>
    <row r="313" spans="1:16" x14ac:dyDescent="0.2">
      <c r="A313" s="70" t="s">
        <v>1774</v>
      </c>
      <c r="B313" s="71" t="s">
        <v>1772</v>
      </c>
      <c r="C313" s="72" t="s">
        <v>1773</v>
      </c>
      <c r="D313" s="73" t="s">
        <v>32</v>
      </c>
      <c r="E313" s="72" t="s">
        <v>33</v>
      </c>
      <c r="F313" s="74">
        <v>95.6</v>
      </c>
      <c r="G313" s="73" t="s">
        <v>829</v>
      </c>
      <c r="H313" s="73"/>
      <c r="I313" s="73"/>
      <c r="J313" s="73"/>
      <c r="K313" s="73"/>
      <c r="L313" s="73"/>
      <c r="M313" s="73"/>
      <c r="N313" s="73"/>
      <c r="O313" s="75">
        <f>SUM(TABELA25[[#This Row],[T1]:[T7]])</f>
        <v>0</v>
      </c>
      <c r="P313" s="76">
        <f>TABELA25[[#This Row],[PREÇO]]*TABELA25[[#This Row],[QTDE]]</f>
        <v>0</v>
      </c>
    </row>
    <row r="314" spans="1:16" x14ac:dyDescent="0.2">
      <c r="A314" s="70" t="s">
        <v>1777</v>
      </c>
      <c r="B314" s="71" t="s">
        <v>1775</v>
      </c>
      <c r="C314" s="72" t="s">
        <v>1776</v>
      </c>
      <c r="D314" s="73" t="s">
        <v>1474</v>
      </c>
      <c r="E314" s="72" t="s">
        <v>1475</v>
      </c>
      <c r="F314" s="74">
        <v>91.6</v>
      </c>
      <c r="G314" s="73" t="s">
        <v>829</v>
      </c>
      <c r="H314" s="73"/>
      <c r="I314" s="73"/>
      <c r="J314" s="73"/>
      <c r="K314" s="73"/>
      <c r="L314" s="73"/>
      <c r="M314" s="73"/>
      <c r="N314" s="73"/>
      <c r="O314" s="75">
        <f>SUM(TABELA25[[#This Row],[T1]:[T7]])</f>
        <v>0</v>
      </c>
      <c r="P314" s="76">
        <f>TABELA25[[#This Row],[PREÇO]]*TABELA25[[#This Row],[QTDE]]</f>
        <v>0</v>
      </c>
    </row>
    <row r="315" spans="1:16" x14ac:dyDescent="0.2">
      <c r="A315" s="70" t="s">
        <v>1780</v>
      </c>
      <c r="B315" s="71" t="s">
        <v>1778</v>
      </c>
      <c r="C315" s="72" t="s">
        <v>1779</v>
      </c>
      <c r="D315" s="73" t="s">
        <v>1133</v>
      </c>
      <c r="E315" s="72" t="s">
        <v>1134</v>
      </c>
      <c r="F315" s="74">
        <v>95.6</v>
      </c>
      <c r="G315" s="73" t="s">
        <v>829</v>
      </c>
      <c r="H315" s="73"/>
      <c r="I315" s="73"/>
      <c r="J315" s="73"/>
      <c r="K315" s="73"/>
      <c r="L315" s="73"/>
      <c r="M315" s="73"/>
      <c r="N315" s="73"/>
      <c r="O315" s="75">
        <f>SUM(TABELA25[[#This Row],[T1]:[T7]])</f>
        <v>0</v>
      </c>
      <c r="P315" s="76">
        <f>TABELA25[[#This Row],[PREÇO]]*TABELA25[[#This Row],[QTDE]]</f>
        <v>0</v>
      </c>
    </row>
    <row r="316" spans="1:16" x14ac:dyDescent="0.2">
      <c r="A316" s="70" t="s">
        <v>1781</v>
      </c>
      <c r="B316" s="71" t="s">
        <v>1778</v>
      </c>
      <c r="C316" s="72" t="s">
        <v>1779</v>
      </c>
      <c r="D316" s="73" t="s">
        <v>914</v>
      </c>
      <c r="E316" s="72" t="s">
        <v>915</v>
      </c>
      <c r="F316" s="74">
        <v>95.6</v>
      </c>
      <c r="G316" s="73" t="s">
        <v>826</v>
      </c>
      <c r="H316" s="73"/>
      <c r="I316" s="73"/>
      <c r="J316" s="73"/>
      <c r="K316" s="73"/>
      <c r="L316" s="73"/>
      <c r="M316" s="73"/>
      <c r="N316" s="73"/>
      <c r="O316" s="75">
        <f>SUM(TABELA25[[#This Row],[T1]:[T7]])</f>
        <v>0</v>
      </c>
      <c r="P316" s="76">
        <f>TABELA25[[#This Row],[PREÇO]]*TABELA25[[#This Row],[QTDE]]</f>
        <v>0</v>
      </c>
    </row>
    <row r="317" spans="1:16" x14ac:dyDescent="0.2">
      <c r="A317" s="70" t="s">
        <v>1786</v>
      </c>
      <c r="B317" s="71" t="s">
        <v>1782</v>
      </c>
      <c r="C317" s="72" t="s">
        <v>1784</v>
      </c>
      <c r="D317" s="73" t="s">
        <v>1783</v>
      </c>
      <c r="E317" s="72" t="s">
        <v>1785</v>
      </c>
      <c r="F317" s="74">
        <v>119.6</v>
      </c>
      <c r="G317" s="73" t="s">
        <v>829</v>
      </c>
      <c r="H317" s="73"/>
      <c r="I317" s="73"/>
      <c r="J317" s="73"/>
      <c r="K317" s="73"/>
      <c r="L317" s="73"/>
      <c r="M317" s="73"/>
      <c r="N317" s="73"/>
      <c r="O317" s="75">
        <f>SUM(TABELA25[[#This Row],[T1]:[T7]])</f>
        <v>0</v>
      </c>
      <c r="P317" s="76">
        <f>TABELA25[[#This Row],[PREÇO]]*TABELA25[[#This Row],[QTDE]]</f>
        <v>0</v>
      </c>
    </row>
    <row r="318" spans="1:16" x14ac:dyDescent="0.2">
      <c r="A318" s="70" t="s">
        <v>1789</v>
      </c>
      <c r="B318" s="71" t="s">
        <v>1787</v>
      </c>
      <c r="C318" s="72" t="s">
        <v>1788</v>
      </c>
      <c r="D318" s="73" t="s">
        <v>1384</v>
      </c>
      <c r="E318" s="72" t="s">
        <v>1386</v>
      </c>
      <c r="F318" s="74">
        <v>91.6</v>
      </c>
      <c r="G318" s="73" t="s">
        <v>829</v>
      </c>
      <c r="H318" s="73"/>
      <c r="I318" s="73"/>
      <c r="J318" s="73"/>
      <c r="K318" s="73"/>
      <c r="L318" s="73"/>
      <c r="M318" s="73"/>
      <c r="N318" s="73"/>
      <c r="O318" s="75">
        <f>SUM(TABELA25[[#This Row],[T1]:[T7]])</f>
        <v>0</v>
      </c>
      <c r="P318" s="76">
        <f>TABELA25[[#This Row],[PREÇO]]*TABELA25[[#This Row],[QTDE]]</f>
        <v>0</v>
      </c>
    </row>
    <row r="319" spans="1:16" x14ac:dyDescent="0.2">
      <c r="A319" s="70" t="s">
        <v>1792</v>
      </c>
      <c r="B319" s="71" t="s">
        <v>1790</v>
      </c>
      <c r="C319" s="72" t="s">
        <v>1791</v>
      </c>
      <c r="D319" s="73" t="s">
        <v>32</v>
      </c>
      <c r="E319" s="72" t="s">
        <v>33</v>
      </c>
      <c r="F319" s="74">
        <v>171.6</v>
      </c>
      <c r="G319" s="73" t="s">
        <v>829</v>
      </c>
      <c r="H319" s="73"/>
      <c r="I319" s="73"/>
      <c r="J319" s="73"/>
      <c r="K319" s="73"/>
      <c r="L319" s="73"/>
      <c r="M319" s="73"/>
      <c r="N319" s="73"/>
      <c r="O319" s="75">
        <f>SUM(TABELA25[[#This Row],[T1]:[T7]])</f>
        <v>0</v>
      </c>
      <c r="P319" s="76">
        <f>TABELA25[[#This Row],[PREÇO]]*TABELA25[[#This Row],[QTDE]]</f>
        <v>0</v>
      </c>
    </row>
    <row r="320" spans="1:16" x14ac:dyDescent="0.2">
      <c r="A320" s="70" t="s">
        <v>1794</v>
      </c>
      <c r="B320" s="71" t="s">
        <v>1793</v>
      </c>
      <c r="C320" s="72" t="s">
        <v>1769</v>
      </c>
      <c r="D320" s="73" t="s">
        <v>32</v>
      </c>
      <c r="E320" s="72" t="s">
        <v>33</v>
      </c>
      <c r="F320" s="74">
        <v>79.599999999999994</v>
      </c>
      <c r="G320" s="73" t="s">
        <v>829</v>
      </c>
      <c r="H320" s="73"/>
      <c r="I320" s="73"/>
      <c r="J320" s="73"/>
      <c r="K320" s="73"/>
      <c r="L320" s="73"/>
      <c r="M320" s="73"/>
      <c r="N320" s="73"/>
      <c r="O320" s="75">
        <f>SUM(TABELA25[[#This Row],[T1]:[T7]])</f>
        <v>0</v>
      </c>
      <c r="P320" s="76">
        <f>TABELA25[[#This Row],[PREÇO]]*TABELA25[[#This Row],[QTDE]]</f>
        <v>0</v>
      </c>
    </row>
    <row r="321" spans="1:16" x14ac:dyDescent="0.2">
      <c r="A321" s="70" t="s">
        <v>1797</v>
      </c>
      <c r="B321" s="71" t="s">
        <v>1795</v>
      </c>
      <c r="C321" s="72" t="s">
        <v>1796</v>
      </c>
      <c r="D321" s="73" t="s">
        <v>32</v>
      </c>
      <c r="E321" s="72" t="s">
        <v>33</v>
      </c>
      <c r="F321" s="74">
        <v>95.6</v>
      </c>
      <c r="G321" s="73" t="s">
        <v>829</v>
      </c>
      <c r="H321" s="73"/>
      <c r="I321" s="73"/>
      <c r="J321" s="73"/>
      <c r="K321" s="73"/>
      <c r="L321" s="73"/>
      <c r="M321" s="73"/>
      <c r="N321" s="73"/>
      <c r="O321" s="75">
        <f>SUM(TABELA25[[#This Row],[T1]:[T7]])</f>
        <v>0</v>
      </c>
      <c r="P321" s="76">
        <f>TABELA25[[#This Row],[PREÇO]]*TABELA25[[#This Row],[QTDE]]</f>
        <v>0</v>
      </c>
    </row>
    <row r="322" spans="1:16" x14ac:dyDescent="0.2">
      <c r="A322" s="70" t="s">
        <v>1798</v>
      </c>
      <c r="B322" s="71" t="s">
        <v>1795</v>
      </c>
      <c r="C322" s="72" t="s">
        <v>1796</v>
      </c>
      <c r="D322" s="73" t="s">
        <v>924</v>
      </c>
      <c r="E322" s="72" t="s">
        <v>926</v>
      </c>
      <c r="F322" s="74">
        <v>95.6</v>
      </c>
      <c r="G322" s="73" t="s">
        <v>829</v>
      </c>
      <c r="H322" s="73"/>
      <c r="I322" s="73"/>
      <c r="J322" s="73"/>
      <c r="K322" s="73"/>
      <c r="L322" s="73"/>
      <c r="M322" s="73"/>
      <c r="N322" s="73"/>
      <c r="O322" s="75">
        <f>SUM(TABELA25[[#This Row],[T1]:[T7]])</f>
        <v>0</v>
      </c>
      <c r="P322" s="76">
        <f>TABELA25[[#This Row],[PREÇO]]*TABELA25[[#This Row],[QTDE]]</f>
        <v>0</v>
      </c>
    </row>
    <row r="323" spans="1:16" x14ac:dyDescent="0.2">
      <c r="A323" s="70" t="s">
        <v>1803</v>
      </c>
      <c r="B323" s="71" t="s">
        <v>1799</v>
      </c>
      <c r="C323" s="72" t="s">
        <v>1801</v>
      </c>
      <c r="D323" s="73" t="s">
        <v>1800</v>
      </c>
      <c r="E323" s="72" t="s">
        <v>1802</v>
      </c>
      <c r="F323" s="74">
        <v>107.6</v>
      </c>
      <c r="G323" s="73" t="s">
        <v>829</v>
      </c>
      <c r="H323" s="73"/>
      <c r="I323" s="73"/>
      <c r="J323" s="73"/>
      <c r="K323" s="73"/>
      <c r="L323" s="73"/>
      <c r="M323" s="73"/>
      <c r="N323" s="73"/>
      <c r="O323" s="75">
        <f>SUM(TABELA25[[#This Row],[T1]:[T7]])</f>
        <v>0</v>
      </c>
      <c r="P323" s="76">
        <f>TABELA25[[#This Row],[PREÇO]]*TABELA25[[#This Row],[QTDE]]</f>
        <v>0</v>
      </c>
    </row>
    <row r="324" spans="1:16" x14ac:dyDescent="0.2">
      <c r="A324" s="70" t="s">
        <v>1808</v>
      </c>
      <c r="B324" s="71" t="s">
        <v>1804</v>
      </c>
      <c r="C324" s="72" t="s">
        <v>1806</v>
      </c>
      <c r="D324" s="73" t="s">
        <v>1805</v>
      </c>
      <c r="E324" s="72" t="s">
        <v>1807</v>
      </c>
      <c r="F324" s="74">
        <v>79.599999999999994</v>
      </c>
      <c r="G324" s="73" t="s">
        <v>2319</v>
      </c>
      <c r="H324" s="73"/>
      <c r="I324" s="73"/>
      <c r="J324" s="73"/>
      <c r="K324" s="73"/>
      <c r="L324" s="73"/>
      <c r="M324" s="73"/>
      <c r="N324" s="73"/>
      <c r="O324" s="75">
        <f>SUM(TABELA25[[#This Row],[T1]:[T7]])</f>
        <v>0</v>
      </c>
      <c r="P324" s="76">
        <f>TABELA25[[#This Row],[PREÇO]]*TABELA25[[#This Row],[QTDE]]</f>
        <v>0</v>
      </c>
    </row>
    <row r="325" spans="1:16" x14ac:dyDescent="0.2">
      <c r="A325" s="70" t="s">
        <v>1811</v>
      </c>
      <c r="B325" s="71" t="s">
        <v>1809</v>
      </c>
      <c r="C325" s="72" t="s">
        <v>1810</v>
      </c>
      <c r="D325" s="73" t="s">
        <v>1783</v>
      </c>
      <c r="E325" s="72" t="s">
        <v>1785</v>
      </c>
      <c r="F325" s="74">
        <v>91.6</v>
      </c>
      <c r="G325" s="73" t="s">
        <v>2319</v>
      </c>
      <c r="H325" s="73"/>
      <c r="I325" s="73"/>
      <c r="J325" s="73"/>
      <c r="K325" s="73"/>
      <c r="L325" s="73"/>
      <c r="M325" s="73"/>
      <c r="N325" s="73"/>
      <c r="O325" s="75">
        <f>SUM(TABELA25[[#This Row],[T1]:[T7]])</f>
        <v>0</v>
      </c>
      <c r="P325" s="76">
        <f>TABELA25[[#This Row],[PREÇO]]*TABELA25[[#This Row],[QTDE]]</f>
        <v>0</v>
      </c>
    </row>
    <row r="326" spans="1:16" x14ac:dyDescent="0.2">
      <c r="A326" s="70" t="s">
        <v>1814</v>
      </c>
      <c r="B326" s="71" t="s">
        <v>1812</v>
      </c>
      <c r="C326" s="72" t="s">
        <v>1813</v>
      </c>
      <c r="D326" s="73" t="s">
        <v>1384</v>
      </c>
      <c r="E326" s="72" t="s">
        <v>1386</v>
      </c>
      <c r="F326" s="74">
        <v>143.6</v>
      </c>
      <c r="G326" s="73" t="s">
        <v>829</v>
      </c>
      <c r="H326" s="73"/>
      <c r="I326" s="73"/>
      <c r="J326" s="73"/>
      <c r="K326" s="73"/>
      <c r="L326" s="73"/>
      <c r="M326" s="73"/>
      <c r="N326" s="73"/>
      <c r="O326" s="75">
        <f>SUM(TABELA25[[#This Row],[T1]:[T7]])</f>
        <v>0</v>
      </c>
      <c r="P326" s="76">
        <f>TABELA25[[#This Row],[PREÇO]]*TABELA25[[#This Row],[QTDE]]</f>
        <v>0</v>
      </c>
    </row>
    <row r="327" spans="1:16" x14ac:dyDescent="0.2">
      <c r="A327" s="70" t="s">
        <v>1817</v>
      </c>
      <c r="B327" s="71" t="s">
        <v>1815</v>
      </c>
      <c r="C327" s="72" t="s">
        <v>1816</v>
      </c>
      <c r="D327" s="73" t="s">
        <v>32</v>
      </c>
      <c r="E327" s="72" t="s">
        <v>33</v>
      </c>
      <c r="F327" s="74">
        <v>119.6</v>
      </c>
      <c r="G327" s="73" t="s">
        <v>826</v>
      </c>
      <c r="H327" s="73"/>
      <c r="I327" s="73"/>
      <c r="J327" s="73"/>
      <c r="K327" s="73"/>
      <c r="L327" s="73"/>
      <c r="M327" s="73"/>
      <c r="N327" s="73"/>
      <c r="O327" s="75">
        <f>SUM(TABELA25[[#This Row],[T1]:[T7]])</f>
        <v>0</v>
      </c>
      <c r="P327" s="76">
        <f>TABELA25[[#This Row],[PREÇO]]*TABELA25[[#This Row],[QTDE]]</f>
        <v>0</v>
      </c>
    </row>
    <row r="328" spans="1:16" x14ac:dyDescent="0.2">
      <c r="A328" s="70" t="s">
        <v>1822</v>
      </c>
      <c r="B328" s="71" t="s">
        <v>1818</v>
      </c>
      <c r="C328" s="72" t="s">
        <v>1819</v>
      </c>
      <c r="D328" s="73" t="s">
        <v>914</v>
      </c>
      <c r="E328" s="72" t="s">
        <v>915</v>
      </c>
      <c r="F328" s="74">
        <v>127.6</v>
      </c>
      <c r="G328" s="73" t="s">
        <v>829</v>
      </c>
      <c r="H328" s="73"/>
      <c r="I328" s="73"/>
      <c r="J328" s="73"/>
      <c r="K328" s="73"/>
      <c r="L328" s="73"/>
      <c r="M328" s="73"/>
      <c r="N328" s="73"/>
      <c r="O328" s="75">
        <f>SUM(TABELA25[[#This Row],[T1]:[T7]])</f>
        <v>0</v>
      </c>
      <c r="P328" s="76">
        <f>TABELA25[[#This Row],[PREÇO]]*TABELA25[[#This Row],[QTDE]]</f>
        <v>0</v>
      </c>
    </row>
    <row r="329" spans="1:16" x14ac:dyDescent="0.2">
      <c r="A329" s="70" t="s">
        <v>1820</v>
      </c>
      <c r="B329" s="71" t="s">
        <v>1818</v>
      </c>
      <c r="C329" s="72" t="s">
        <v>1819</v>
      </c>
      <c r="D329" s="73" t="s">
        <v>830</v>
      </c>
      <c r="E329" s="72" t="s">
        <v>43</v>
      </c>
      <c r="F329" s="74">
        <v>127.6</v>
      </c>
      <c r="G329" s="73" t="s">
        <v>829</v>
      </c>
      <c r="H329" s="73"/>
      <c r="I329" s="73"/>
      <c r="J329" s="73"/>
      <c r="K329" s="73"/>
      <c r="L329" s="73"/>
      <c r="M329" s="73"/>
      <c r="N329" s="73"/>
      <c r="O329" s="75">
        <f>SUM(TABELA25[[#This Row],[T1]:[T7]])</f>
        <v>0</v>
      </c>
      <c r="P329" s="76">
        <f>TABELA25[[#This Row],[PREÇO]]*TABELA25[[#This Row],[QTDE]]</f>
        <v>0</v>
      </c>
    </row>
    <row r="330" spans="1:16" x14ac:dyDescent="0.2">
      <c r="A330" s="70" t="s">
        <v>1821</v>
      </c>
      <c r="B330" s="71" t="s">
        <v>1818</v>
      </c>
      <c r="C330" s="72" t="s">
        <v>1819</v>
      </c>
      <c r="D330" s="73" t="s">
        <v>1474</v>
      </c>
      <c r="E330" s="72" t="s">
        <v>1475</v>
      </c>
      <c r="F330" s="74">
        <v>127.6</v>
      </c>
      <c r="G330" s="73" t="s">
        <v>829</v>
      </c>
      <c r="H330" s="73"/>
      <c r="I330" s="73"/>
      <c r="J330" s="73"/>
      <c r="K330" s="73"/>
      <c r="L330" s="73"/>
      <c r="M330" s="73"/>
      <c r="N330" s="73"/>
      <c r="O330" s="75">
        <f>SUM(TABELA25[[#This Row],[T1]:[T7]])</f>
        <v>0</v>
      </c>
      <c r="P330" s="76">
        <f>TABELA25[[#This Row],[PREÇO]]*TABELA25[[#This Row],[QTDE]]</f>
        <v>0</v>
      </c>
    </row>
    <row r="331" spans="1:16" x14ac:dyDescent="0.2">
      <c r="A331" s="70" t="s">
        <v>1823</v>
      </c>
      <c r="B331" s="71" t="s">
        <v>1824</v>
      </c>
      <c r="C331" s="72" t="s">
        <v>1825</v>
      </c>
      <c r="D331" s="73" t="s">
        <v>882</v>
      </c>
      <c r="E331" s="72" t="s">
        <v>817</v>
      </c>
      <c r="F331" s="74">
        <v>115.6</v>
      </c>
      <c r="G331" s="73" t="s">
        <v>826</v>
      </c>
      <c r="H331" s="73"/>
      <c r="I331" s="73"/>
      <c r="J331" s="73"/>
      <c r="K331" s="73"/>
      <c r="L331" s="73"/>
      <c r="M331" s="73"/>
      <c r="N331" s="73"/>
      <c r="O331" s="75">
        <f>SUM(TABELA25[[#This Row],[T1]:[T7]])</f>
        <v>0</v>
      </c>
      <c r="P331" s="76">
        <f>TABELA25[[#This Row],[PREÇO]]*TABELA25[[#This Row],[QTDE]]</f>
        <v>0</v>
      </c>
    </row>
    <row r="332" spans="1:16" x14ac:dyDescent="0.2">
      <c r="A332" s="70" t="s">
        <v>1828</v>
      </c>
      <c r="B332" s="71" t="s">
        <v>1826</v>
      </c>
      <c r="C332" s="72" t="s">
        <v>1827</v>
      </c>
      <c r="D332" s="73" t="s">
        <v>1474</v>
      </c>
      <c r="E332" s="72" t="s">
        <v>1475</v>
      </c>
      <c r="F332" s="74">
        <v>75.599999999999994</v>
      </c>
      <c r="G332" s="73" t="s">
        <v>2319</v>
      </c>
      <c r="H332" s="73"/>
      <c r="I332" s="73"/>
      <c r="J332" s="73"/>
      <c r="K332" s="73"/>
      <c r="L332" s="73"/>
      <c r="M332" s="73"/>
      <c r="N332" s="73"/>
      <c r="O332" s="75">
        <f>SUM(TABELA25[[#This Row],[T1]:[T7]])</f>
        <v>0</v>
      </c>
      <c r="P332" s="76">
        <f>TABELA25[[#This Row],[PREÇO]]*TABELA25[[#This Row],[QTDE]]</f>
        <v>0</v>
      </c>
    </row>
    <row r="333" spans="1:16" x14ac:dyDescent="0.2">
      <c r="A333" s="70" t="s">
        <v>1829</v>
      </c>
      <c r="B333" s="71" t="s">
        <v>1830</v>
      </c>
      <c r="C333" s="72" t="s">
        <v>1831</v>
      </c>
      <c r="D333" s="73" t="s">
        <v>32</v>
      </c>
      <c r="E333" s="72" t="s">
        <v>33</v>
      </c>
      <c r="F333" s="74">
        <v>143.6</v>
      </c>
      <c r="G333" s="73" t="s">
        <v>826</v>
      </c>
      <c r="H333" s="73"/>
      <c r="I333" s="73"/>
      <c r="J333" s="73"/>
      <c r="K333" s="73"/>
      <c r="L333" s="73"/>
      <c r="M333" s="73"/>
      <c r="N333" s="73"/>
      <c r="O333" s="75">
        <f>SUM(TABELA25[[#This Row],[T1]:[T7]])</f>
        <v>0</v>
      </c>
      <c r="P333" s="76">
        <f>TABELA25[[#This Row],[PREÇO]]*TABELA25[[#This Row],[QTDE]]</f>
        <v>0</v>
      </c>
    </row>
    <row r="334" spans="1:16" x14ac:dyDescent="0.2">
      <c r="A334" s="70" t="s">
        <v>1832</v>
      </c>
      <c r="B334" s="71" t="s">
        <v>1833</v>
      </c>
      <c r="C334" s="72" t="s">
        <v>1834</v>
      </c>
      <c r="D334" s="73" t="s">
        <v>882</v>
      </c>
      <c r="E334" s="72" t="s">
        <v>817</v>
      </c>
      <c r="F334" s="74">
        <v>151.6</v>
      </c>
      <c r="G334" s="73" t="s">
        <v>826</v>
      </c>
      <c r="H334" s="73"/>
      <c r="I334" s="73"/>
      <c r="J334" s="73"/>
      <c r="K334" s="73"/>
      <c r="L334" s="73"/>
      <c r="M334" s="73"/>
      <c r="N334" s="73"/>
      <c r="O334" s="75">
        <f>SUM(TABELA25[[#This Row],[T1]:[T7]])</f>
        <v>0</v>
      </c>
      <c r="P334" s="76">
        <f>TABELA25[[#This Row],[PREÇO]]*TABELA25[[#This Row],[QTDE]]</f>
        <v>0</v>
      </c>
    </row>
    <row r="335" spans="1:16" x14ac:dyDescent="0.2">
      <c r="A335" s="70" t="s">
        <v>1839</v>
      </c>
      <c r="B335" s="71" t="s">
        <v>1835</v>
      </c>
      <c r="C335" s="72" t="s">
        <v>1837</v>
      </c>
      <c r="D335" s="73" t="s">
        <v>1836</v>
      </c>
      <c r="E335" s="72" t="s">
        <v>1838</v>
      </c>
      <c r="F335" s="74">
        <v>91.6</v>
      </c>
      <c r="G335" s="73" t="s">
        <v>2319</v>
      </c>
      <c r="H335" s="73"/>
      <c r="I335" s="73"/>
      <c r="J335" s="73"/>
      <c r="K335" s="73"/>
      <c r="L335" s="73"/>
      <c r="M335" s="73"/>
      <c r="N335" s="73"/>
      <c r="O335" s="75">
        <f>SUM(TABELA25[[#This Row],[T1]:[T7]])</f>
        <v>0</v>
      </c>
      <c r="P335" s="76">
        <f>TABELA25[[#This Row],[PREÇO]]*TABELA25[[#This Row],[QTDE]]</f>
        <v>0</v>
      </c>
    </row>
    <row r="336" spans="1:16" x14ac:dyDescent="0.2">
      <c r="A336" s="70" t="s">
        <v>1842</v>
      </c>
      <c r="B336" s="71" t="s">
        <v>1840</v>
      </c>
      <c r="C336" s="72" t="s">
        <v>1841</v>
      </c>
      <c r="D336" s="73" t="s">
        <v>1384</v>
      </c>
      <c r="E336" s="72" t="s">
        <v>1386</v>
      </c>
      <c r="F336" s="74">
        <v>139.6</v>
      </c>
      <c r="G336" s="73" t="s">
        <v>826</v>
      </c>
      <c r="H336" s="73"/>
      <c r="I336" s="73"/>
      <c r="J336" s="73"/>
      <c r="K336" s="73"/>
      <c r="L336" s="73"/>
      <c r="M336" s="73"/>
      <c r="N336" s="73"/>
      <c r="O336" s="75">
        <f>SUM(TABELA25[[#This Row],[T1]:[T7]])</f>
        <v>0</v>
      </c>
      <c r="P336" s="76">
        <f>TABELA25[[#This Row],[PREÇO]]*TABELA25[[#This Row],[QTDE]]</f>
        <v>0</v>
      </c>
    </row>
    <row r="337" spans="1:16" x14ac:dyDescent="0.2">
      <c r="A337" s="70" t="s">
        <v>1845</v>
      </c>
      <c r="B337" s="71" t="s">
        <v>1843</v>
      </c>
      <c r="C337" s="72" t="s">
        <v>1844</v>
      </c>
      <c r="D337" s="73" t="s">
        <v>914</v>
      </c>
      <c r="E337" s="72" t="s">
        <v>915</v>
      </c>
      <c r="F337" s="74">
        <v>135.6</v>
      </c>
      <c r="G337" s="73" t="s">
        <v>829</v>
      </c>
      <c r="H337" s="73"/>
      <c r="I337" s="73"/>
      <c r="J337" s="73"/>
      <c r="K337" s="73"/>
      <c r="L337" s="73"/>
      <c r="M337" s="73"/>
      <c r="N337" s="73"/>
      <c r="O337" s="75">
        <f>SUM(TABELA25[[#This Row],[T1]:[T7]])</f>
        <v>0</v>
      </c>
      <c r="P337" s="76">
        <f>TABELA25[[#This Row],[PREÇO]]*TABELA25[[#This Row],[QTDE]]</f>
        <v>0</v>
      </c>
    </row>
    <row r="338" spans="1:16" x14ac:dyDescent="0.2">
      <c r="A338" s="70" t="s">
        <v>1847</v>
      </c>
      <c r="B338" s="71" t="s">
        <v>1846</v>
      </c>
      <c r="C338" s="72" t="s">
        <v>1827</v>
      </c>
      <c r="D338" s="73" t="s">
        <v>898</v>
      </c>
      <c r="E338" s="72" t="s">
        <v>900</v>
      </c>
      <c r="F338" s="74">
        <v>75.599999999999994</v>
      </c>
      <c r="G338" s="73" t="s">
        <v>2319</v>
      </c>
      <c r="H338" s="73"/>
      <c r="I338" s="73"/>
      <c r="J338" s="73"/>
      <c r="K338" s="73"/>
      <c r="L338" s="73"/>
      <c r="M338" s="73"/>
      <c r="N338" s="73"/>
      <c r="O338" s="75">
        <f>SUM(TABELA25[[#This Row],[T1]:[T7]])</f>
        <v>0</v>
      </c>
      <c r="P338" s="76">
        <f>TABELA25[[#This Row],[PREÇO]]*TABELA25[[#This Row],[QTDE]]</f>
        <v>0</v>
      </c>
    </row>
    <row r="339" spans="1:16" x14ac:dyDescent="0.2">
      <c r="A339" s="70" t="s">
        <v>1850</v>
      </c>
      <c r="B339" s="71" t="s">
        <v>1848</v>
      </c>
      <c r="C339" s="72" t="s">
        <v>1849</v>
      </c>
      <c r="D339" s="73" t="s">
        <v>1836</v>
      </c>
      <c r="E339" s="72" t="s">
        <v>1838</v>
      </c>
      <c r="F339" s="74">
        <v>87.6</v>
      </c>
      <c r="G339" s="73" t="s">
        <v>2319</v>
      </c>
      <c r="H339" s="73"/>
      <c r="I339" s="73"/>
      <c r="J339" s="73"/>
      <c r="K339" s="73"/>
      <c r="L339" s="73"/>
      <c r="M339" s="73"/>
      <c r="N339" s="73"/>
      <c r="O339" s="75">
        <f>SUM(TABELA25[[#This Row],[T1]:[T7]])</f>
        <v>0</v>
      </c>
      <c r="P339" s="76">
        <f>TABELA25[[#This Row],[PREÇO]]*TABELA25[[#This Row],[QTDE]]</f>
        <v>0</v>
      </c>
    </row>
    <row r="340" spans="1:16" x14ac:dyDescent="0.2">
      <c r="A340" s="70" t="s">
        <v>1851</v>
      </c>
      <c r="B340" s="71" t="s">
        <v>1852</v>
      </c>
      <c r="C340" s="72" t="s">
        <v>1853</v>
      </c>
      <c r="D340" s="73" t="s">
        <v>32</v>
      </c>
      <c r="E340" s="72" t="s">
        <v>33</v>
      </c>
      <c r="F340" s="74">
        <v>51.6</v>
      </c>
      <c r="G340" s="73" t="s">
        <v>826</v>
      </c>
      <c r="H340" s="73"/>
      <c r="I340" s="73"/>
      <c r="J340" s="73"/>
      <c r="K340" s="73"/>
      <c r="L340" s="73"/>
      <c r="M340" s="73"/>
      <c r="N340" s="73"/>
      <c r="O340" s="75">
        <f>SUM(TABELA25[[#This Row],[T1]:[T7]])</f>
        <v>0</v>
      </c>
      <c r="P340" s="76">
        <f>TABELA25[[#This Row],[PREÇO]]*TABELA25[[#This Row],[QTDE]]</f>
        <v>0</v>
      </c>
    </row>
    <row r="341" spans="1:16" x14ac:dyDescent="0.2">
      <c r="A341" s="70" t="s">
        <v>1856</v>
      </c>
      <c r="B341" s="71" t="s">
        <v>1854</v>
      </c>
      <c r="C341" s="72" t="s">
        <v>1855</v>
      </c>
      <c r="D341" s="73" t="s">
        <v>1800</v>
      </c>
      <c r="E341" s="72" t="s">
        <v>1802</v>
      </c>
      <c r="F341" s="74">
        <v>159.6</v>
      </c>
      <c r="G341" s="73" t="s">
        <v>826</v>
      </c>
      <c r="H341" s="73"/>
      <c r="I341" s="73"/>
      <c r="J341" s="73"/>
      <c r="K341" s="73"/>
      <c r="L341" s="73"/>
      <c r="M341" s="73"/>
      <c r="N341" s="73"/>
      <c r="O341" s="75">
        <f>SUM(TABELA25[[#This Row],[T1]:[T7]])</f>
        <v>0</v>
      </c>
      <c r="P341" s="76">
        <f>TABELA25[[#This Row],[PREÇO]]*TABELA25[[#This Row],[QTDE]]</f>
        <v>0</v>
      </c>
    </row>
    <row r="342" spans="1:16" x14ac:dyDescent="0.2">
      <c r="A342" s="70" t="s">
        <v>1859</v>
      </c>
      <c r="B342" s="71" t="s">
        <v>1857</v>
      </c>
      <c r="C342" s="72" t="s">
        <v>1858</v>
      </c>
      <c r="D342" s="73" t="s">
        <v>32</v>
      </c>
      <c r="E342" s="72" t="s">
        <v>33</v>
      </c>
      <c r="F342" s="74">
        <v>139.6</v>
      </c>
      <c r="G342" s="73" t="s">
        <v>829</v>
      </c>
      <c r="H342" s="73"/>
      <c r="I342" s="73"/>
      <c r="J342" s="73"/>
      <c r="K342" s="73"/>
      <c r="L342" s="73"/>
      <c r="M342" s="73"/>
      <c r="N342" s="73"/>
      <c r="O342" s="75">
        <f>SUM(TABELA25[[#This Row],[T1]:[T7]])</f>
        <v>0</v>
      </c>
      <c r="P342" s="76">
        <f>TABELA25[[#This Row],[PREÇO]]*TABELA25[[#This Row],[QTDE]]</f>
        <v>0</v>
      </c>
    </row>
    <row r="343" spans="1:16" x14ac:dyDescent="0.2">
      <c r="A343" s="70" t="s">
        <v>1862</v>
      </c>
      <c r="B343" s="71" t="s">
        <v>1860</v>
      </c>
      <c r="C343" s="72" t="s">
        <v>1861</v>
      </c>
      <c r="D343" s="73" t="s">
        <v>1474</v>
      </c>
      <c r="E343" s="72" t="s">
        <v>1475</v>
      </c>
      <c r="F343" s="74">
        <v>171.6</v>
      </c>
      <c r="G343" s="73" t="s">
        <v>829</v>
      </c>
      <c r="H343" s="73"/>
      <c r="I343" s="73"/>
      <c r="J343" s="73"/>
      <c r="K343" s="73"/>
      <c r="L343" s="73"/>
      <c r="M343" s="73"/>
      <c r="N343" s="73"/>
      <c r="O343" s="75">
        <f>SUM(TABELA25[[#This Row],[T1]:[T7]])</f>
        <v>0</v>
      </c>
      <c r="P343" s="76">
        <f>TABELA25[[#This Row],[PREÇO]]*TABELA25[[#This Row],[QTDE]]</f>
        <v>0</v>
      </c>
    </row>
    <row r="344" spans="1:16" x14ac:dyDescent="0.2">
      <c r="A344" s="70" t="s">
        <v>1865</v>
      </c>
      <c r="B344" s="71" t="s">
        <v>1863</v>
      </c>
      <c r="C344" s="72" t="s">
        <v>1864</v>
      </c>
      <c r="D344" s="73" t="s">
        <v>898</v>
      </c>
      <c r="E344" s="72" t="s">
        <v>900</v>
      </c>
      <c r="F344" s="74">
        <v>191.6</v>
      </c>
      <c r="G344" s="73" t="s">
        <v>829</v>
      </c>
      <c r="H344" s="73"/>
      <c r="I344" s="73"/>
      <c r="J344" s="73"/>
      <c r="K344" s="73"/>
      <c r="L344" s="73"/>
      <c r="M344" s="73"/>
      <c r="N344" s="73"/>
      <c r="O344" s="75">
        <f>SUM(TABELA25[[#This Row],[T1]:[T7]])</f>
        <v>0</v>
      </c>
      <c r="P344" s="76">
        <f>TABELA25[[#This Row],[PREÇO]]*TABELA25[[#This Row],[QTDE]]</f>
        <v>0</v>
      </c>
    </row>
    <row r="345" spans="1:16" x14ac:dyDescent="0.2">
      <c r="A345" s="70" t="s">
        <v>1868</v>
      </c>
      <c r="B345" s="71" t="s">
        <v>1866</v>
      </c>
      <c r="C345" s="72" t="s">
        <v>1867</v>
      </c>
      <c r="D345" s="73" t="s">
        <v>914</v>
      </c>
      <c r="E345" s="72" t="s">
        <v>915</v>
      </c>
      <c r="F345" s="74">
        <v>119.6</v>
      </c>
      <c r="G345" s="73" t="s">
        <v>829</v>
      </c>
      <c r="H345" s="73"/>
      <c r="I345" s="73"/>
      <c r="J345" s="73"/>
      <c r="K345" s="73"/>
      <c r="L345" s="73"/>
      <c r="M345" s="73"/>
      <c r="N345" s="73"/>
      <c r="O345" s="75">
        <f>SUM(TABELA25[[#This Row],[T1]:[T7]])</f>
        <v>0</v>
      </c>
      <c r="P345" s="76">
        <f>TABELA25[[#This Row],[PREÇO]]*TABELA25[[#This Row],[QTDE]]</f>
        <v>0</v>
      </c>
    </row>
    <row r="346" spans="1:16" x14ac:dyDescent="0.2">
      <c r="A346" s="70" t="s">
        <v>1871</v>
      </c>
      <c r="B346" s="71" t="s">
        <v>1869</v>
      </c>
      <c r="C346" s="72" t="s">
        <v>1870</v>
      </c>
      <c r="D346" s="73" t="s">
        <v>1384</v>
      </c>
      <c r="E346" s="72" t="s">
        <v>1386</v>
      </c>
      <c r="F346" s="74">
        <v>159.6</v>
      </c>
      <c r="G346" s="73" t="s">
        <v>829</v>
      </c>
      <c r="H346" s="73"/>
      <c r="I346" s="73"/>
      <c r="J346" s="73"/>
      <c r="K346" s="73"/>
      <c r="L346" s="73"/>
      <c r="M346" s="73"/>
      <c r="N346" s="73"/>
      <c r="O346" s="75">
        <f>SUM(TABELA25[[#This Row],[T1]:[T7]])</f>
        <v>0</v>
      </c>
      <c r="P346" s="76">
        <f>TABELA25[[#This Row],[PREÇO]]*TABELA25[[#This Row],[QTDE]]</f>
        <v>0</v>
      </c>
    </row>
    <row r="347" spans="1:16" x14ac:dyDescent="0.2">
      <c r="A347" s="70" t="s">
        <v>1874</v>
      </c>
      <c r="B347" s="71" t="s">
        <v>1872</v>
      </c>
      <c r="C347" s="72" t="s">
        <v>1873</v>
      </c>
      <c r="D347" s="73" t="s">
        <v>1133</v>
      </c>
      <c r="E347" s="72" t="s">
        <v>1134</v>
      </c>
      <c r="F347" s="74">
        <v>183.6</v>
      </c>
      <c r="G347" s="73" t="s">
        <v>829</v>
      </c>
      <c r="H347" s="73"/>
      <c r="I347" s="73"/>
      <c r="J347" s="73"/>
      <c r="K347" s="73"/>
      <c r="L347" s="73"/>
      <c r="M347" s="73"/>
      <c r="N347" s="73"/>
      <c r="O347" s="75">
        <f>SUM(TABELA25[[#This Row],[T1]:[T7]])</f>
        <v>0</v>
      </c>
      <c r="P347" s="76">
        <f>TABELA25[[#This Row],[PREÇO]]*TABELA25[[#This Row],[QTDE]]</f>
        <v>0</v>
      </c>
    </row>
    <row r="348" spans="1:16" x14ac:dyDescent="0.2">
      <c r="A348" s="70" t="s">
        <v>1877</v>
      </c>
      <c r="B348" s="71" t="s">
        <v>1875</v>
      </c>
      <c r="C348" s="72" t="s">
        <v>1876</v>
      </c>
      <c r="D348" s="73" t="s">
        <v>32</v>
      </c>
      <c r="E348" s="72" t="s">
        <v>33</v>
      </c>
      <c r="F348" s="74">
        <v>175.6</v>
      </c>
      <c r="G348" s="73" t="s">
        <v>829</v>
      </c>
      <c r="H348" s="73"/>
      <c r="I348" s="73"/>
      <c r="J348" s="73"/>
      <c r="K348" s="73"/>
      <c r="L348" s="73"/>
      <c r="M348" s="73"/>
      <c r="N348" s="73"/>
      <c r="O348" s="75">
        <f>SUM(TABELA25[[#This Row],[T1]:[T7]])</f>
        <v>0</v>
      </c>
      <c r="P348" s="76">
        <f>TABELA25[[#This Row],[PREÇO]]*TABELA25[[#This Row],[QTDE]]</f>
        <v>0</v>
      </c>
    </row>
    <row r="349" spans="1:16" x14ac:dyDescent="0.2">
      <c r="A349" s="70" t="s">
        <v>1880</v>
      </c>
      <c r="B349" s="71" t="s">
        <v>1878</v>
      </c>
      <c r="C349" s="72" t="s">
        <v>1879</v>
      </c>
      <c r="D349" s="73" t="s">
        <v>929</v>
      </c>
      <c r="E349" s="72" t="s">
        <v>931</v>
      </c>
      <c r="F349" s="74">
        <v>159.6</v>
      </c>
      <c r="G349" s="73" t="s">
        <v>829</v>
      </c>
      <c r="H349" s="73"/>
      <c r="I349" s="73"/>
      <c r="J349" s="73"/>
      <c r="K349" s="73"/>
      <c r="L349" s="73"/>
      <c r="M349" s="73"/>
      <c r="N349" s="73"/>
      <c r="O349" s="75">
        <f>SUM(TABELA25[[#This Row],[T1]:[T7]])</f>
        <v>0</v>
      </c>
      <c r="P349" s="76">
        <f>TABELA25[[#This Row],[PREÇO]]*TABELA25[[#This Row],[QTDE]]</f>
        <v>0</v>
      </c>
    </row>
    <row r="350" spans="1:16" x14ac:dyDescent="0.2">
      <c r="A350" s="70" t="s">
        <v>1883</v>
      </c>
      <c r="B350" s="71" t="s">
        <v>1881</v>
      </c>
      <c r="C350" s="72" t="s">
        <v>1882</v>
      </c>
      <c r="D350" s="73" t="s">
        <v>1133</v>
      </c>
      <c r="E350" s="72" t="s">
        <v>1134</v>
      </c>
      <c r="F350" s="74">
        <v>159.6</v>
      </c>
      <c r="G350" s="73" t="s">
        <v>829</v>
      </c>
      <c r="H350" s="73"/>
      <c r="I350" s="73"/>
      <c r="J350" s="73"/>
      <c r="K350" s="73"/>
      <c r="L350" s="73"/>
      <c r="M350" s="73"/>
      <c r="N350" s="73"/>
      <c r="O350" s="75">
        <f>SUM(TABELA25[[#This Row],[T1]:[T7]])</f>
        <v>0</v>
      </c>
      <c r="P350" s="76">
        <f>TABELA25[[#This Row],[PREÇO]]*TABELA25[[#This Row],[QTDE]]</f>
        <v>0</v>
      </c>
    </row>
    <row r="351" spans="1:16" x14ac:dyDescent="0.2">
      <c r="A351" s="70" t="s">
        <v>1886</v>
      </c>
      <c r="B351" s="71" t="s">
        <v>1884</v>
      </c>
      <c r="C351" s="72" t="s">
        <v>1885</v>
      </c>
      <c r="D351" s="73" t="s">
        <v>1805</v>
      </c>
      <c r="E351" s="72" t="s">
        <v>1807</v>
      </c>
      <c r="F351" s="74">
        <v>179.6</v>
      </c>
      <c r="G351" s="73" t="s">
        <v>829</v>
      </c>
      <c r="H351" s="73"/>
      <c r="I351" s="73"/>
      <c r="J351" s="73"/>
      <c r="K351" s="73"/>
      <c r="L351" s="73"/>
      <c r="M351" s="73"/>
      <c r="N351" s="73"/>
      <c r="O351" s="75">
        <f>SUM(TABELA25[[#This Row],[T1]:[T7]])</f>
        <v>0</v>
      </c>
      <c r="P351" s="76">
        <f>TABELA25[[#This Row],[PREÇO]]*TABELA25[[#This Row],[QTDE]]</f>
        <v>0</v>
      </c>
    </row>
    <row r="352" spans="1:16" x14ac:dyDescent="0.2">
      <c r="A352" s="70" t="s">
        <v>1889</v>
      </c>
      <c r="B352" s="71" t="s">
        <v>1887</v>
      </c>
      <c r="C352" s="72" t="s">
        <v>1888</v>
      </c>
      <c r="D352" s="73" t="s">
        <v>1836</v>
      </c>
      <c r="E352" s="72" t="s">
        <v>1838</v>
      </c>
      <c r="F352" s="74">
        <v>103.6</v>
      </c>
      <c r="G352" s="73" t="s">
        <v>829</v>
      </c>
      <c r="H352" s="73"/>
      <c r="I352" s="73"/>
      <c r="J352" s="73"/>
      <c r="K352" s="73"/>
      <c r="L352" s="73"/>
      <c r="M352" s="73"/>
      <c r="N352" s="73"/>
      <c r="O352" s="75">
        <f>SUM(TABELA25[[#This Row],[T1]:[T7]])</f>
        <v>0</v>
      </c>
      <c r="P352" s="76">
        <f>TABELA25[[#This Row],[PREÇO]]*TABELA25[[#This Row],[QTDE]]</f>
        <v>0</v>
      </c>
    </row>
    <row r="353" spans="1:16" x14ac:dyDescent="0.2">
      <c r="A353" s="70" t="s">
        <v>1892</v>
      </c>
      <c r="B353" s="71" t="s">
        <v>1890</v>
      </c>
      <c r="C353" s="72" t="s">
        <v>1891</v>
      </c>
      <c r="D353" s="73" t="s">
        <v>1783</v>
      </c>
      <c r="E353" s="72" t="s">
        <v>1785</v>
      </c>
      <c r="F353" s="74">
        <v>159.6</v>
      </c>
      <c r="G353" s="73" t="s">
        <v>829</v>
      </c>
      <c r="H353" s="73"/>
      <c r="I353" s="73"/>
      <c r="J353" s="73"/>
      <c r="K353" s="73"/>
      <c r="L353" s="73"/>
      <c r="M353" s="73"/>
      <c r="N353" s="73"/>
      <c r="O353" s="75">
        <f>SUM(TABELA25[[#This Row],[T1]:[T7]])</f>
        <v>0</v>
      </c>
      <c r="P353" s="76">
        <f>TABELA25[[#This Row],[PREÇO]]*TABELA25[[#This Row],[QTDE]]</f>
        <v>0</v>
      </c>
    </row>
    <row r="354" spans="1:16" x14ac:dyDescent="0.2">
      <c r="A354" s="70" t="s">
        <v>1895</v>
      </c>
      <c r="B354" s="71" t="s">
        <v>1893</v>
      </c>
      <c r="C354" s="72" t="s">
        <v>1894</v>
      </c>
      <c r="D354" s="73" t="s">
        <v>1783</v>
      </c>
      <c r="E354" s="72" t="s">
        <v>1785</v>
      </c>
      <c r="F354" s="74">
        <v>199.6</v>
      </c>
      <c r="G354" s="73" t="s">
        <v>829</v>
      </c>
      <c r="H354" s="73"/>
      <c r="I354" s="73"/>
      <c r="J354" s="73"/>
      <c r="K354" s="73"/>
      <c r="L354" s="73"/>
      <c r="M354" s="73"/>
      <c r="N354" s="73"/>
      <c r="O354" s="75">
        <f>SUM(TABELA25[[#This Row],[T1]:[T7]])</f>
        <v>0</v>
      </c>
      <c r="P354" s="76">
        <f>TABELA25[[#This Row],[PREÇO]]*TABELA25[[#This Row],[QTDE]]</f>
        <v>0</v>
      </c>
    </row>
    <row r="355" spans="1:16" x14ac:dyDescent="0.2">
      <c r="A355" s="70" t="s">
        <v>1898</v>
      </c>
      <c r="B355" s="71" t="s">
        <v>1896</v>
      </c>
      <c r="C355" s="72" t="s">
        <v>1897</v>
      </c>
      <c r="D355" s="73" t="s">
        <v>32</v>
      </c>
      <c r="E355" s="72" t="s">
        <v>33</v>
      </c>
      <c r="F355" s="74">
        <v>183.6</v>
      </c>
      <c r="G355" s="73" t="s">
        <v>829</v>
      </c>
      <c r="H355" s="73"/>
      <c r="I355" s="73"/>
      <c r="J355" s="73"/>
      <c r="K355" s="73"/>
      <c r="L355" s="73"/>
      <c r="M355" s="73"/>
      <c r="N355" s="73"/>
      <c r="O355" s="75">
        <f>SUM(TABELA25[[#This Row],[T1]:[T7]])</f>
        <v>0</v>
      </c>
      <c r="P355" s="76">
        <f>TABELA25[[#This Row],[PREÇO]]*TABELA25[[#This Row],[QTDE]]</f>
        <v>0</v>
      </c>
    </row>
    <row r="356" spans="1:16" x14ac:dyDescent="0.2">
      <c r="A356" s="70" t="s">
        <v>1901</v>
      </c>
      <c r="B356" s="71" t="s">
        <v>1899</v>
      </c>
      <c r="C356" s="72" t="s">
        <v>1900</v>
      </c>
      <c r="D356" s="73" t="s">
        <v>914</v>
      </c>
      <c r="E356" s="72" t="s">
        <v>915</v>
      </c>
      <c r="F356" s="74">
        <v>131.6</v>
      </c>
      <c r="G356" s="73" t="s">
        <v>829</v>
      </c>
      <c r="H356" s="73"/>
      <c r="I356" s="73"/>
      <c r="J356" s="73"/>
      <c r="K356" s="73"/>
      <c r="L356" s="73"/>
      <c r="M356" s="73"/>
      <c r="N356" s="73"/>
      <c r="O356" s="75">
        <f>SUM(TABELA25[[#This Row],[T1]:[T7]])</f>
        <v>0</v>
      </c>
      <c r="P356" s="76">
        <f>TABELA25[[#This Row],[PREÇO]]*TABELA25[[#This Row],[QTDE]]</f>
        <v>0</v>
      </c>
    </row>
    <row r="357" spans="1:16" x14ac:dyDescent="0.2">
      <c r="A357" s="70" t="s">
        <v>1904</v>
      </c>
      <c r="B357" s="71" t="s">
        <v>1902</v>
      </c>
      <c r="C357" s="72" t="s">
        <v>1903</v>
      </c>
      <c r="D357" s="73" t="s">
        <v>1474</v>
      </c>
      <c r="E357" s="72" t="s">
        <v>1475</v>
      </c>
      <c r="F357" s="74">
        <v>175.6</v>
      </c>
      <c r="G357" s="73" t="s">
        <v>829</v>
      </c>
      <c r="H357" s="73"/>
      <c r="I357" s="73"/>
      <c r="J357" s="73"/>
      <c r="K357" s="73"/>
      <c r="L357" s="73"/>
      <c r="M357" s="73"/>
      <c r="N357" s="73"/>
      <c r="O357" s="75">
        <f>SUM(TABELA25[[#This Row],[T1]:[T7]])</f>
        <v>0</v>
      </c>
      <c r="P357" s="76">
        <f>TABELA25[[#This Row],[PREÇO]]*TABELA25[[#This Row],[QTDE]]</f>
        <v>0</v>
      </c>
    </row>
    <row r="358" spans="1:16" x14ac:dyDescent="0.2">
      <c r="A358" s="70" t="s">
        <v>1907</v>
      </c>
      <c r="B358" s="71" t="s">
        <v>1905</v>
      </c>
      <c r="C358" s="72" t="s">
        <v>1906</v>
      </c>
      <c r="D358" s="73" t="s">
        <v>1384</v>
      </c>
      <c r="E358" s="72" t="s">
        <v>1386</v>
      </c>
      <c r="F358" s="74">
        <v>187.6</v>
      </c>
      <c r="G358" s="73" t="s">
        <v>829</v>
      </c>
      <c r="H358" s="73"/>
      <c r="I358" s="73"/>
      <c r="J358" s="73"/>
      <c r="K358" s="73"/>
      <c r="L358" s="73"/>
      <c r="M358" s="73"/>
      <c r="N358" s="73"/>
      <c r="O358" s="75">
        <f>SUM(TABELA25[[#This Row],[T1]:[T7]])</f>
        <v>0</v>
      </c>
      <c r="P358" s="76">
        <f>TABELA25[[#This Row],[PREÇO]]*TABELA25[[#This Row],[QTDE]]</f>
        <v>0</v>
      </c>
    </row>
    <row r="359" spans="1:16" x14ac:dyDescent="0.2">
      <c r="A359" s="70" t="s">
        <v>1910</v>
      </c>
      <c r="B359" s="71" t="s">
        <v>1908</v>
      </c>
      <c r="C359" s="72" t="s">
        <v>1909</v>
      </c>
      <c r="D359" s="73" t="s">
        <v>1384</v>
      </c>
      <c r="E359" s="72" t="s">
        <v>1386</v>
      </c>
      <c r="F359" s="74">
        <v>119.6</v>
      </c>
      <c r="G359" s="73" t="s">
        <v>829</v>
      </c>
      <c r="H359" s="73"/>
      <c r="I359" s="73"/>
      <c r="J359" s="73"/>
      <c r="K359" s="73"/>
      <c r="L359" s="73"/>
      <c r="M359" s="73"/>
      <c r="N359" s="73"/>
      <c r="O359" s="75">
        <f>SUM(TABELA25[[#This Row],[T1]:[T7]])</f>
        <v>0</v>
      </c>
      <c r="P359" s="76">
        <f>TABELA25[[#This Row],[PREÇO]]*TABELA25[[#This Row],[QTDE]]</f>
        <v>0</v>
      </c>
    </row>
    <row r="360" spans="1:16" x14ac:dyDescent="0.2">
      <c r="A360" s="70" t="s">
        <v>1913</v>
      </c>
      <c r="B360" s="71" t="s">
        <v>1911</v>
      </c>
      <c r="C360" s="72" t="s">
        <v>1912</v>
      </c>
      <c r="D360" s="73" t="s">
        <v>1384</v>
      </c>
      <c r="E360" s="72" t="s">
        <v>1386</v>
      </c>
      <c r="F360" s="74">
        <v>175.6</v>
      </c>
      <c r="G360" s="73" t="s">
        <v>829</v>
      </c>
      <c r="H360" s="73"/>
      <c r="I360" s="73"/>
      <c r="J360" s="73"/>
      <c r="K360" s="73"/>
      <c r="L360" s="73"/>
      <c r="M360" s="73"/>
      <c r="N360" s="73"/>
      <c r="O360" s="75">
        <f>SUM(TABELA25[[#This Row],[T1]:[T7]])</f>
        <v>0</v>
      </c>
      <c r="P360" s="76">
        <f>TABELA25[[#This Row],[PREÇO]]*TABELA25[[#This Row],[QTDE]]</f>
        <v>0</v>
      </c>
    </row>
    <row r="361" spans="1:16" x14ac:dyDescent="0.2">
      <c r="A361" s="70" t="s">
        <v>1916</v>
      </c>
      <c r="B361" s="71" t="s">
        <v>1914</v>
      </c>
      <c r="C361" s="72" t="s">
        <v>1915</v>
      </c>
      <c r="D361" s="73" t="s">
        <v>32</v>
      </c>
      <c r="E361" s="72" t="s">
        <v>33</v>
      </c>
      <c r="F361" s="74">
        <v>139.6</v>
      </c>
      <c r="G361" s="73" t="s">
        <v>829</v>
      </c>
      <c r="H361" s="73"/>
      <c r="I361" s="73"/>
      <c r="J361" s="73"/>
      <c r="K361" s="73"/>
      <c r="L361" s="73"/>
      <c r="M361" s="73"/>
      <c r="N361" s="73"/>
      <c r="O361" s="75">
        <f>SUM(TABELA25[[#This Row],[T1]:[T7]])</f>
        <v>0</v>
      </c>
      <c r="P361" s="76">
        <f>TABELA25[[#This Row],[PREÇO]]*TABELA25[[#This Row],[QTDE]]</f>
        <v>0</v>
      </c>
    </row>
    <row r="362" spans="1:16" x14ac:dyDescent="0.2">
      <c r="A362" s="70" t="s">
        <v>1919</v>
      </c>
      <c r="B362" s="71" t="s">
        <v>1917</v>
      </c>
      <c r="C362" s="72" t="s">
        <v>1918</v>
      </c>
      <c r="D362" s="73" t="s">
        <v>1133</v>
      </c>
      <c r="E362" s="72" t="s">
        <v>1134</v>
      </c>
      <c r="F362" s="74">
        <v>119.6</v>
      </c>
      <c r="G362" s="73" t="s">
        <v>829</v>
      </c>
      <c r="H362" s="73"/>
      <c r="I362" s="73"/>
      <c r="J362" s="73"/>
      <c r="K362" s="73"/>
      <c r="L362" s="73"/>
      <c r="M362" s="73"/>
      <c r="N362" s="73"/>
      <c r="O362" s="75">
        <f>SUM(TABELA25[[#This Row],[T1]:[T7]])</f>
        <v>0</v>
      </c>
      <c r="P362" s="76">
        <f>TABELA25[[#This Row],[PREÇO]]*TABELA25[[#This Row],[QTDE]]</f>
        <v>0</v>
      </c>
    </row>
    <row r="363" spans="1:16" x14ac:dyDescent="0.2">
      <c r="A363" s="70" t="s">
        <v>1920</v>
      </c>
      <c r="B363" s="71" t="s">
        <v>1917</v>
      </c>
      <c r="C363" s="72" t="s">
        <v>1918</v>
      </c>
      <c r="D363" s="73" t="s">
        <v>914</v>
      </c>
      <c r="E363" s="72" t="s">
        <v>915</v>
      </c>
      <c r="F363" s="74">
        <v>119.6</v>
      </c>
      <c r="G363" s="73" t="s">
        <v>826</v>
      </c>
      <c r="H363" s="73"/>
      <c r="I363" s="73"/>
      <c r="J363" s="73"/>
      <c r="K363" s="73"/>
      <c r="L363" s="73"/>
      <c r="M363" s="73"/>
      <c r="N363" s="73"/>
      <c r="O363" s="75">
        <f>SUM(TABELA25[[#This Row],[T1]:[T7]])</f>
        <v>0</v>
      </c>
      <c r="P363" s="76">
        <f>TABELA25[[#This Row],[PREÇO]]*TABELA25[[#This Row],[QTDE]]</f>
        <v>0</v>
      </c>
    </row>
    <row r="364" spans="1:16" x14ac:dyDescent="0.2">
      <c r="A364" s="70" t="s">
        <v>1923</v>
      </c>
      <c r="B364" s="71" t="s">
        <v>1921</v>
      </c>
      <c r="C364" s="72" t="s">
        <v>1922</v>
      </c>
      <c r="D364" s="73" t="s">
        <v>1836</v>
      </c>
      <c r="E364" s="72" t="s">
        <v>1838</v>
      </c>
      <c r="F364" s="74">
        <v>199.6</v>
      </c>
      <c r="G364" s="73" t="s">
        <v>829</v>
      </c>
      <c r="H364" s="73"/>
      <c r="I364" s="73"/>
      <c r="J364" s="73"/>
      <c r="K364" s="73"/>
      <c r="L364" s="73"/>
      <c r="M364" s="73"/>
      <c r="N364" s="73"/>
      <c r="O364" s="75">
        <f>SUM(TABELA25[[#This Row],[T1]:[T7]])</f>
        <v>0</v>
      </c>
      <c r="P364" s="76">
        <f>TABELA25[[#This Row],[PREÇO]]*TABELA25[[#This Row],[QTDE]]</f>
        <v>0</v>
      </c>
    </row>
    <row r="365" spans="1:16" x14ac:dyDescent="0.2">
      <c r="A365" s="70" t="s">
        <v>1926</v>
      </c>
      <c r="B365" s="71" t="s">
        <v>1924</v>
      </c>
      <c r="C365" s="72" t="s">
        <v>1925</v>
      </c>
      <c r="D365" s="73" t="s">
        <v>32</v>
      </c>
      <c r="E365" s="72" t="s">
        <v>33</v>
      </c>
      <c r="F365" s="74">
        <v>119.6</v>
      </c>
      <c r="G365" s="73" t="s">
        <v>829</v>
      </c>
      <c r="H365" s="73"/>
      <c r="I365" s="73"/>
      <c r="J365" s="73"/>
      <c r="K365" s="73"/>
      <c r="L365" s="73"/>
      <c r="M365" s="73"/>
      <c r="N365" s="73"/>
      <c r="O365" s="75">
        <f>SUM(TABELA25[[#This Row],[T1]:[T7]])</f>
        <v>0</v>
      </c>
      <c r="P365" s="76">
        <f>TABELA25[[#This Row],[PREÇO]]*TABELA25[[#This Row],[QTDE]]</f>
        <v>0</v>
      </c>
    </row>
    <row r="366" spans="1:16" x14ac:dyDescent="0.2">
      <c r="A366" s="70" t="s">
        <v>1929</v>
      </c>
      <c r="B366" s="71" t="s">
        <v>1927</v>
      </c>
      <c r="C366" s="72" t="s">
        <v>1928</v>
      </c>
      <c r="D366" s="73" t="s">
        <v>1474</v>
      </c>
      <c r="E366" s="72" t="s">
        <v>1475</v>
      </c>
      <c r="F366" s="74">
        <v>159.6</v>
      </c>
      <c r="G366" s="73" t="s">
        <v>829</v>
      </c>
      <c r="H366" s="73"/>
      <c r="I366" s="73"/>
      <c r="J366" s="73"/>
      <c r="K366" s="73"/>
      <c r="L366" s="73"/>
      <c r="M366" s="73"/>
      <c r="N366" s="73"/>
      <c r="O366" s="75">
        <f>SUM(TABELA25[[#This Row],[T1]:[T7]])</f>
        <v>0</v>
      </c>
      <c r="P366" s="76">
        <f>TABELA25[[#This Row],[PREÇO]]*TABELA25[[#This Row],[QTDE]]</f>
        <v>0</v>
      </c>
    </row>
    <row r="367" spans="1:16" x14ac:dyDescent="0.2">
      <c r="A367" s="70" t="s">
        <v>1932</v>
      </c>
      <c r="B367" s="71" t="s">
        <v>1930</v>
      </c>
      <c r="C367" s="72" t="s">
        <v>1931</v>
      </c>
      <c r="D367" s="73" t="s">
        <v>830</v>
      </c>
      <c r="E367" s="72" t="s">
        <v>43</v>
      </c>
      <c r="F367" s="74">
        <v>139.6</v>
      </c>
      <c r="G367" s="73" t="s">
        <v>829</v>
      </c>
      <c r="H367" s="73"/>
      <c r="I367" s="73"/>
      <c r="J367" s="73"/>
      <c r="K367" s="73"/>
      <c r="L367" s="73"/>
      <c r="M367" s="73"/>
      <c r="N367" s="73"/>
      <c r="O367" s="75">
        <f>SUM(TABELA25[[#This Row],[T1]:[T7]])</f>
        <v>0</v>
      </c>
      <c r="P367" s="76">
        <f>TABELA25[[#This Row],[PREÇO]]*TABELA25[[#This Row],[QTDE]]</f>
        <v>0</v>
      </c>
    </row>
    <row r="368" spans="1:16" x14ac:dyDescent="0.2">
      <c r="A368" s="70" t="s">
        <v>1935</v>
      </c>
      <c r="B368" s="71" t="s">
        <v>1933</v>
      </c>
      <c r="C368" s="72" t="s">
        <v>1934</v>
      </c>
      <c r="D368" s="73" t="s">
        <v>1474</v>
      </c>
      <c r="E368" s="72" t="s">
        <v>1475</v>
      </c>
      <c r="F368" s="74">
        <v>159.6</v>
      </c>
      <c r="G368" s="73" t="s">
        <v>829</v>
      </c>
      <c r="H368" s="73"/>
      <c r="I368" s="73"/>
      <c r="J368" s="73"/>
      <c r="K368" s="73"/>
      <c r="L368" s="73"/>
      <c r="M368" s="73"/>
      <c r="N368" s="73"/>
      <c r="O368" s="75">
        <f>SUM(TABELA25[[#This Row],[T1]:[T7]])</f>
        <v>0</v>
      </c>
      <c r="P368" s="76">
        <f>TABELA25[[#This Row],[PREÇO]]*TABELA25[[#This Row],[QTDE]]</f>
        <v>0</v>
      </c>
    </row>
    <row r="369" spans="1:16" x14ac:dyDescent="0.2">
      <c r="A369" s="70" t="s">
        <v>1938</v>
      </c>
      <c r="B369" s="71" t="s">
        <v>1936</v>
      </c>
      <c r="C369" s="72" t="s">
        <v>1937</v>
      </c>
      <c r="D369" s="73" t="s">
        <v>821</v>
      </c>
      <c r="E369" s="72" t="s">
        <v>822</v>
      </c>
      <c r="F369" s="74">
        <v>159.6</v>
      </c>
      <c r="G369" s="73" t="s">
        <v>829</v>
      </c>
      <c r="H369" s="73"/>
      <c r="I369" s="73"/>
      <c r="J369" s="73"/>
      <c r="K369" s="73"/>
      <c r="L369" s="73"/>
      <c r="M369" s="73"/>
      <c r="N369" s="73"/>
      <c r="O369" s="75">
        <f>SUM(TABELA25[[#This Row],[T1]:[T7]])</f>
        <v>0</v>
      </c>
      <c r="P369" s="76">
        <f>TABELA25[[#This Row],[PREÇO]]*TABELA25[[#This Row],[QTDE]]</f>
        <v>0</v>
      </c>
    </row>
    <row r="370" spans="1:16" x14ac:dyDescent="0.2">
      <c r="A370" s="70" t="s">
        <v>1941</v>
      </c>
      <c r="B370" s="71" t="s">
        <v>1939</v>
      </c>
      <c r="C370" s="72" t="s">
        <v>1940</v>
      </c>
      <c r="D370" s="73" t="s">
        <v>1783</v>
      </c>
      <c r="E370" s="72" t="s">
        <v>1785</v>
      </c>
      <c r="F370" s="74">
        <v>131.6</v>
      </c>
      <c r="G370" s="73" t="s">
        <v>829</v>
      </c>
      <c r="H370" s="73"/>
      <c r="I370" s="73"/>
      <c r="J370" s="73"/>
      <c r="K370" s="73"/>
      <c r="L370" s="73"/>
      <c r="M370" s="73"/>
      <c r="N370" s="73"/>
      <c r="O370" s="75">
        <f>SUM(TABELA25[[#This Row],[T1]:[T7]])</f>
        <v>0</v>
      </c>
      <c r="P370" s="76">
        <f>TABELA25[[#This Row],[PREÇO]]*TABELA25[[#This Row],[QTDE]]</f>
        <v>0</v>
      </c>
    </row>
    <row r="371" spans="1:16" x14ac:dyDescent="0.2">
      <c r="A371" s="70" t="s">
        <v>1944</v>
      </c>
      <c r="B371" s="71" t="s">
        <v>1942</v>
      </c>
      <c r="C371" s="72" t="s">
        <v>1943</v>
      </c>
      <c r="D371" s="73" t="s">
        <v>1805</v>
      </c>
      <c r="E371" s="72" t="s">
        <v>1807</v>
      </c>
      <c r="F371" s="74">
        <v>175.6</v>
      </c>
      <c r="G371" s="73" t="s">
        <v>829</v>
      </c>
      <c r="H371" s="73"/>
      <c r="I371" s="73"/>
      <c r="J371" s="73"/>
      <c r="K371" s="73"/>
      <c r="L371" s="73"/>
      <c r="M371" s="73"/>
      <c r="N371" s="73"/>
      <c r="O371" s="75">
        <f>SUM(TABELA25[[#This Row],[T1]:[T7]])</f>
        <v>0</v>
      </c>
      <c r="P371" s="76">
        <f>TABELA25[[#This Row],[PREÇO]]*TABELA25[[#This Row],[QTDE]]</f>
        <v>0</v>
      </c>
    </row>
    <row r="372" spans="1:16" x14ac:dyDescent="0.2">
      <c r="A372" s="70" t="s">
        <v>1948</v>
      </c>
      <c r="B372" s="71" t="s">
        <v>1945</v>
      </c>
      <c r="C372" s="72" t="s">
        <v>1946</v>
      </c>
      <c r="D372" s="73" t="s">
        <v>914</v>
      </c>
      <c r="E372" s="72" t="s">
        <v>915</v>
      </c>
      <c r="F372" s="74">
        <v>151.6</v>
      </c>
      <c r="G372" s="73" t="s">
        <v>829</v>
      </c>
      <c r="H372" s="73"/>
      <c r="I372" s="73"/>
      <c r="J372" s="73"/>
      <c r="K372" s="73"/>
      <c r="L372" s="73"/>
      <c r="M372" s="73"/>
      <c r="N372" s="73"/>
      <c r="O372" s="75">
        <f>SUM(TABELA25[[#This Row],[T1]:[T7]])</f>
        <v>0</v>
      </c>
      <c r="P372" s="76">
        <f>TABELA25[[#This Row],[PREÇO]]*TABELA25[[#This Row],[QTDE]]</f>
        <v>0</v>
      </c>
    </row>
    <row r="373" spans="1:16" x14ac:dyDescent="0.2">
      <c r="A373" s="70" t="s">
        <v>1947</v>
      </c>
      <c r="B373" s="71" t="s">
        <v>1945</v>
      </c>
      <c r="C373" s="72" t="s">
        <v>1946</v>
      </c>
      <c r="D373" s="73" t="s">
        <v>1133</v>
      </c>
      <c r="E373" s="72" t="s">
        <v>1134</v>
      </c>
      <c r="F373" s="74">
        <v>151.6</v>
      </c>
      <c r="G373" s="73" t="s">
        <v>829</v>
      </c>
      <c r="H373" s="73"/>
      <c r="I373" s="73"/>
      <c r="J373" s="73"/>
      <c r="K373" s="73"/>
      <c r="L373" s="73"/>
      <c r="M373" s="73"/>
      <c r="N373" s="73"/>
      <c r="O373" s="75">
        <f>SUM(TABELA25[[#This Row],[T1]:[T7]])</f>
        <v>0</v>
      </c>
      <c r="P373" s="76">
        <f>TABELA25[[#This Row],[PREÇO]]*TABELA25[[#This Row],[QTDE]]</f>
        <v>0</v>
      </c>
    </row>
    <row r="374" spans="1:16" x14ac:dyDescent="0.2">
      <c r="A374" s="70" t="s">
        <v>1951</v>
      </c>
      <c r="B374" s="71" t="s">
        <v>1949</v>
      </c>
      <c r="C374" s="72" t="s">
        <v>1950</v>
      </c>
      <c r="D374" s="73" t="s">
        <v>821</v>
      </c>
      <c r="E374" s="72" t="s">
        <v>822</v>
      </c>
      <c r="F374" s="74">
        <v>103.6</v>
      </c>
      <c r="G374" s="73" t="s">
        <v>829</v>
      </c>
      <c r="H374" s="73"/>
      <c r="I374" s="73"/>
      <c r="J374" s="73"/>
      <c r="K374" s="73"/>
      <c r="L374" s="73"/>
      <c r="M374" s="73"/>
      <c r="N374" s="73"/>
      <c r="O374" s="75">
        <f>SUM(TABELA25[[#This Row],[T1]:[T7]])</f>
        <v>0</v>
      </c>
      <c r="P374" s="76">
        <f>TABELA25[[#This Row],[PREÇO]]*TABELA25[[#This Row],[QTDE]]</f>
        <v>0</v>
      </c>
    </row>
    <row r="375" spans="1:16" x14ac:dyDescent="0.2">
      <c r="A375" s="70" t="s">
        <v>1954</v>
      </c>
      <c r="B375" s="71" t="s">
        <v>1952</v>
      </c>
      <c r="C375" s="72" t="s">
        <v>1953</v>
      </c>
      <c r="D375" s="73" t="s">
        <v>1384</v>
      </c>
      <c r="E375" s="72" t="s">
        <v>1386</v>
      </c>
      <c r="F375" s="74">
        <v>59.6</v>
      </c>
      <c r="G375" s="73" t="s">
        <v>829</v>
      </c>
      <c r="H375" s="73"/>
      <c r="I375" s="73"/>
      <c r="J375" s="73"/>
      <c r="K375" s="73"/>
      <c r="L375" s="73"/>
      <c r="M375" s="73"/>
      <c r="N375" s="73"/>
      <c r="O375" s="75">
        <f>SUM(TABELA25[[#This Row],[T1]:[T7]])</f>
        <v>0</v>
      </c>
      <c r="P375" s="76">
        <f>TABELA25[[#This Row],[PREÇO]]*TABELA25[[#This Row],[QTDE]]</f>
        <v>0</v>
      </c>
    </row>
    <row r="376" spans="1:16" x14ac:dyDescent="0.2">
      <c r="A376" s="70" t="s">
        <v>1957</v>
      </c>
      <c r="B376" s="71" t="s">
        <v>1955</v>
      </c>
      <c r="C376" s="72" t="s">
        <v>1956</v>
      </c>
      <c r="D376" s="73" t="s">
        <v>1384</v>
      </c>
      <c r="E376" s="72" t="s">
        <v>1386</v>
      </c>
      <c r="F376" s="74">
        <v>115.6</v>
      </c>
      <c r="G376" s="73" t="s">
        <v>829</v>
      </c>
      <c r="H376" s="73"/>
      <c r="I376" s="73"/>
      <c r="J376" s="73"/>
      <c r="K376" s="73"/>
      <c r="L376" s="73"/>
      <c r="M376" s="73"/>
      <c r="N376" s="73"/>
      <c r="O376" s="75">
        <f>SUM(TABELA25[[#This Row],[T1]:[T7]])</f>
        <v>0</v>
      </c>
      <c r="P376" s="76">
        <f>TABELA25[[#This Row],[PREÇO]]*TABELA25[[#This Row],[QTDE]]</f>
        <v>0</v>
      </c>
    </row>
    <row r="377" spans="1:16" x14ac:dyDescent="0.2">
      <c r="A377" s="70" t="s">
        <v>1960</v>
      </c>
      <c r="B377" s="71" t="s">
        <v>1958</v>
      </c>
      <c r="C377" s="72" t="s">
        <v>1959</v>
      </c>
      <c r="D377" s="73" t="s">
        <v>838</v>
      </c>
      <c r="E377" s="72" t="s">
        <v>765</v>
      </c>
      <c r="F377" s="74">
        <v>87.6</v>
      </c>
      <c r="G377" s="73" t="s">
        <v>826</v>
      </c>
      <c r="H377" s="73"/>
      <c r="I377" s="73"/>
      <c r="J377" s="73"/>
      <c r="K377" s="73"/>
      <c r="L377" s="73"/>
      <c r="M377" s="73"/>
      <c r="N377" s="73"/>
      <c r="O377" s="75">
        <f>SUM(TABELA25[[#This Row],[T1]:[T7]])</f>
        <v>0</v>
      </c>
      <c r="P377" s="76">
        <f>TABELA25[[#This Row],[PREÇO]]*TABELA25[[#This Row],[QTDE]]</f>
        <v>0</v>
      </c>
    </row>
    <row r="378" spans="1:16" x14ac:dyDescent="0.2">
      <c r="A378" s="70" t="s">
        <v>1961</v>
      </c>
      <c r="B378" s="71" t="s">
        <v>1958</v>
      </c>
      <c r="C378" s="72" t="s">
        <v>1959</v>
      </c>
      <c r="D378" s="73" t="s">
        <v>1800</v>
      </c>
      <c r="E378" s="72" t="s">
        <v>1802</v>
      </c>
      <c r="F378" s="74">
        <v>87.6</v>
      </c>
      <c r="G378" s="73" t="s">
        <v>826</v>
      </c>
      <c r="H378" s="73"/>
      <c r="I378" s="73"/>
      <c r="J378" s="73"/>
      <c r="K378" s="73"/>
      <c r="L378" s="73"/>
      <c r="M378" s="73"/>
      <c r="N378" s="73"/>
      <c r="O378" s="75">
        <f>SUM(TABELA25[[#This Row],[T1]:[T7]])</f>
        <v>0</v>
      </c>
      <c r="P378" s="76">
        <f>TABELA25[[#This Row],[PREÇO]]*TABELA25[[#This Row],[QTDE]]</f>
        <v>0</v>
      </c>
    </row>
    <row r="379" spans="1:16" x14ac:dyDescent="0.2">
      <c r="A379" s="70" t="s">
        <v>1962</v>
      </c>
      <c r="B379" s="71" t="s">
        <v>1963</v>
      </c>
      <c r="C379" s="72" t="s">
        <v>1964</v>
      </c>
      <c r="D379" s="73" t="s">
        <v>1800</v>
      </c>
      <c r="E379" s="72" t="s">
        <v>1802</v>
      </c>
      <c r="F379" s="74">
        <v>131.6</v>
      </c>
      <c r="G379" s="73" t="s">
        <v>826</v>
      </c>
      <c r="H379" s="73"/>
      <c r="I379" s="73"/>
      <c r="J379" s="73"/>
      <c r="K379" s="73"/>
      <c r="L379" s="73"/>
      <c r="M379" s="73"/>
      <c r="N379" s="73"/>
      <c r="O379" s="75">
        <f>SUM(TABELA25[[#This Row],[T1]:[T7]])</f>
        <v>0</v>
      </c>
      <c r="P379" s="76">
        <f>TABELA25[[#This Row],[PREÇO]]*TABELA25[[#This Row],[QTDE]]</f>
        <v>0</v>
      </c>
    </row>
    <row r="380" spans="1:16" x14ac:dyDescent="0.2">
      <c r="A380" s="70" t="s">
        <v>1965</v>
      </c>
      <c r="B380" s="71" t="s">
        <v>1966</v>
      </c>
      <c r="C380" s="72" t="s">
        <v>1967</v>
      </c>
      <c r="D380" s="73" t="s">
        <v>561</v>
      </c>
      <c r="E380" s="72" t="s">
        <v>45</v>
      </c>
      <c r="F380" s="74">
        <v>99.6</v>
      </c>
      <c r="G380" s="73" t="s">
        <v>826</v>
      </c>
      <c r="H380" s="73"/>
      <c r="I380" s="73"/>
      <c r="J380" s="73"/>
      <c r="K380" s="73"/>
      <c r="L380" s="73"/>
      <c r="M380" s="73"/>
      <c r="N380" s="73"/>
      <c r="O380" s="75">
        <f>SUM(TABELA25[[#This Row],[T1]:[T7]])</f>
        <v>0</v>
      </c>
      <c r="P380" s="76">
        <f>TABELA25[[#This Row],[PREÇO]]*TABELA25[[#This Row],[QTDE]]</f>
        <v>0</v>
      </c>
    </row>
    <row r="381" spans="1:16" x14ac:dyDescent="0.2">
      <c r="A381" s="70" t="s">
        <v>1968</v>
      </c>
      <c r="B381" s="71" t="s">
        <v>1966</v>
      </c>
      <c r="C381" s="72" t="s">
        <v>1967</v>
      </c>
      <c r="D381" s="73" t="s">
        <v>32</v>
      </c>
      <c r="E381" s="72" t="s">
        <v>33</v>
      </c>
      <c r="F381" s="74">
        <v>99.6</v>
      </c>
      <c r="G381" s="73" t="s">
        <v>826</v>
      </c>
      <c r="H381" s="73"/>
      <c r="I381" s="73"/>
      <c r="J381" s="73"/>
      <c r="K381" s="73"/>
      <c r="L381" s="73"/>
      <c r="M381" s="73"/>
      <c r="N381" s="73"/>
      <c r="O381" s="75">
        <f>SUM(TABELA25[[#This Row],[T1]:[T7]])</f>
        <v>0</v>
      </c>
      <c r="P381" s="76">
        <f>TABELA25[[#This Row],[PREÇO]]*TABELA25[[#This Row],[QTDE]]</f>
        <v>0</v>
      </c>
    </row>
    <row r="382" spans="1:16" x14ac:dyDescent="0.2">
      <c r="A382" s="70" t="s">
        <v>1971</v>
      </c>
      <c r="B382" s="71" t="s">
        <v>1969</v>
      </c>
      <c r="C382" s="72" t="s">
        <v>1970</v>
      </c>
      <c r="D382" s="73" t="s">
        <v>992</v>
      </c>
      <c r="E382" s="72" t="s">
        <v>994</v>
      </c>
      <c r="F382" s="74">
        <v>91.6</v>
      </c>
      <c r="G382" s="73" t="s">
        <v>826</v>
      </c>
      <c r="H382" s="73"/>
      <c r="I382" s="73"/>
      <c r="J382" s="73"/>
      <c r="K382" s="73"/>
      <c r="L382" s="73"/>
      <c r="M382" s="73"/>
      <c r="N382" s="73"/>
      <c r="O382" s="75">
        <f>SUM(TABELA25[[#This Row],[T1]:[T7]])</f>
        <v>0</v>
      </c>
      <c r="P382" s="76">
        <f>TABELA25[[#This Row],[PREÇO]]*TABELA25[[#This Row],[QTDE]]</f>
        <v>0</v>
      </c>
    </row>
    <row r="383" spans="1:16" x14ac:dyDescent="0.2">
      <c r="A383" s="70" t="s">
        <v>1974</v>
      </c>
      <c r="B383" s="71" t="s">
        <v>1972</v>
      </c>
      <c r="C383" s="72" t="s">
        <v>1973</v>
      </c>
      <c r="D383" s="73" t="s">
        <v>992</v>
      </c>
      <c r="E383" s="72" t="s">
        <v>994</v>
      </c>
      <c r="F383" s="74">
        <v>171.6</v>
      </c>
      <c r="G383" s="73" t="s">
        <v>829</v>
      </c>
      <c r="H383" s="73"/>
      <c r="I383" s="73"/>
      <c r="J383" s="73"/>
      <c r="K383" s="73"/>
      <c r="L383" s="73"/>
      <c r="M383" s="73"/>
      <c r="N383" s="73"/>
      <c r="O383" s="75">
        <f>SUM(TABELA25[[#This Row],[T1]:[T7]])</f>
        <v>0</v>
      </c>
      <c r="P383" s="76">
        <f>TABELA25[[#This Row],[PREÇO]]*TABELA25[[#This Row],[QTDE]]</f>
        <v>0</v>
      </c>
    </row>
    <row r="384" spans="1:16" x14ac:dyDescent="0.2">
      <c r="A384" s="70" t="s">
        <v>1977</v>
      </c>
      <c r="B384" s="71" t="s">
        <v>1975</v>
      </c>
      <c r="C384" s="72" t="s">
        <v>1976</v>
      </c>
      <c r="D384" s="73" t="s">
        <v>561</v>
      </c>
      <c r="E384" s="72" t="s">
        <v>45</v>
      </c>
      <c r="F384" s="74">
        <v>63.6</v>
      </c>
      <c r="G384" s="73" t="s">
        <v>829</v>
      </c>
      <c r="H384" s="73"/>
      <c r="I384" s="73"/>
      <c r="J384" s="73"/>
      <c r="K384" s="73"/>
      <c r="L384" s="73"/>
      <c r="M384" s="73"/>
      <c r="N384" s="73"/>
      <c r="O384" s="75">
        <f>SUM(TABELA25[[#This Row],[T1]:[T7]])</f>
        <v>0</v>
      </c>
      <c r="P384" s="76">
        <f>TABELA25[[#This Row],[PREÇO]]*TABELA25[[#This Row],[QTDE]]</f>
        <v>0</v>
      </c>
    </row>
    <row r="385" spans="1:16" x14ac:dyDescent="0.2">
      <c r="A385" s="70" t="s">
        <v>1978</v>
      </c>
      <c r="B385" s="71" t="s">
        <v>1975</v>
      </c>
      <c r="C385" s="72" t="s">
        <v>1976</v>
      </c>
      <c r="D385" s="73" t="s">
        <v>32</v>
      </c>
      <c r="E385" s="72" t="s">
        <v>33</v>
      </c>
      <c r="F385" s="74">
        <v>63.6</v>
      </c>
      <c r="G385" s="73" t="s">
        <v>829</v>
      </c>
      <c r="H385" s="73"/>
      <c r="I385" s="73"/>
      <c r="J385" s="73"/>
      <c r="K385" s="73"/>
      <c r="L385" s="73"/>
      <c r="M385" s="73"/>
      <c r="N385" s="73"/>
      <c r="O385" s="75">
        <f>SUM(TABELA25[[#This Row],[T1]:[T7]])</f>
        <v>0</v>
      </c>
      <c r="P385" s="76">
        <f>TABELA25[[#This Row],[PREÇO]]*TABELA25[[#This Row],[QTDE]]</f>
        <v>0</v>
      </c>
    </row>
    <row r="386" spans="1:16" x14ac:dyDescent="0.2">
      <c r="A386" s="70" t="s">
        <v>1979</v>
      </c>
      <c r="B386" s="71" t="s">
        <v>1980</v>
      </c>
      <c r="C386" s="72" t="s">
        <v>1981</v>
      </c>
      <c r="D386" s="73" t="s">
        <v>1474</v>
      </c>
      <c r="E386" s="72" t="s">
        <v>1475</v>
      </c>
      <c r="F386" s="74">
        <v>47.6</v>
      </c>
      <c r="G386" s="73" t="s">
        <v>826</v>
      </c>
      <c r="H386" s="73"/>
      <c r="I386" s="73"/>
      <c r="J386" s="73"/>
      <c r="K386" s="73"/>
      <c r="L386" s="73"/>
      <c r="M386" s="73"/>
      <c r="N386" s="73"/>
      <c r="O386" s="75">
        <f>SUM(TABELA25[[#This Row],[T1]:[T7]])</f>
        <v>0</v>
      </c>
      <c r="P386" s="76">
        <f>TABELA25[[#This Row],[PREÇO]]*TABELA25[[#This Row],[QTDE]]</f>
        <v>0</v>
      </c>
    </row>
    <row r="387" spans="1:16" x14ac:dyDescent="0.2">
      <c r="A387" s="70" t="s">
        <v>1982</v>
      </c>
      <c r="B387" s="71" t="s">
        <v>1980</v>
      </c>
      <c r="C387" s="72" t="s">
        <v>1981</v>
      </c>
      <c r="D387" s="73" t="s">
        <v>1514</v>
      </c>
      <c r="E387" s="72" t="s">
        <v>1516</v>
      </c>
      <c r="F387" s="74">
        <v>47.6</v>
      </c>
      <c r="G387" s="73" t="s">
        <v>826</v>
      </c>
      <c r="H387" s="73"/>
      <c r="I387" s="73"/>
      <c r="J387" s="73"/>
      <c r="K387" s="73"/>
      <c r="L387" s="73"/>
      <c r="M387" s="73"/>
      <c r="N387" s="73"/>
      <c r="O387" s="75">
        <f>SUM(TABELA25[[#This Row],[T1]:[T7]])</f>
        <v>0</v>
      </c>
      <c r="P387" s="76">
        <f>TABELA25[[#This Row],[PREÇO]]*TABELA25[[#This Row],[QTDE]]</f>
        <v>0</v>
      </c>
    </row>
    <row r="388" spans="1:16" x14ac:dyDescent="0.2">
      <c r="A388" s="70" t="s">
        <v>1986</v>
      </c>
      <c r="B388" s="71" t="s">
        <v>1984</v>
      </c>
      <c r="C388" s="72" t="s">
        <v>1985</v>
      </c>
      <c r="D388" s="73" t="s">
        <v>1164</v>
      </c>
      <c r="E388" s="72" t="s">
        <v>1166</v>
      </c>
      <c r="F388" s="74">
        <v>55.6</v>
      </c>
      <c r="G388" s="73" t="s">
        <v>826</v>
      </c>
      <c r="H388" s="73"/>
      <c r="I388" s="73"/>
      <c r="J388" s="73"/>
      <c r="K388" s="73"/>
      <c r="L388" s="73"/>
      <c r="M388" s="73"/>
      <c r="N388" s="73"/>
      <c r="O388" s="75">
        <f>SUM(TABELA25[[#This Row],[T1]:[T7]])</f>
        <v>0</v>
      </c>
      <c r="P388" s="76">
        <f>TABELA25[[#This Row],[PREÇO]]*TABELA25[[#This Row],[QTDE]]</f>
        <v>0</v>
      </c>
    </row>
    <row r="389" spans="1:16" x14ac:dyDescent="0.2">
      <c r="A389" s="70" t="s">
        <v>1987</v>
      </c>
      <c r="B389" s="71" t="s">
        <v>1984</v>
      </c>
      <c r="C389" s="72" t="s">
        <v>1985</v>
      </c>
      <c r="D389" s="73" t="s">
        <v>1559</v>
      </c>
      <c r="E389" s="72" t="s">
        <v>1688</v>
      </c>
      <c r="F389" s="74">
        <v>55.6</v>
      </c>
      <c r="G389" s="73" t="s">
        <v>826</v>
      </c>
      <c r="H389" s="73"/>
      <c r="I389" s="73"/>
      <c r="J389" s="73"/>
      <c r="K389" s="73"/>
      <c r="L389" s="73"/>
      <c r="M389" s="73"/>
      <c r="N389" s="73"/>
      <c r="O389" s="75">
        <f>SUM(TABELA25[[#This Row],[T1]:[T7]])</f>
        <v>0</v>
      </c>
      <c r="P389" s="76">
        <f>TABELA25[[#This Row],[PREÇO]]*TABELA25[[#This Row],[QTDE]]</f>
        <v>0</v>
      </c>
    </row>
    <row r="390" spans="1:16" x14ac:dyDescent="0.2">
      <c r="A390" s="70" t="s">
        <v>1983</v>
      </c>
      <c r="B390" s="71" t="s">
        <v>1984</v>
      </c>
      <c r="C390" s="72" t="s">
        <v>1985</v>
      </c>
      <c r="D390" s="73" t="s">
        <v>1133</v>
      </c>
      <c r="E390" s="72" t="s">
        <v>1134</v>
      </c>
      <c r="F390" s="74">
        <v>55.6</v>
      </c>
      <c r="G390" s="73" t="s">
        <v>826</v>
      </c>
      <c r="H390" s="73"/>
      <c r="I390" s="73"/>
      <c r="J390" s="73"/>
      <c r="K390" s="73"/>
      <c r="L390" s="73"/>
      <c r="M390" s="73"/>
      <c r="N390" s="73"/>
      <c r="O390" s="75">
        <f>SUM(TABELA25[[#This Row],[T1]:[T7]])</f>
        <v>0</v>
      </c>
      <c r="P390" s="76">
        <f>TABELA25[[#This Row],[PREÇO]]*TABELA25[[#This Row],[QTDE]]</f>
        <v>0</v>
      </c>
    </row>
    <row r="391" spans="1:16" x14ac:dyDescent="0.2">
      <c r="A391" s="70" t="s">
        <v>1988</v>
      </c>
      <c r="B391" s="71" t="s">
        <v>1989</v>
      </c>
      <c r="C391" s="72" t="s">
        <v>1990</v>
      </c>
      <c r="D391" s="73" t="s">
        <v>32</v>
      </c>
      <c r="E391" s="72" t="s">
        <v>33</v>
      </c>
      <c r="F391" s="74">
        <v>71.599999999999994</v>
      </c>
      <c r="G391" s="73" t="s">
        <v>826</v>
      </c>
      <c r="H391" s="73"/>
      <c r="I391" s="73"/>
      <c r="J391" s="73"/>
      <c r="K391" s="73"/>
      <c r="L391" s="73"/>
      <c r="M391" s="73"/>
      <c r="N391" s="73"/>
      <c r="O391" s="75">
        <f>SUM(TABELA25[[#This Row],[T1]:[T7]])</f>
        <v>0</v>
      </c>
      <c r="P391" s="76">
        <f>TABELA25[[#This Row],[PREÇO]]*TABELA25[[#This Row],[QTDE]]</f>
        <v>0</v>
      </c>
    </row>
    <row r="392" spans="1:16" x14ac:dyDescent="0.2">
      <c r="A392" s="70" t="s">
        <v>1991</v>
      </c>
      <c r="B392" s="71" t="s">
        <v>1989</v>
      </c>
      <c r="C392" s="72" t="s">
        <v>1990</v>
      </c>
      <c r="D392" s="73" t="s">
        <v>1133</v>
      </c>
      <c r="E392" s="72" t="s">
        <v>1134</v>
      </c>
      <c r="F392" s="74">
        <v>71.599999999999994</v>
      </c>
      <c r="G392" s="73" t="s">
        <v>826</v>
      </c>
      <c r="H392" s="73"/>
      <c r="I392" s="73"/>
      <c r="J392" s="73"/>
      <c r="K392" s="73"/>
      <c r="L392" s="73"/>
      <c r="M392" s="73"/>
      <c r="N392" s="73"/>
      <c r="O392" s="75">
        <f>SUM(TABELA25[[#This Row],[T1]:[T7]])</f>
        <v>0</v>
      </c>
      <c r="P392" s="76">
        <f>TABELA25[[#This Row],[PREÇO]]*TABELA25[[#This Row],[QTDE]]</f>
        <v>0</v>
      </c>
    </row>
    <row r="393" spans="1:16" x14ac:dyDescent="0.2">
      <c r="A393" s="70" t="s">
        <v>1992</v>
      </c>
      <c r="B393" s="71" t="s">
        <v>1993</v>
      </c>
      <c r="C393" s="72" t="s">
        <v>1994</v>
      </c>
      <c r="D393" s="73" t="s">
        <v>1317</v>
      </c>
      <c r="E393" s="72" t="s">
        <v>1319</v>
      </c>
      <c r="F393" s="74">
        <v>71.599999999999994</v>
      </c>
      <c r="G393" s="73" t="s">
        <v>826</v>
      </c>
      <c r="H393" s="73"/>
      <c r="I393" s="73"/>
      <c r="J393" s="73"/>
      <c r="K393" s="73"/>
      <c r="L393" s="73"/>
      <c r="M393" s="73"/>
      <c r="N393" s="73"/>
      <c r="O393" s="75">
        <f>SUM(TABELA25[[#This Row],[T1]:[T7]])</f>
        <v>0</v>
      </c>
      <c r="P393" s="76">
        <f>TABELA25[[#This Row],[PREÇO]]*TABELA25[[#This Row],[QTDE]]</f>
        <v>0</v>
      </c>
    </row>
    <row r="394" spans="1:16" x14ac:dyDescent="0.2">
      <c r="A394" s="70" t="s">
        <v>1997</v>
      </c>
      <c r="B394" s="71" t="s">
        <v>1995</v>
      </c>
      <c r="C394" s="72" t="s">
        <v>1996</v>
      </c>
      <c r="D394" s="73" t="s">
        <v>32</v>
      </c>
      <c r="E394" s="72" t="s">
        <v>33</v>
      </c>
      <c r="F394" s="74">
        <v>103.6</v>
      </c>
      <c r="G394" s="73" t="s">
        <v>829</v>
      </c>
      <c r="H394" s="73"/>
      <c r="I394" s="73"/>
      <c r="J394" s="73"/>
      <c r="K394" s="73"/>
      <c r="L394" s="73"/>
      <c r="M394" s="73"/>
      <c r="N394" s="73"/>
      <c r="O394" s="75">
        <f>SUM(TABELA25[[#This Row],[T1]:[T7]])</f>
        <v>0</v>
      </c>
      <c r="P394" s="76">
        <f>TABELA25[[#This Row],[PREÇO]]*TABELA25[[#This Row],[QTDE]]</f>
        <v>0</v>
      </c>
    </row>
    <row r="395" spans="1:16" x14ac:dyDescent="0.2">
      <c r="A395" s="70" t="s">
        <v>1998</v>
      </c>
      <c r="B395" s="71" t="s">
        <v>1999</v>
      </c>
      <c r="C395" s="72" t="s">
        <v>2000</v>
      </c>
      <c r="D395" s="73" t="s">
        <v>895</v>
      </c>
      <c r="E395" s="72" t="s">
        <v>896</v>
      </c>
      <c r="F395" s="74">
        <v>67.599999999999994</v>
      </c>
      <c r="G395" s="73" t="s">
        <v>826</v>
      </c>
      <c r="H395" s="73"/>
      <c r="I395" s="73"/>
      <c r="J395" s="73"/>
      <c r="K395" s="73"/>
      <c r="L395" s="73"/>
      <c r="M395" s="73"/>
      <c r="N395" s="73"/>
      <c r="O395" s="75">
        <f>SUM(TABELA25[[#This Row],[T1]:[T7]])</f>
        <v>0</v>
      </c>
      <c r="P395" s="76">
        <f>TABELA25[[#This Row],[PREÇO]]*TABELA25[[#This Row],[QTDE]]</f>
        <v>0</v>
      </c>
    </row>
    <row r="396" spans="1:16" x14ac:dyDescent="0.2">
      <c r="A396" s="70" t="s">
        <v>2003</v>
      </c>
      <c r="B396" s="71" t="s">
        <v>2001</v>
      </c>
      <c r="C396" s="72" t="s">
        <v>2002</v>
      </c>
      <c r="D396" s="73" t="s">
        <v>32</v>
      </c>
      <c r="E396" s="72" t="s">
        <v>33</v>
      </c>
      <c r="F396" s="74">
        <v>119.6</v>
      </c>
      <c r="G396" s="73" t="s">
        <v>829</v>
      </c>
      <c r="H396" s="73"/>
      <c r="I396" s="73"/>
      <c r="J396" s="73"/>
      <c r="K396" s="73"/>
      <c r="L396" s="73"/>
      <c r="M396" s="73"/>
      <c r="N396" s="73"/>
      <c r="O396" s="75">
        <f>SUM(TABELA25[[#This Row],[T1]:[T7]])</f>
        <v>0</v>
      </c>
      <c r="P396" s="76">
        <f>TABELA25[[#This Row],[PREÇO]]*TABELA25[[#This Row],[QTDE]]</f>
        <v>0</v>
      </c>
    </row>
    <row r="397" spans="1:16" x14ac:dyDescent="0.2">
      <c r="A397" s="70" t="s">
        <v>2004</v>
      </c>
      <c r="B397" s="71" t="s">
        <v>2001</v>
      </c>
      <c r="C397" s="72" t="s">
        <v>2002</v>
      </c>
      <c r="D397" s="73" t="s">
        <v>895</v>
      </c>
      <c r="E397" s="72" t="s">
        <v>896</v>
      </c>
      <c r="F397" s="74">
        <v>119.6</v>
      </c>
      <c r="G397" s="73" t="s">
        <v>829</v>
      </c>
      <c r="H397" s="73"/>
      <c r="I397" s="73"/>
      <c r="J397" s="73"/>
      <c r="K397" s="73"/>
      <c r="L397" s="73"/>
      <c r="M397" s="73"/>
      <c r="N397" s="73"/>
      <c r="O397" s="75">
        <f>SUM(TABELA25[[#This Row],[T1]:[T7]])</f>
        <v>0</v>
      </c>
      <c r="P397" s="76">
        <f>TABELA25[[#This Row],[PREÇO]]*TABELA25[[#This Row],[QTDE]]</f>
        <v>0</v>
      </c>
    </row>
    <row r="398" spans="1:16" x14ac:dyDescent="0.2">
      <c r="A398" s="70" t="s">
        <v>2006</v>
      </c>
      <c r="B398" s="71" t="s">
        <v>2005</v>
      </c>
      <c r="C398" s="72" t="s">
        <v>1996</v>
      </c>
      <c r="D398" s="73" t="s">
        <v>1317</v>
      </c>
      <c r="E398" s="72" t="s">
        <v>1319</v>
      </c>
      <c r="F398" s="74">
        <v>111.6</v>
      </c>
      <c r="G398" s="73" t="s">
        <v>2319</v>
      </c>
      <c r="H398" s="73"/>
      <c r="I398" s="73"/>
      <c r="J398" s="73"/>
      <c r="K398" s="73"/>
      <c r="L398" s="73"/>
      <c r="M398" s="73"/>
      <c r="N398" s="73"/>
      <c r="O398" s="75">
        <f>SUM(TABELA25[[#This Row],[T1]:[T7]])</f>
        <v>0</v>
      </c>
      <c r="P398" s="76">
        <f>TABELA25[[#This Row],[PREÇO]]*TABELA25[[#This Row],[QTDE]]</f>
        <v>0</v>
      </c>
    </row>
    <row r="399" spans="1:16" x14ac:dyDescent="0.2">
      <c r="A399" s="70" t="s">
        <v>2007</v>
      </c>
      <c r="B399" s="71" t="s">
        <v>2008</v>
      </c>
      <c r="C399" s="72" t="s">
        <v>2009</v>
      </c>
      <c r="D399" s="73" t="s">
        <v>888</v>
      </c>
      <c r="E399" s="72" t="s">
        <v>890</v>
      </c>
      <c r="F399" s="74">
        <v>147.6</v>
      </c>
      <c r="G399" s="73" t="s">
        <v>826</v>
      </c>
      <c r="H399" s="73"/>
      <c r="I399" s="73"/>
      <c r="J399" s="73"/>
      <c r="K399" s="73"/>
      <c r="L399" s="73"/>
      <c r="M399" s="73"/>
      <c r="N399" s="73"/>
      <c r="O399" s="75">
        <f>SUM(TABELA25[[#This Row],[T1]:[T7]])</f>
        <v>0</v>
      </c>
      <c r="P399" s="76">
        <f>TABELA25[[#This Row],[PREÇO]]*TABELA25[[#This Row],[QTDE]]</f>
        <v>0</v>
      </c>
    </row>
    <row r="400" spans="1:16" x14ac:dyDescent="0.2">
      <c r="A400" s="70" t="s">
        <v>2012</v>
      </c>
      <c r="B400" s="71" t="s">
        <v>2010</v>
      </c>
      <c r="C400" s="72" t="s">
        <v>2011</v>
      </c>
      <c r="D400" s="73" t="s">
        <v>32</v>
      </c>
      <c r="E400" s="72" t="s">
        <v>33</v>
      </c>
      <c r="F400" s="74">
        <v>119.6</v>
      </c>
      <c r="G400" s="73" t="s">
        <v>829</v>
      </c>
      <c r="H400" s="73"/>
      <c r="I400" s="73"/>
      <c r="J400" s="73"/>
      <c r="K400" s="73"/>
      <c r="L400" s="73"/>
      <c r="M400" s="73"/>
      <c r="N400" s="73"/>
      <c r="O400" s="75">
        <f>SUM(TABELA25[[#This Row],[T1]:[T7]])</f>
        <v>0</v>
      </c>
      <c r="P400" s="76">
        <f>TABELA25[[#This Row],[PREÇO]]*TABELA25[[#This Row],[QTDE]]</f>
        <v>0</v>
      </c>
    </row>
    <row r="401" spans="1:16" x14ac:dyDescent="0.2">
      <c r="A401" s="70" t="s">
        <v>2015</v>
      </c>
      <c r="B401" s="71" t="s">
        <v>2013</v>
      </c>
      <c r="C401" s="72" t="s">
        <v>2014</v>
      </c>
      <c r="D401" s="73" t="s">
        <v>32</v>
      </c>
      <c r="E401" s="72" t="s">
        <v>33</v>
      </c>
      <c r="F401" s="74">
        <v>79.599999999999994</v>
      </c>
      <c r="G401" s="73" t="s">
        <v>829</v>
      </c>
      <c r="H401" s="73"/>
      <c r="I401" s="73"/>
      <c r="J401" s="73"/>
      <c r="K401" s="73"/>
      <c r="L401" s="73"/>
      <c r="M401" s="73"/>
      <c r="N401" s="73"/>
      <c r="O401" s="75">
        <f>SUM(TABELA25[[#This Row],[T1]:[T7]])</f>
        <v>0</v>
      </c>
      <c r="P401" s="76">
        <f>TABELA25[[#This Row],[PREÇO]]*TABELA25[[#This Row],[QTDE]]</f>
        <v>0</v>
      </c>
    </row>
    <row r="402" spans="1:16" x14ac:dyDescent="0.2">
      <c r="A402" s="70" t="s">
        <v>2016</v>
      </c>
      <c r="B402" s="71" t="s">
        <v>2013</v>
      </c>
      <c r="C402" s="72" t="s">
        <v>2014</v>
      </c>
      <c r="D402" s="73" t="s">
        <v>924</v>
      </c>
      <c r="E402" s="72" t="s">
        <v>926</v>
      </c>
      <c r="F402" s="74">
        <v>79.599999999999994</v>
      </c>
      <c r="G402" s="73" t="s">
        <v>829</v>
      </c>
      <c r="H402" s="73"/>
      <c r="I402" s="73"/>
      <c r="J402" s="73"/>
      <c r="K402" s="73"/>
      <c r="L402" s="73"/>
      <c r="M402" s="73"/>
      <c r="N402" s="73"/>
      <c r="O402" s="75">
        <f>SUM(TABELA25[[#This Row],[T1]:[T7]])</f>
        <v>0</v>
      </c>
      <c r="P402" s="76">
        <f>TABELA25[[#This Row],[PREÇO]]*TABELA25[[#This Row],[QTDE]]</f>
        <v>0</v>
      </c>
    </row>
    <row r="403" spans="1:16" x14ac:dyDescent="0.2">
      <c r="A403" s="70" t="s">
        <v>2017</v>
      </c>
      <c r="B403" s="71" t="s">
        <v>2013</v>
      </c>
      <c r="C403" s="72" t="s">
        <v>2014</v>
      </c>
      <c r="D403" s="73" t="s">
        <v>1133</v>
      </c>
      <c r="E403" s="72" t="s">
        <v>1134</v>
      </c>
      <c r="F403" s="74">
        <v>79.599999999999994</v>
      </c>
      <c r="G403" s="73" t="s">
        <v>829</v>
      </c>
      <c r="H403" s="73"/>
      <c r="I403" s="73"/>
      <c r="J403" s="73"/>
      <c r="K403" s="73"/>
      <c r="L403" s="73"/>
      <c r="M403" s="73"/>
      <c r="N403" s="73"/>
      <c r="O403" s="75">
        <f>SUM(TABELA25[[#This Row],[T1]:[T7]])</f>
        <v>0</v>
      </c>
      <c r="P403" s="76">
        <f>TABELA25[[#This Row],[PREÇO]]*TABELA25[[#This Row],[QTDE]]</f>
        <v>0</v>
      </c>
    </row>
    <row r="404" spans="1:16" x14ac:dyDescent="0.2">
      <c r="A404" s="70" t="s">
        <v>2019</v>
      </c>
      <c r="B404" s="71" t="s">
        <v>2018</v>
      </c>
      <c r="C404" s="72" t="s">
        <v>1791</v>
      </c>
      <c r="D404" s="73" t="s">
        <v>830</v>
      </c>
      <c r="E404" s="72" t="s">
        <v>43</v>
      </c>
      <c r="F404" s="74">
        <v>171.6</v>
      </c>
      <c r="G404" s="73" t="s">
        <v>829</v>
      </c>
      <c r="H404" s="73"/>
      <c r="I404" s="73"/>
      <c r="J404" s="73"/>
      <c r="K404" s="73"/>
      <c r="L404" s="73"/>
      <c r="M404" s="73"/>
      <c r="N404" s="73"/>
      <c r="O404" s="75">
        <f>SUM(TABELA25[[#This Row],[T1]:[T7]])</f>
        <v>0</v>
      </c>
      <c r="P404" s="76">
        <f>TABELA25[[#This Row],[PREÇO]]*TABELA25[[#This Row],[QTDE]]</f>
        <v>0</v>
      </c>
    </row>
    <row r="405" spans="1:16" x14ac:dyDescent="0.2">
      <c r="A405" s="70" t="s">
        <v>2022</v>
      </c>
      <c r="B405" s="71" t="s">
        <v>2020</v>
      </c>
      <c r="C405" s="72" t="s">
        <v>2021</v>
      </c>
      <c r="D405" s="73" t="s">
        <v>32</v>
      </c>
      <c r="E405" s="72" t="s">
        <v>33</v>
      </c>
      <c r="F405" s="74">
        <v>119.6</v>
      </c>
      <c r="G405" s="73" t="s">
        <v>829</v>
      </c>
      <c r="H405" s="73"/>
      <c r="I405" s="73"/>
      <c r="J405" s="73"/>
      <c r="K405" s="73"/>
      <c r="L405" s="73"/>
      <c r="M405" s="73"/>
      <c r="N405" s="73"/>
      <c r="O405" s="75">
        <f>SUM(TABELA25[[#This Row],[T1]:[T7]])</f>
        <v>0</v>
      </c>
      <c r="P405" s="76">
        <f>TABELA25[[#This Row],[PREÇO]]*TABELA25[[#This Row],[QTDE]]</f>
        <v>0</v>
      </c>
    </row>
    <row r="406" spans="1:16" x14ac:dyDescent="0.2">
      <c r="A406" s="70" t="s">
        <v>2023</v>
      </c>
      <c r="B406" s="71" t="s">
        <v>2020</v>
      </c>
      <c r="C406" s="72" t="s">
        <v>2021</v>
      </c>
      <c r="D406" s="73" t="s">
        <v>1133</v>
      </c>
      <c r="E406" s="72" t="s">
        <v>1134</v>
      </c>
      <c r="F406" s="74">
        <v>119.6</v>
      </c>
      <c r="G406" s="73" t="s">
        <v>829</v>
      </c>
      <c r="H406" s="73"/>
      <c r="I406" s="73"/>
      <c r="J406" s="73"/>
      <c r="K406" s="73"/>
      <c r="L406" s="73"/>
      <c r="M406" s="73"/>
      <c r="N406" s="73"/>
      <c r="O406" s="75">
        <f>SUM(TABELA25[[#This Row],[T1]:[T7]])</f>
        <v>0</v>
      </c>
      <c r="P406" s="76">
        <f>TABELA25[[#This Row],[PREÇO]]*TABELA25[[#This Row],[QTDE]]</f>
        <v>0</v>
      </c>
    </row>
    <row r="407" spans="1:16" x14ac:dyDescent="0.2">
      <c r="A407" s="70" t="s">
        <v>2026</v>
      </c>
      <c r="B407" s="71" t="s">
        <v>2024</v>
      </c>
      <c r="C407" s="72" t="s">
        <v>2025</v>
      </c>
      <c r="D407" s="73" t="s">
        <v>561</v>
      </c>
      <c r="E407" s="72" t="s">
        <v>45</v>
      </c>
      <c r="F407" s="74">
        <v>95.6</v>
      </c>
      <c r="G407" s="73" t="s">
        <v>829</v>
      </c>
      <c r="H407" s="73"/>
      <c r="I407" s="73"/>
      <c r="J407" s="73"/>
      <c r="K407" s="73"/>
      <c r="L407" s="73"/>
      <c r="M407" s="73"/>
      <c r="N407" s="73"/>
      <c r="O407" s="75">
        <f>SUM(TABELA25[[#This Row],[T1]:[T7]])</f>
        <v>0</v>
      </c>
      <c r="P407" s="76">
        <f>TABELA25[[#This Row],[PREÇO]]*TABELA25[[#This Row],[QTDE]]</f>
        <v>0</v>
      </c>
    </row>
    <row r="408" spans="1:16" x14ac:dyDescent="0.2">
      <c r="A408" s="70" t="s">
        <v>2029</v>
      </c>
      <c r="B408" s="71" t="s">
        <v>2027</v>
      </c>
      <c r="C408" s="72" t="s">
        <v>2028</v>
      </c>
      <c r="D408" s="73" t="s">
        <v>32</v>
      </c>
      <c r="E408" s="72" t="s">
        <v>33</v>
      </c>
      <c r="F408" s="74">
        <v>119.6</v>
      </c>
      <c r="G408" s="73" t="s">
        <v>829</v>
      </c>
      <c r="H408" s="73"/>
      <c r="I408" s="73"/>
      <c r="J408" s="73"/>
      <c r="K408" s="73"/>
      <c r="L408" s="73"/>
      <c r="M408" s="73"/>
      <c r="N408" s="73"/>
      <c r="O408" s="75">
        <f>SUM(TABELA25[[#This Row],[T1]:[T7]])</f>
        <v>0</v>
      </c>
      <c r="P408" s="76">
        <f>TABELA25[[#This Row],[PREÇO]]*TABELA25[[#This Row],[QTDE]]</f>
        <v>0</v>
      </c>
    </row>
    <row r="409" spans="1:16" x14ac:dyDescent="0.2">
      <c r="A409" s="70" t="s">
        <v>2030</v>
      </c>
      <c r="B409" s="71" t="s">
        <v>2027</v>
      </c>
      <c r="C409" s="72" t="s">
        <v>2028</v>
      </c>
      <c r="D409" s="73" t="s">
        <v>830</v>
      </c>
      <c r="E409" s="72" t="s">
        <v>43</v>
      </c>
      <c r="F409" s="74">
        <v>119.6</v>
      </c>
      <c r="G409" s="73" t="s">
        <v>829</v>
      </c>
      <c r="H409" s="73"/>
      <c r="I409" s="73"/>
      <c r="J409" s="73"/>
      <c r="K409" s="73"/>
      <c r="L409" s="73"/>
      <c r="M409" s="73"/>
      <c r="N409" s="73"/>
      <c r="O409" s="75">
        <f>SUM(TABELA25[[#This Row],[T1]:[T7]])</f>
        <v>0</v>
      </c>
      <c r="P409" s="76">
        <f>TABELA25[[#This Row],[PREÇO]]*TABELA25[[#This Row],[QTDE]]</f>
        <v>0</v>
      </c>
    </row>
    <row r="410" spans="1:16" x14ac:dyDescent="0.2">
      <c r="A410" s="70" t="s">
        <v>2032</v>
      </c>
      <c r="B410" s="71" t="s">
        <v>2027</v>
      </c>
      <c r="C410" s="72" t="s">
        <v>2028</v>
      </c>
      <c r="D410" s="73" t="s">
        <v>1164</v>
      </c>
      <c r="E410" s="72" t="s">
        <v>1166</v>
      </c>
      <c r="F410" s="74">
        <v>119.6</v>
      </c>
      <c r="G410" s="73" t="s">
        <v>829</v>
      </c>
      <c r="H410" s="73"/>
      <c r="I410" s="73"/>
      <c r="J410" s="73"/>
      <c r="K410" s="73"/>
      <c r="L410" s="73"/>
      <c r="M410" s="73"/>
      <c r="N410" s="73"/>
      <c r="O410" s="75">
        <f>SUM(TABELA25[[#This Row],[T1]:[T7]])</f>
        <v>0</v>
      </c>
      <c r="P410" s="76">
        <f>TABELA25[[#This Row],[PREÇO]]*TABELA25[[#This Row],[QTDE]]</f>
        <v>0</v>
      </c>
    </row>
    <row r="411" spans="1:16" x14ac:dyDescent="0.2">
      <c r="A411" s="70" t="s">
        <v>2031</v>
      </c>
      <c r="B411" s="71" t="s">
        <v>2027</v>
      </c>
      <c r="C411" s="72" t="s">
        <v>2028</v>
      </c>
      <c r="D411" s="73" t="s">
        <v>1133</v>
      </c>
      <c r="E411" s="72" t="s">
        <v>1134</v>
      </c>
      <c r="F411" s="74">
        <v>119.6</v>
      </c>
      <c r="G411" s="73" t="s">
        <v>829</v>
      </c>
      <c r="H411" s="73"/>
      <c r="I411" s="73"/>
      <c r="J411" s="73"/>
      <c r="K411" s="73"/>
      <c r="L411" s="73"/>
      <c r="M411" s="73"/>
      <c r="N411" s="73"/>
      <c r="O411" s="75">
        <f>SUM(TABELA25[[#This Row],[T1]:[T7]])</f>
        <v>0</v>
      </c>
      <c r="P411" s="76">
        <f>TABELA25[[#This Row],[PREÇO]]*TABELA25[[#This Row],[QTDE]]</f>
        <v>0</v>
      </c>
    </row>
    <row r="412" spans="1:16" x14ac:dyDescent="0.2">
      <c r="A412" s="70" t="s">
        <v>2035</v>
      </c>
      <c r="B412" s="71" t="s">
        <v>2033</v>
      </c>
      <c r="C412" s="72" t="s">
        <v>2034</v>
      </c>
      <c r="D412" s="73" t="s">
        <v>32</v>
      </c>
      <c r="E412" s="72" t="s">
        <v>33</v>
      </c>
      <c r="F412" s="74">
        <v>103.6</v>
      </c>
      <c r="G412" s="73" t="s">
        <v>829</v>
      </c>
      <c r="H412" s="73"/>
      <c r="I412" s="73"/>
      <c r="J412" s="73"/>
      <c r="K412" s="73"/>
      <c r="L412" s="73"/>
      <c r="M412" s="73"/>
      <c r="N412" s="73"/>
      <c r="O412" s="75">
        <f>SUM(TABELA25[[#This Row],[T1]:[T7]])</f>
        <v>0</v>
      </c>
      <c r="P412" s="76">
        <f>TABELA25[[#This Row],[PREÇO]]*TABELA25[[#This Row],[QTDE]]</f>
        <v>0</v>
      </c>
    </row>
    <row r="413" spans="1:16" x14ac:dyDescent="0.2">
      <c r="A413" s="70" t="s">
        <v>2036</v>
      </c>
      <c r="B413" s="71" t="s">
        <v>2033</v>
      </c>
      <c r="C413" s="72" t="s">
        <v>2034</v>
      </c>
      <c r="D413" s="73" t="s">
        <v>924</v>
      </c>
      <c r="E413" s="72" t="s">
        <v>926</v>
      </c>
      <c r="F413" s="74">
        <v>103.6</v>
      </c>
      <c r="G413" s="73" t="s">
        <v>829</v>
      </c>
      <c r="H413" s="73"/>
      <c r="I413" s="73"/>
      <c r="J413" s="73"/>
      <c r="K413" s="73"/>
      <c r="L413" s="73"/>
      <c r="M413" s="73"/>
      <c r="N413" s="73"/>
      <c r="O413" s="75">
        <f>SUM(TABELA25[[#This Row],[T1]:[T7]])</f>
        <v>0</v>
      </c>
      <c r="P413" s="76">
        <f>TABELA25[[#This Row],[PREÇO]]*TABELA25[[#This Row],[QTDE]]</f>
        <v>0</v>
      </c>
    </row>
    <row r="414" spans="1:16" x14ac:dyDescent="0.2">
      <c r="A414" s="70" t="s">
        <v>2039</v>
      </c>
      <c r="B414" s="71" t="s">
        <v>2037</v>
      </c>
      <c r="C414" s="72" t="s">
        <v>2038</v>
      </c>
      <c r="D414" s="73" t="s">
        <v>32</v>
      </c>
      <c r="E414" s="72" t="s">
        <v>33</v>
      </c>
      <c r="F414" s="74">
        <v>159.6</v>
      </c>
      <c r="G414" s="73" t="s">
        <v>829</v>
      </c>
      <c r="H414" s="73"/>
      <c r="I414" s="73"/>
      <c r="J414" s="73"/>
      <c r="K414" s="73"/>
      <c r="L414" s="73"/>
      <c r="M414" s="73"/>
      <c r="N414" s="73"/>
      <c r="O414" s="75">
        <f>SUM(TABELA25[[#This Row],[T1]:[T7]])</f>
        <v>0</v>
      </c>
      <c r="P414" s="76">
        <f>TABELA25[[#This Row],[PREÇO]]*TABELA25[[#This Row],[QTDE]]</f>
        <v>0</v>
      </c>
    </row>
    <row r="415" spans="1:16" x14ac:dyDescent="0.2">
      <c r="A415" s="70" t="s">
        <v>2042</v>
      </c>
      <c r="B415" s="71" t="s">
        <v>2040</v>
      </c>
      <c r="C415" s="72" t="s">
        <v>2041</v>
      </c>
      <c r="D415" s="73" t="s">
        <v>32</v>
      </c>
      <c r="E415" s="72" t="s">
        <v>33</v>
      </c>
      <c r="F415" s="74">
        <v>191.6</v>
      </c>
      <c r="G415" s="73" t="s">
        <v>829</v>
      </c>
      <c r="H415" s="73"/>
      <c r="I415" s="73"/>
      <c r="J415" s="73"/>
      <c r="K415" s="73"/>
      <c r="L415" s="73"/>
      <c r="M415" s="73"/>
      <c r="N415" s="73"/>
      <c r="O415" s="75">
        <f>SUM(TABELA25[[#This Row],[T1]:[T7]])</f>
        <v>0</v>
      </c>
      <c r="P415" s="76">
        <f>TABELA25[[#This Row],[PREÇO]]*TABELA25[[#This Row],[QTDE]]</f>
        <v>0</v>
      </c>
    </row>
    <row r="416" spans="1:16" x14ac:dyDescent="0.2">
      <c r="A416" s="70" t="s">
        <v>2044</v>
      </c>
      <c r="B416" s="71" t="s">
        <v>2043</v>
      </c>
      <c r="C416" s="72" t="s">
        <v>1867</v>
      </c>
      <c r="D416" s="73" t="s">
        <v>1474</v>
      </c>
      <c r="E416" s="72" t="s">
        <v>1475</v>
      </c>
      <c r="F416" s="74">
        <v>119.6</v>
      </c>
      <c r="G416" s="73" t="s">
        <v>829</v>
      </c>
      <c r="H416" s="73"/>
      <c r="I416" s="73"/>
      <c r="J416" s="73"/>
      <c r="K416" s="73"/>
      <c r="L416" s="73"/>
      <c r="M416" s="73"/>
      <c r="N416" s="73"/>
      <c r="O416" s="75">
        <f>SUM(TABELA25[[#This Row],[T1]:[T7]])</f>
        <v>0</v>
      </c>
      <c r="P416" s="76">
        <f>TABELA25[[#This Row],[PREÇO]]*TABELA25[[#This Row],[QTDE]]</f>
        <v>0</v>
      </c>
    </row>
    <row r="417" spans="1:16" x14ac:dyDescent="0.2">
      <c r="A417" s="70" t="s">
        <v>2047</v>
      </c>
      <c r="B417" s="71" t="s">
        <v>2045</v>
      </c>
      <c r="C417" s="72" t="s">
        <v>2046</v>
      </c>
      <c r="D417" s="73" t="s">
        <v>830</v>
      </c>
      <c r="E417" s="72" t="s">
        <v>43</v>
      </c>
      <c r="F417" s="74">
        <v>151.6</v>
      </c>
      <c r="G417" s="73" t="s">
        <v>829</v>
      </c>
      <c r="H417" s="73"/>
      <c r="I417" s="73"/>
      <c r="J417" s="73"/>
      <c r="K417" s="73"/>
      <c r="L417" s="73"/>
      <c r="M417" s="73"/>
      <c r="N417" s="73"/>
      <c r="O417" s="75">
        <f>SUM(TABELA25[[#This Row],[T1]:[T7]])</f>
        <v>0</v>
      </c>
      <c r="P417" s="76">
        <f>TABELA25[[#This Row],[PREÇO]]*TABELA25[[#This Row],[QTDE]]</f>
        <v>0</v>
      </c>
    </row>
    <row r="418" spans="1:16" x14ac:dyDescent="0.2">
      <c r="A418" s="70" t="s">
        <v>2050</v>
      </c>
      <c r="B418" s="71" t="s">
        <v>2048</v>
      </c>
      <c r="C418" s="72" t="s">
        <v>2049</v>
      </c>
      <c r="D418" s="73" t="s">
        <v>32</v>
      </c>
      <c r="E418" s="72" t="s">
        <v>33</v>
      </c>
      <c r="F418" s="74">
        <v>159.6</v>
      </c>
      <c r="G418" s="73" t="s">
        <v>829</v>
      </c>
      <c r="H418" s="73"/>
      <c r="I418" s="73"/>
      <c r="J418" s="73"/>
      <c r="K418" s="73"/>
      <c r="L418" s="73"/>
      <c r="M418" s="73"/>
      <c r="N418" s="73"/>
      <c r="O418" s="75">
        <f>SUM(TABELA25[[#This Row],[T1]:[T7]])</f>
        <v>0</v>
      </c>
      <c r="P418" s="76">
        <f>TABELA25[[#This Row],[PREÇO]]*TABELA25[[#This Row],[QTDE]]</f>
        <v>0</v>
      </c>
    </row>
    <row r="419" spans="1:16" x14ac:dyDescent="0.2">
      <c r="A419" s="70" t="s">
        <v>2051</v>
      </c>
      <c r="B419" s="71" t="s">
        <v>2048</v>
      </c>
      <c r="C419" s="72" t="s">
        <v>2049</v>
      </c>
      <c r="D419" s="73" t="s">
        <v>895</v>
      </c>
      <c r="E419" s="72" t="s">
        <v>896</v>
      </c>
      <c r="F419" s="74">
        <v>159.6</v>
      </c>
      <c r="G419" s="73" t="s">
        <v>829</v>
      </c>
      <c r="H419" s="73"/>
      <c r="I419" s="73"/>
      <c r="J419" s="73"/>
      <c r="K419" s="73"/>
      <c r="L419" s="73"/>
      <c r="M419" s="73"/>
      <c r="N419" s="73"/>
      <c r="O419" s="75">
        <f>SUM(TABELA25[[#This Row],[T1]:[T7]])</f>
        <v>0</v>
      </c>
      <c r="P419" s="76">
        <f>TABELA25[[#This Row],[PREÇO]]*TABELA25[[#This Row],[QTDE]]</f>
        <v>0</v>
      </c>
    </row>
    <row r="420" spans="1:16" x14ac:dyDescent="0.2">
      <c r="A420" s="70" t="s">
        <v>2054</v>
      </c>
      <c r="B420" s="71" t="s">
        <v>2052</v>
      </c>
      <c r="C420" s="72" t="s">
        <v>2053</v>
      </c>
      <c r="D420" s="73" t="s">
        <v>898</v>
      </c>
      <c r="E420" s="72" t="s">
        <v>900</v>
      </c>
      <c r="F420" s="74">
        <v>131.6</v>
      </c>
      <c r="G420" s="73" t="s">
        <v>829</v>
      </c>
      <c r="H420" s="73"/>
      <c r="I420" s="73"/>
      <c r="J420" s="73"/>
      <c r="K420" s="73"/>
      <c r="L420" s="73"/>
      <c r="M420" s="73"/>
      <c r="N420" s="73"/>
      <c r="O420" s="75">
        <f>SUM(TABELA25[[#This Row],[T1]:[T7]])</f>
        <v>0</v>
      </c>
      <c r="P420" s="76">
        <f>TABELA25[[#This Row],[PREÇO]]*TABELA25[[#This Row],[QTDE]]</f>
        <v>0</v>
      </c>
    </row>
    <row r="421" spans="1:16" x14ac:dyDescent="0.2">
      <c r="A421" s="70" t="s">
        <v>2057</v>
      </c>
      <c r="B421" s="71" t="s">
        <v>2055</v>
      </c>
      <c r="C421" s="72" t="s">
        <v>2056</v>
      </c>
      <c r="D421" s="73" t="s">
        <v>1317</v>
      </c>
      <c r="E421" s="72" t="s">
        <v>1319</v>
      </c>
      <c r="F421" s="74">
        <v>167.6</v>
      </c>
      <c r="G421" s="73" t="s">
        <v>829</v>
      </c>
      <c r="H421" s="73"/>
      <c r="I421" s="73"/>
      <c r="J421" s="73"/>
      <c r="K421" s="73"/>
      <c r="L421" s="73"/>
      <c r="M421" s="73"/>
      <c r="N421" s="73"/>
      <c r="O421" s="75">
        <f>SUM(TABELA25[[#This Row],[T1]:[T7]])</f>
        <v>0</v>
      </c>
      <c r="P421" s="76">
        <f>TABELA25[[#This Row],[PREÇO]]*TABELA25[[#This Row],[QTDE]]</f>
        <v>0</v>
      </c>
    </row>
    <row r="422" spans="1:16" x14ac:dyDescent="0.2">
      <c r="A422" s="70" t="s">
        <v>2060</v>
      </c>
      <c r="B422" s="71" t="s">
        <v>2058</v>
      </c>
      <c r="C422" s="72" t="s">
        <v>2059</v>
      </c>
      <c r="D422" s="73" t="s">
        <v>32</v>
      </c>
      <c r="E422" s="72" t="s">
        <v>33</v>
      </c>
      <c r="F422" s="74">
        <v>159.6</v>
      </c>
      <c r="G422" s="73" t="s">
        <v>829</v>
      </c>
      <c r="H422" s="73"/>
      <c r="I422" s="73"/>
      <c r="J422" s="73"/>
      <c r="K422" s="73"/>
      <c r="L422" s="73"/>
      <c r="M422" s="73"/>
      <c r="N422" s="73"/>
      <c r="O422" s="75">
        <f>SUM(TABELA25[[#This Row],[T1]:[T7]])</f>
        <v>0</v>
      </c>
      <c r="P422" s="76">
        <f>TABELA25[[#This Row],[PREÇO]]*TABELA25[[#This Row],[QTDE]]</f>
        <v>0</v>
      </c>
    </row>
    <row r="423" spans="1:16" x14ac:dyDescent="0.2">
      <c r="A423" s="70" t="s">
        <v>2061</v>
      </c>
      <c r="B423" s="71" t="s">
        <v>2058</v>
      </c>
      <c r="C423" s="72" t="s">
        <v>2059</v>
      </c>
      <c r="D423" s="73" t="s">
        <v>924</v>
      </c>
      <c r="E423" s="72" t="s">
        <v>926</v>
      </c>
      <c r="F423" s="74">
        <v>159.6</v>
      </c>
      <c r="G423" s="73" t="s">
        <v>829</v>
      </c>
      <c r="H423" s="73"/>
      <c r="I423" s="73"/>
      <c r="J423" s="73"/>
      <c r="K423" s="73"/>
      <c r="L423" s="73"/>
      <c r="M423" s="73"/>
      <c r="N423" s="73"/>
      <c r="O423" s="75">
        <f>SUM(TABELA25[[#This Row],[T1]:[T7]])</f>
        <v>0</v>
      </c>
      <c r="P423" s="76">
        <f>TABELA25[[#This Row],[PREÇO]]*TABELA25[[#This Row],[QTDE]]</f>
        <v>0</v>
      </c>
    </row>
    <row r="424" spans="1:16" x14ac:dyDescent="0.2">
      <c r="A424" s="70" t="s">
        <v>2064</v>
      </c>
      <c r="B424" s="71" t="s">
        <v>2062</v>
      </c>
      <c r="C424" s="72" t="s">
        <v>2063</v>
      </c>
      <c r="D424" s="73" t="s">
        <v>32</v>
      </c>
      <c r="E424" s="72" t="s">
        <v>33</v>
      </c>
      <c r="F424" s="74">
        <v>247.6</v>
      </c>
      <c r="G424" s="73" t="s">
        <v>829</v>
      </c>
      <c r="H424" s="73"/>
      <c r="I424" s="73"/>
      <c r="J424" s="73"/>
      <c r="K424" s="73"/>
      <c r="L424" s="73"/>
      <c r="M424" s="73"/>
      <c r="N424" s="73"/>
      <c r="O424" s="75">
        <f>SUM(TABELA25[[#This Row],[T1]:[T7]])</f>
        <v>0</v>
      </c>
      <c r="P424" s="76">
        <f>TABELA25[[#This Row],[PREÇO]]*TABELA25[[#This Row],[QTDE]]</f>
        <v>0</v>
      </c>
    </row>
    <row r="425" spans="1:16" x14ac:dyDescent="0.2">
      <c r="A425" s="70" t="s">
        <v>2067</v>
      </c>
      <c r="B425" s="71" t="s">
        <v>2065</v>
      </c>
      <c r="C425" s="72" t="s">
        <v>2066</v>
      </c>
      <c r="D425" s="73" t="s">
        <v>32</v>
      </c>
      <c r="E425" s="72" t="s">
        <v>33</v>
      </c>
      <c r="F425" s="74">
        <v>151.6</v>
      </c>
      <c r="G425" s="73" t="s">
        <v>829</v>
      </c>
      <c r="H425" s="73"/>
      <c r="I425" s="73"/>
      <c r="J425" s="73"/>
      <c r="K425" s="73"/>
      <c r="L425" s="73"/>
      <c r="M425" s="73"/>
      <c r="N425" s="73"/>
      <c r="O425" s="75">
        <f>SUM(TABELA25[[#This Row],[T1]:[T7]])</f>
        <v>0</v>
      </c>
      <c r="P425" s="76">
        <f>TABELA25[[#This Row],[PREÇO]]*TABELA25[[#This Row],[QTDE]]</f>
        <v>0</v>
      </c>
    </row>
    <row r="426" spans="1:16" x14ac:dyDescent="0.2">
      <c r="A426" s="70" t="s">
        <v>2068</v>
      </c>
      <c r="B426" s="71" t="s">
        <v>2065</v>
      </c>
      <c r="C426" s="72" t="s">
        <v>2066</v>
      </c>
      <c r="D426" s="73" t="s">
        <v>924</v>
      </c>
      <c r="E426" s="72" t="s">
        <v>926</v>
      </c>
      <c r="F426" s="74">
        <v>151.6</v>
      </c>
      <c r="G426" s="73" t="s">
        <v>829</v>
      </c>
      <c r="H426" s="73"/>
      <c r="I426" s="73"/>
      <c r="J426" s="73"/>
      <c r="K426" s="73"/>
      <c r="L426" s="73"/>
      <c r="M426" s="73"/>
      <c r="N426" s="73"/>
      <c r="O426" s="75">
        <f>SUM(TABELA25[[#This Row],[T1]:[T7]])</f>
        <v>0</v>
      </c>
      <c r="P426" s="76">
        <f>TABELA25[[#This Row],[PREÇO]]*TABELA25[[#This Row],[QTDE]]</f>
        <v>0</v>
      </c>
    </row>
    <row r="427" spans="1:16" x14ac:dyDescent="0.2">
      <c r="A427" s="70" t="s">
        <v>2069</v>
      </c>
      <c r="B427" s="71" t="s">
        <v>2065</v>
      </c>
      <c r="C427" s="72" t="s">
        <v>2066</v>
      </c>
      <c r="D427" s="73" t="s">
        <v>1133</v>
      </c>
      <c r="E427" s="72" t="s">
        <v>1134</v>
      </c>
      <c r="F427" s="74">
        <v>151.6</v>
      </c>
      <c r="G427" s="73" t="s">
        <v>829</v>
      </c>
      <c r="H427" s="73"/>
      <c r="I427" s="73"/>
      <c r="J427" s="73"/>
      <c r="K427" s="73"/>
      <c r="L427" s="73"/>
      <c r="M427" s="73"/>
      <c r="N427" s="73"/>
      <c r="O427" s="75">
        <f>SUM(TABELA25[[#This Row],[T1]:[T7]])</f>
        <v>0</v>
      </c>
      <c r="P427" s="76">
        <f>TABELA25[[#This Row],[PREÇO]]*TABELA25[[#This Row],[QTDE]]</f>
        <v>0</v>
      </c>
    </row>
    <row r="428" spans="1:16" x14ac:dyDescent="0.2">
      <c r="A428" s="70" t="s">
        <v>2072</v>
      </c>
      <c r="B428" s="71" t="s">
        <v>2070</v>
      </c>
      <c r="C428" s="72" t="s">
        <v>2071</v>
      </c>
      <c r="D428" s="73" t="s">
        <v>32</v>
      </c>
      <c r="E428" s="72" t="s">
        <v>33</v>
      </c>
      <c r="F428" s="74">
        <v>183.6</v>
      </c>
      <c r="G428" s="73" t="s">
        <v>829</v>
      </c>
      <c r="H428" s="73"/>
      <c r="I428" s="73"/>
      <c r="J428" s="73"/>
      <c r="K428" s="73"/>
      <c r="L428" s="73"/>
      <c r="M428" s="73"/>
      <c r="N428" s="73"/>
      <c r="O428" s="75">
        <f>SUM(TABELA25[[#This Row],[T1]:[T7]])</f>
        <v>0</v>
      </c>
      <c r="P428" s="76">
        <f>TABELA25[[#This Row],[PREÇO]]*TABELA25[[#This Row],[QTDE]]</f>
        <v>0</v>
      </c>
    </row>
    <row r="429" spans="1:16" x14ac:dyDescent="0.2">
      <c r="A429" s="70" t="s">
        <v>2076</v>
      </c>
      <c r="B429" s="71" t="s">
        <v>2073</v>
      </c>
      <c r="C429" s="72" t="s">
        <v>2074</v>
      </c>
      <c r="D429" s="73" t="s">
        <v>895</v>
      </c>
      <c r="E429" s="72" t="s">
        <v>896</v>
      </c>
      <c r="F429" s="74">
        <v>119.6</v>
      </c>
      <c r="G429" s="73" t="s">
        <v>829</v>
      </c>
      <c r="H429" s="73"/>
      <c r="I429" s="73"/>
      <c r="J429" s="73"/>
      <c r="K429" s="73"/>
      <c r="L429" s="73"/>
      <c r="M429" s="73"/>
      <c r="N429" s="73"/>
      <c r="O429" s="75">
        <f>SUM(TABELA25[[#This Row],[T1]:[T7]])</f>
        <v>0</v>
      </c>
      <c r="P429" s="76">
        <f>TABELA25[[#This Row],[PREÇO]]*TABELA25[[#This Row],[QTDE]]</f>
        <v>0</v>
      </c>
    </row>
    <row r="430" spans="1:16" x14ac:dyDescent="0.2">
      <c r="A430" s="70" t="s">
        <v>2075</v>
      </c>
      <c r="B430" s="71" t="s">
        <v>2073</v>
      </c>
      <c r="C430" s="72" t="s">
        <v>2074</v>
      </c>
      <c r="D430" s="73" t="s">
        <v>924</v>
      </c>
      <c r="E430" s="72" t="s">
        <v>926</v>
      </c>
      <c r="F430" s="74">
        <v>119.6</v>
      </c>
      <c r="G430" s="73" t="s">
        <v>829</v>
      </c>
      <c r="H430" s="73"/>
      <c r="I430" s="73"/>
      <c r="J430" s="73"/>
      <c r="K430" s="73"/>
      <c r="L430" s="73"/>
      <c r="M430" s="73"/>
      <c r="N430" s="73"/>
      <c r="O430" s="75">
        <f>SUM(TABELA25[[#This Row],[T1]:[T7]])</f>
        <v>0</v>
      </c>
      <c r="P430" s="76">
        <f>TABELA25[[#This Row],[PREÇO]]*TABELA25[[#This Row],[QTDE]]</f>
        <v>0</v>
      </c>
    </row>
    <row r="431" spans="1:16" x14ac:dyDescent="0.2">
      <c r="A431" s="70" t="s">
        <v>2079</v>
      </c>
      <c r="B431" s="71" t="s">
        <v>2077</v>
      </c>
      <c r="C431" s="72" t="s">
        <v>2078</v>
      </c>
      <c r="D431" s="73" t="s">
        <v>32</v>
      </c>
      <c r="E431" s="72" t="s">
        <v>33</v>
      </c>
      <c r="F431" s="74">
        <v>131.6</v>
      </c>
      <c r="G431" s="73" t="s">
        <v>829</v>
      </c>
      <c r="H431" s="73"/>
      <c r="I431" s="73"/>
      <c r="J431" s="73"/>
      <c r="K431" s="73"/>
      <c r="L431" s="73"/>
      <c r="M431" s="73"/>
      <c r="N431" s="73"/>
      <c r="O431" s="75">
        <f>SUM(TABELA25[[#This Row],[T1]:[T7]])</f>
        <v>0</v>
      </c>
      <c r="P431" s="76">
        <f>TABELA25[[#This Row],[PREÇO]]*TABELA25[[#This Row],[QTDE]]</f>
        <v>0</v>
      </c>
    </row>
    <row r="432" spans="1:16" x14ac:dyDescent="0.2">
      <c r="A432" s="70" t="s">
        <v>2080</v>
      </c>
      <c r="B432" s="71" t="s">
        <v>2077</v>
      </c>
      <c r="C432" s="72" t="s">
        <v>2078</v>
      </c>
      <c r="D432" s="73" t="s">
        <v>895</v>
      </c>
      <c r="E432" s="72" t="s">
        <v>896</v>
      </c>
      <c r="F432" s="74">
        <v>131.6</v>
      </c>
      <c r="G432" s="73" t="s">
        <v>829</v>
      </c>
      <c r="H432" s="73"/>
      <c r="I432" s="73"/>
      <c r="J432" s="73"/>
      <c r="K432" s="73"/>
      <c r="L432" s="73"/>
      <c r="M432" s="73"/>
      <c r="N432" s="73"/>
      <c r="O432" s="75">
        <f>SUM(TABELA25[[#This Row],[T1]:[T7]])</f>
        <v>0</v>
      </c>
      <c r="P432" s="76">
        <f>TABELA25[[#This Row],[PREÇO]]*TABELA25[[#This Row],[QTDE]]</f>
        <v>0</v>
      </c>
    </row>
    <row r="433" spans="1:16" x14ac:dyDescent="0.2">
      <c r="A433" s="70" t="s">
        <v>2082</v>
      </c>
      <c r="B433" s="71" t="s">
        <v>2081</v>
      </c>
      <c r="C433" s="72" t="s">
        <v>2053</v>
      </c>
      <c r="D433" s="73" t="s">
        <v>1474</v>
      </c>
      <c r="E433" s="72" t="s">
        <v>1475</v>
      </c>
      <c r="F433" s="74">
        <v>131.6</v>
      </c>
      <c r="G433" s="73" t="s">
        <v>829</v>
      </c>
      <c r="H433" s="73"/>
      <c r="I433" s="73"/>
      <c r="J433" s="73"/>
      <c r="K433" s="73"/>
      <c r="L433" s="73"/>
      <c r="M433" s="73"/>
      <c r="N433" s="73"/>
      <c r="O433" s="75">
        <f>SUM(TABELA25[[#This Row],[T1]:[T7]])</f>
        <v>0</v>
      </c>
      <c r="P433" s="76">
        <f>TABELA25[[#This Row],[PREÇO]]*TABELA25[[#This Row],[QTDE]]</f>
        <v>0</v>
      </c>
    </row>
    <row r="434" spans="1:16" x14ac:dyDescent="0.2">
      <c r="A434" s="70" t="s">
        <v>2086</v>
      </c>
      <c r="B434" s="71" t="s">
        <v>2084</v>
      </c>
      <c r="C434" s="72" t="s">
        <v>2085</v>
      </c>
      <c r="D434" s="73" t="s">
        <v>830</v>
      </c>
      <c r="E434" s="72" t="s">
        <v>43</v>
      </c>
      <c r="F434" s="74">
        <v>91.6</v>
      </c>
      <c r="G434" s="73" t="s">
        <v>826</v>
      </c>
      <c r="H434" s="73"/>
      <c r="I434" s="73"/>
      <c r="J434" s="73"/>
      <c r="K434" s="73"/>
      <c r="L434" s="73"/>
      <c r="M434" s="73"/>
      <c r="N434" s="73"/>
      <c r="O434" s="75">
        <f>SUM(TABELA25[[#This Row],[T1]:[T7]])</f>
        <v>0</v>
      </c>
      <c r="P434" s="76">
        <f>TABELA25[[#This Row],[PREÇO]]*TABELA25[[#This Row],[QTDE]]</f>
        <v>0</v>
      </c>
    </row>
    <row r="435" spans="1:16" x14ac:dyDescent="0.2">
      <c r="A435" s="70" t="s">
        <v>2083</v>
      </c>
      <c r="B435" s="71" t="s">
        <v>2084</v>
      </c>
      <c r="C435" s="72" t="s">
        <v>2085</v>
      </c>
      <c r="D435" s="73" t="s">
        <v>32</v>
      </c>
      <c r="E435" s="72" t="s">
        <v>33</v>
      </c>
      <c r="F435" s="74">
        <v>91.6</v>
      </c>
      <c r="G435" s="73" t="s">
        <v>826</v>
      </c>
      <c r="H435" s="73"/>
      <c r="I435" s="73"/>
      <c r="J435" s="73"/>
      <c r="K435" s="73"/>
      <c r="L435" s="73"/>
      <c r="M435" s="73"/>
      <c r="N435" s="73"/>
      <c r="O435" s="75">
        <f>SUM(TABELA25[[#This Row],[T1]:[T7]])</f>
        <v>0</v>
      </c>
      <c r="P435" s="76">
        <f>TABELA25[[#This Row],[PREÇO]]*TABELA25[[#This Row],[QTDE]]</f>
        <v>0</v>
      </c>
    </row>
    <row r="436" spans="1:16" x14ac:dyDescent="0.2">
      <c r="A436" s="70" t="s">
        <v>2087</v>
      </c>
      <c r="B436" s="71" t="s">
        <v>2088</v>
      </c>
      <c r="C436" s="72" t="s">
        <v>2089</v>
      </c>
      <c r="D436" s="73" t="s">
        <v>830</v>
      </c>
      <c r="E436" s="72" t="s">
        <v>43</v>
      </c>
      <c r="F436" s="74">
        <v>67.599999999999994</v>
      </c>
      <c r="G436" s="73" t="s">
        <v>826</v>
      </c>
      <c r="H436" s="73"/>
      <c r="I436" s="73"/>
      <c r="J436" s="73"/>
      <c r="K436" s="73"/>
      <c r="L436" s="73"/>
      <c r="M436" s="73"/>
      <c r="N436" s="73"/>
      <c r="O436" s="75">
        <f>SUM(TABELA25[[#This Row],[T1]:[T7]])</f>
        <v>0</v>
      </c>
      <c r="P436" s="76">
        <f>TABELA25[[#This Row],[PREÇO]]*TABELA25[[#This Row],[QTDE]]</f>
        <v>0</v>
      </c>
    </row>
    <row r="437" spans="1:16" x14ac:dyDescent="0.2">
      <c r="A437" s="70" t="s">
        <v>2090</v>
      </c>
      <c r="B437" s="71" t="s">
        <v>2091</v>
      </c>
      <c r="C437" s="72" t="s">
        <v>2092</v>
      </c>
      <c r="D437" s="73" t="s">
        <v>1474</v>
      </c>
      <c r="E437" s="72" t="s">
        <v>1475</v>
      </c>
      <c r="F437" s="74">
        <v>75.599999999999994</v>
      </c>
      <c r="G437" s="73" t="s">
        <v>826</v>
      </c>
      <c r="H437" s="73"/>
      <c r="I437" s="73"/>
      <c r="J437" s="73"/>
      <c r="K437" s="73"/>
      <c r="L437" s="73"/>
      <c r="M437" s="73"/>
      <c r="N437" s="73"/>
      <c r="O437" s="75">
        <f>SUM(TABELA25[[#This Row],[T1]:[T7]])</f>
        <v>0</v>
      </c>
      <c r="P437" s="76">
        <f>TABELA25[[#This Row],[PREÇO]]*TABELA25[[#This Row],[QTDE]]</f>
        <v>0</v>
      </c>
    </row>
    <row r="438" spans="1:16" x14ac:dyDescent="0.2">
      <c r="A438" s="70" t="s">
        <v>2093</v>
      </c>
      <c r="B438" s="71" t="s">
        <v>2094</v>
      </c>
      <c r="C438" s="72" t="s">
        <v>2095</v>
      </c>
      <c r="D438" s="73" t="s">
        <v>1317</v>
      </c>
      <c r="E438" s="72" t="s">
        <v>1319</v>
      </c>
      <c r="F438" s="74">
        <v>143.6</v>
      </c>
      <c r="G438" s="73" t="s">
        <v>826</v>
      </c>
      <c r="H438" s="73"/>
      <c r="I438" s="73"/>
      <c r="J438" s="73"/>
      <c r="K438" s="73"/>
      <c r="L438" s="73"/>
      <c r="M438" s="73"/>
      <c r="N438" s="73"/>
      <c r="O438" s="75">
        <f>SUM(TABELA25[[#This Row],[T1]:[T7]])</f>
        <v>0</v>
      </c>
      <c r="P438" s="76">
        <f>TABELA25[[#This Row],[PREÇO]]*TABELA25[[#This Row],[QTDE]]</f>
        <v>0</v>
      </c>
    </row>
    <row r="439" spans="1:16" x14ac:dyDescent="0.2">
      <c r="A439" s="70" t="s">
        <v>2096</v>
      </c>
      <c r="B439" s="71" t="s">
        <v>2097</v>
      </c>
      <c r="C439" s="72" t="s">
        <v>2098</v>
      </c>
      <c r="D439" s="73" t="s">
        <v>32</v>
      </c>
      <c r="E439" s="72" t="s">
        <v>33</v>
      </c>
      <c r="F439" s="74">
        <v>143.6</v>
      </c>
      <c r="G439" s="73" t="s">
        <v>826</v>
      </c>
      <c r="H439" s="73"/>
      <c r="I439" s="73"/>
      <c r="J439" s="73"/>
      <c r="K439" s="73"/>
      <c r="L439" s="73"/>
      <c r="M439" s="73"/>
      <c r="N439" s="73"/>
      <c r="O439" s="75">
        <f>SUM(TABELA25[[#This Row],[T1]:[T7]])</f>
        <v>0</v>
      </c>
      <c r="P439" s="76">
        <f>TABELA25[[#This Row],[PREÇO]]*TABELA25[[#This Row],[QTDE]]</f>
        <v>0</v>
      </c>
    </row>
    <row r="440" spans="1:16" x14ac:dyDescent="0.2">
      <c r="A440" s="70" t="s">
        <v>2099</v>
      </c>
      <c r="B440" s="71" t="s">
        <v>2100</v>
      </c>
      <c r="C440" s="72" t="s">
        <v>834</v>
      </c>
      <c r="D440" s="73" t="s">
        <v>1474</v>
      </c>
      <c r="E440" s="72" t="s">
        <v>1475</v>
      </c>
      <c r="F440" s="74">
        <v>87.6</v>
      </c>
      <c r="G440" s="73" t="s">
        <v>826</v>
      </c>
      <c r="H440" s="73"/>
      <c r="I440" s="73"/>
      <c r="J440" s="73"/>
      <c r="K440" s="73"/>
      <c r="L440" s="73"/>
      <c r="M440" s="73"/>
      <c r="N440" s="73"/>
      <c r="O440" s="75">
        <f>SUM(TABELA25[[#This Row],[T1]:[T7]])</f>
        <v>0</v>
      </c>
      <c r="P440" s="76">
        <f>TABELA25[[#This Row],[PREÇO]]*TABELA25[[#This Row],[QTDE]]</f>
        <v>0</v>
      </c>
    </row>
    <row r="441" spans="1:16" x14ac:dyDescent="0.2">
      <c r="A441" s="70" t="s">
        <v>2101</v>
      </c>
      <c r="B441" s="71" t="s">
        <v>2102</v>
      </c>
      <c r="C441" s="72" t="s">
        <v>2103</v>
      </c>
      <c r="D441" s="73" t="s">
        <v>32</v>
      </c>
      <c r="E441" s="72" t="s">
        <v>33</v>
      </c>
      <c r="F441" s="74">
        <v>71.599999999999994</v>
      </c>
      <c r="G441" s="73" t="s">
        <v>826</v>
      </c>
      <c r="H441" s="73"/>
      <c r="I441" s="73"/>
      <c r="J441" s="73"/>
      <c r="K441" s="73"/>
      <c r="L441" s="73"/>
      <c r="M441" s="73"/>
      <c r="N441" s="73"/>
      <c r="O441" s="75">
        <f>SUM(TABELA25[[#This Row],[T1]:[T7]])</f>
        <v>0</v>
      </c>
      <c r="P441" s="76">
        <f>TABELA25[[#This Row],[PREÇO]]*TABELA25[[#This Row],[QTDE]]</f>
        <v>0</v>
      </c>
    </row>
    <row r="442" spans="1:16" x14ac:dyDescent="0.2">
      <c r="A442" s="70" t="s">
        <v>2104</v>
      </c>
      <c r="B442" s="71" t="s">
        <v>2102</v>
      </c>
      <c r="C442" s="72" t="s">
        <v>2103</v>
      </c>
      <c r="D442" s="73" t="s">
        <v>819</v>
      </c>
      <c r="E442" s="72" t="s">
        <v>73</v>
      </c>
      <c r="F442" s="74">
        <v>71.599999999999994</v>
      </c>
      <c r="G442" s="73" t="s">
        <v>826</v>
      </c>
      <c r="H442" s="73"/>
      <c r="I442" s="73"/>
      <c r="J442" s="73"/>
      <c r="K442" s="73"/>
      <c r="L442" s="73"/>
      <c r="M442" s="73"/>
      <c r="N442" s="73"/>
      <c r="O442" s="75">
        <f>SUM(TABELA25[[#This Row],[T1]:[T7]])</f>
        <v>0</v>
      </c>
      <c r="P442" s="76">
        <f>TABELA25[[#This Row],[PREÇO]]*TABELA25[[#This Row],[QTDE]]</f>
        <v>0</v>
      </c>
    </row>
    <row r="443" spans="1:16" x14ac:dyDescent="0.2">
      <c r="A443" s="70" t="s">
        <v>2108</v>
      </c>
      <c r="B443" s="71" t="s">
        <v>2106</v>
      </c>
      <c r="C443" s="72" t="s">
        <v>2107</v>
      </c>
      <c r="D443" s="73" t="s">
        <v>830</v>
      </c>
      <c r="E443" s="72" t="s">
        <v>43</v>
      </c>
      <c r="F443" s="74">
        <v>103.6</v>
      </c>
      <c r="G443" s="73" t="s">
        <v>826</v>
      </c>
      <c r="H443" s="73"/>
      <c r="I443" s="73"/>
      <c r="J443" s="73"/>
      <c r="K443" s="73"/>
      <c r="L443" s="73"/>
      <c r="M443" s="73"/>
      <c r="N443" s="73"/>
      <c r="O443" s="75">
        <f>SUM(TABELA25[[#This Row],[T1]:[T7]])</f>
        <v>0</v>
      </c>
      <c r="P443" s="76">
        <f>TABELA25[[#This Row],[PREÇO]]*TABELA25[[#This Row],[QTDE]]</f>
        <v>0</v>
      </c>
    </row>
    <row r="444" spans="1:16" x14ac:dyDescent="0.2">
      <c r="A444" s="70" t="s">
        <v>2105</v>
      </c>
      <c r="B444" s="71" t="s">
        <v>2106</v>
      </c>
      <c r="C444" s="72" t="s">
        <v>2107</v>
      </c>
      <c r="D444" s="73" t="s">
        <v>32</v>
      </c>
      <c r="E444" s="72" t="s">
        <v>33</v>
      </c>
      <c r="F444" s="74">
        <v>103.6</v>
      </c>
      <c r="G444" s="73" t="s">
        <v>826</v>
      </c>
      <c r="H444" s="73"/>
      <c r="I444" s="73"/>
      <c r="J444" s="73"/>
      <c r="K444" s="73"/>
      <c r="L444" s="73"/>
      <c r="M444" s="73"/>
      <c r="N444" s="73"/>
      <c r="O444" s="75">
        <f>SUM(TABELA25[[#This Row],[T1]:[T7]])</f>
        <v>0</v>
      </c>
      <c r="P444" s="76">
        <f>TABELA25[[#This Row],[PREÇO]]*TABELA25[[#This Row],[QTDE]]</f>
        <v>0</v>
      </c>
    </row>
    <row r="445" spans="1:16" x14ac:dyDescent="0.2">
      <c r="A445" s="70" t="s">
        <v>2109</v>
      </c>
      <c r="B445" s="71" t="s">
        <v>2110</v>
      </c>
      <c r="C445" s="72" t="s">
        <v>2111</v>
      </c>
      <c r="D445" s="73" t="s">
        <v>1184</v>
      </c>
      <c r="E445" s="72" t="s">
        <v>2317</v>
      </c>
      <c r="F445" s="74">
        <v>67.599999999999994</v>
      </c>
      <c r="G445" s="73" t="s">
        <v>826</v>
      </c>
      <c r="H445" s="73"/>
      <c r="I445" s="73"/>
      <c r="J445" s="73"/>
      <c r="K445" s="73"/>
      <c r="L445" s="73"/>
      <c r="M445" s="73"/>
      <c r="N445" s="73"/>
      <c r="O445" s="75">
        <f>SUM(TABELA25[[#This Row],[T1]:[T7]])</f>
        <v>0</v>
      </c>
      <c r="P445" s="76">
        <f>TABELA25[[#This Row],[PREÇO]]*TABELA25[[#This Row],[QTDE]]</f>
        <v>0</v>
      </c>
    </row>
    <row r="446" spans="1:16" x14ac:dyDescent="0.2">
      <c r="A446" s="70" t="s">
        <v>2112</v>
      </c>
      <c r="B446" s="71" t="s">
        <v>2110</v>
      </c>
      <c r="C446" s="72" t="s">
        <v>2111</v>
      </c>
      <c r="D446" s="73" t="s">
        <v>882</v>
      </c>
      <c r="E446" s="72" t="s">
        <v>817</v>
      </c>
      <c r="F446" s="74">
        <v>67.599999999999994</v>
      </c>
      <c r="G446" s="73" t="s">
        <v>826</v>
      </c>
      <c r="H446" s="73"/>
      <c r="I446" s="73"/>
      <c r="J446" s="73"/>
      <c r="K446" s="73"/>
      <c r="L446" s="73"/>
      <c r="M446" s="73"/>
      <c r="N446" s="73"/>
      <c r="O446" s="75">
        <f>SUM(TABELA25[[#This Row],[T1]:[T7]])</f>
        <v>0</v>
      </c>
      <c r="P446" s="76">
        <f>TABELA25[[#This Row],[PREÇO]]*TABELA25[[#This Row],[QTDE]]</f>
        <v>0</v>
      </c>
    </row>
    <row r="447" spans="1:16" x14ac:dyDescent="0.2">
      <c r="A447" s="70" t="s">
        <v>2116</v>
      </c>
      <c r="B447" s="71" t="s">
        <v>2114</v>
      </c>
      <c r="C447" s="72" t="s">
        <v>2115</v>
      </c>
      <c r="D447" s="73" t="s">
        <v>1317</v>
      </c>
      <c r="E447" s="72" t="s">
        <v>1319</v>
      </c>
      <c r="F447" s="74">
        <v>111.6</v>
      </c>
      <c r="G447" s="73" t="s">
        <v>826</v>
      </c>
      <c r="H447" s="73"/>
      <c r="I447" s="73"/>
      <c r="J447" s="73"/>
      <c r="K447" s="73"/>
      <c r="L447" s="73"/>
      <c r="M447" s="73"/>
      <c r="N447" s="73"/>
      <c r="O447" s="75">
        <f>SUM(TABELA25[[#This Row],[T1]:[T7]])</f>
        <v>0</v>
      </c>
      <c r="P447" s="76">
        <f>TABELA25[[#This Row],[PREÇO]]*TABELA25[[#This Row],[QTDE]]</f>
        <v>0</v>
      </c>
    </row>
    <row r="448" spans="1:16" x14ac:dyDescent="0.2">
      <c r="A448" s="70" t="s">
        <v>2113</v>
      </c>
      <c r="B448" s="71" t="s">
        <v>2114</v>
      </c>
      <c r="C448" s="72" t="s">
        <v>2115</v>
      </c>
      <c r="D448" s="73" t="s">
        <v>32</v>
      </c>
      <c r="E448" s="72" t="s">
        <v>33</v>
      </c>
      <c r="F448" s="74">
        <v>111.6</v>
      </c>
      <c r="G448" s="73" t="s">
        <v>826</v>
      </c>
      <c r="H448" s="73"/>
      <c r="I448" s="73"/>
      <c r="J448" s="73"/>
      <c r="K448" s="73"/>
      <c r="L448" s="73"/>
      <c r="M448" s="73"/>
      <c r="N448" s="73"/>
      <c r="O448" s="75">
        <f>SUM(TABELA25[[#This Row],[T1]:[T7]])</f>
        <v>0</v>
      </c>
      <c r="P448" s="76">
        <f>TABELA25[[#This Row],[PREÇO]]*TABELA25[[#This Row],[QTDE]]</f>
        <v>0</v>
      </c>
    </row>
    <row r="449" spans="1:16" x14ac:dyDescent="0.2">
      <c r="A449" s="70" t="s">
        <v>2117</v>
      </c>
      <c r="B449" s="71" t="s">
        <v>2118</v>
      </c>
      <c r="C449" s="72" t="s">
        <v>2119</v>
      </c>
      <c r="D449" s="73" t="s">
        <v>1474</v>
      </c>
      <c r="E449" s="72" t="s">
        <v>1475</v>
      </c>
      <c r="F449" s="74">
        <v>79.599999999999994</v>
      </c>
      <c r="G449" s="73" t="s">
        <v>826</v>
      </c>
      <c r="H449" s="73"/>
      <c r="I449" s="73"/>
      <c r="J449" s="73"/>
      <c r="K449" s="73"/>
      <c r="L449" s="73"/>
      <c r="M449" s="73"/>
      <c r="N449" s="73"/>
      <c r="O449" s="75">
        <f>SUM(TABELA25[[#This Row],[T1]:[T7]])</f>
        <v>0</v>
      </c>
      <c r="P449" s="76">
        <f>TABELA25[[#This Row],[PREÇO]]*TABELA25[[#This Row],[QTDE]]</f>
        <v>0</v>
      </c>
    </row>
    <row r="450" spans="1:16" x14ac:dyDescent="0.2">
      <c r="A450" s="70" t="s">
        <v>2123</v>
      </c>
      <c r="B450" s="71" t="s">
        <v>2121</v>
      </c>
      <c r="C450" s="72" t="s">
        <v>2122</v>
      </c>
      <c r="D450" s="73" t="s">
        <v>1317</v>
      </c>
      <c r="E450" s="72" t="s">
        <v>1319</v>
      </c>
      <c r="F450" s="74">
        <v>87.6</v>
      </c>
      <c r="G450" s="73" t="s">
        <v>826</v>
      </c>
      <c r="H450" s="73"/>
      <c r="I450" s="73"/>
      <c r="J450" s="73"/>
      <c r="K450" s="73"/>
      <c r="L450" s="73"/>
      <c r="M450" s="73"/>
      <c r="N450" s="73"/>
      <c r="O450" s="75">
        <f>SUM(TABELA25[[#This Row],[T1]:[T7]])</f>
        <v>0</v>
      </c>
      <c r="P450" s="76">
        <f>TABELA25[[#This Row],[PREÇO]]*TABELA25[[#This Row],[QTDE]]</f>
        <v>0</v>
      </c>
    </row>
    <row r="451" spans="1:16" x14ac:dyDescent="0.2">
      <c r="A451" s="70" t="s">
        <v>2120</v>
      </c>
      <c r="B451" s="71" t="s">
        <v>2121</v>
      </c>
      <c r="C451" s="72" t="s">
        <v>2122</v>
      </c>
      <c r="D451" s="73" t="s">
        <v>32</v>
      </c>
      <c r="E451" s="72" t="s">
        <v>33</v>
      </c>
      <c r="F451" s="74">
        <v>87.6</v>
      </c>
      <c r="G451" s="73" t="s">
        <v>826</v>
      </c>
      <c r="H451" s="73"/>
      <c r="I451" s="73"/>
      <c r="J451" s="73"/>
      <c r="K451" s="73"/>
      <c r="L451" s="73"/>
      <c r="M451" s="73"/>
      <c r="N451" s="73"/>
      <c r="O451" s="75">
        <f>SUM(TABELA25[[#This Row],[T1]:[T7]])</f>
        <v>0</v>
      </c>
      <c r="P451" s="76">
        <f>TABELA25[[#This Row],[PREÇO]]*TABELA25[[#This Row],[QTDE]]</f>
        <v>0</v>
      </c>
    </row>
    <row r="452" spans="1:16" x14ac:dyDescent="0.2">
      <c r="A452" s="70" t="s">
        <v>2126</v>
      </c>
      <c r="B452" s="71" t="s">
        <v>2124</v>
      </c>
      <c r="C452" s="72" t="s">
        <v>2125</v>
      </c>
      <c r="D452" s="73" t="s">
        <v>821</v>
      </c>
      <c r="E452" s="72" t="s">
        <v>822</v>
      </c>
      <c r="F452" s="74">
        <v>187.6</v>
      </c>
      <c r="G452" s="73" t="s">
        <v>826</v>
      </c>
      <c r="H452" s="73"/>
      <c r="I452" s="73"/>
      <c r="J452" s="73"/>
      <c r="K452" s="73"/>
      <c r="L452" s="73"/>
      <c r="M452" s="73"/>
      <c r="N452" s="73"/>
      <c r="O452" s="75">
        <f>SUM(TABELA25[[#This Row],[T1]:[T7]])</f>
        <v>0</v>
      </c>
      <c r="P452" s="76">
        <f>TABELA25[[#This Row],[PREÇO]]*TABELA25[[#This Row],[QTDE]]</f>
        <v>0</v>
      </c>
    </row>
    <row r="453" spans="1:16" x14ac:dyDescent="0.2">
      <c r="A453" s="70" t="s">
        <v>2129</v>
      </c>
      <c r="B453" s="71" t="s">
        <v>2127</v>
      </c>
      <c r="C453" s="72" t="s">
        <v>2128</v>
      </c>
      <c r="D453" s="73" t="s">
        <v>830</v>
      </c>
      <c r="E453" s="72" t="s">
        <v>43</v>
      </c>
      <c r="F453" s="74">
        <v>79.599999999999994</v>
      </c>
      <c r="G453" s="73" t="s">
        <v>829</v>
      </c>
      <c r="H453" s="73"/>
      <c r="I453" s="73"/>
      <c r="J453" s="73"/>
      <c r="K453" s="73"/>
      <c r="L453" s="73"/>
      <c r="M453" s="73"/>
      <c r="N453" s="73"/>
      <c r="O453" s="75">
        <f>SUM(TABELA25[[#This Row],[T1]:[T7]])</f>
        <v>0</v>
      </c>
      <c r="P453" s="76">
        <f>TABELA25[[#This Row],[PREÇO]]*TABELA25[[#This Row],[QTDE]]</f>
        <v>0</v>
      </c>
    </row>
    <row r="454" spans="1:16" x14ac:dyDescent="0.2">
      <c r="A454" s="70" t="s">
        <v>2131</v>
      </c>
      <c r="B454" s="71" t="s">
        <v>2127</v>
      </c>
      <c r="C454" s="72" t="s">
        <v>2128</v>
      </c>
      <c r="D454" s="73" t="s">
        <v>895</v>
      </c>
      <c r="E454" s="72" t="s">
        <v>896</v>
      </c>
      <c r="F454" s="74">
        <v>79.599999999999994</v>
      </c>
      <c r="G454" s="73" t="s">
        <v>829</v>
      </c>
      <c r="H454" s="73"/>
      <c r="I454" s="73"/>
      <c r="J454" s="73"/>
      <c r="K454" s="73"/>
      <c r="L454" s="73"/>
      <c r="M454" s="73"/>
      <c r="N454" s="73"/>
      <c r="O454" s="75">
        <f>SUM(TABELA25[[#This Row],[T1]:[T7]])</f>
        <v>0</v>
      </c>
      <c r="P454" s="76">
        <f>TABELA25[[#This Row],[PREÇO]]*TABELA25[[#This Row],[QTDE]]</f>
        <v>0</v>
      </c>
    </row>
    <row r="455" spans="1:16" x14ac:dyDescent="0.2">
      <c r="A455" s="70" t="s">
        <v>2130</v>
      </c>
      <c r="B455" s="71" t="s">
        <v>2127</v>
      </c>
      <c r="C455" s="72" t="s">
        <v>2128</v>
      </c>
      <c r="D455" s="73" t="s">
        <v>924</v>
      </c>
      <c r="E455" s="72" t="s">
        <v>926</v>
      </c>
      <c r="F455" s="74">
        <v>79.599999999999994</v>
      </c>
      <c r="G455" s="73" t="s">
        <v>829</v>
      </c>
      <c r="H455" s="73"/>
      <c r="I455" s="73"/>
      <c r="J455" s="73"/>
      <c r="K455" s="73"/>
      <c r="L455" s="73"/>
      <c r="M455" s="73"/>
      <c r="N455" s="73"/>
      <c r="O455" s="75">
        <f>SUM(TABELA25[[#This Row],[T1]:[T7]])</f>
        <v>0</v>
      </c>
      <c r="P455" s="76">
        <f>TABELA25[[#This Row],[PREÇO]]*TABELA25[[#This Row],[QTDE]]</f>
        <v>0</v>
      </c>
    </row>
    <row r="456" spans="1:16" x14ac:dyDescent="0.2">
      <c r="A456" s="70" t="s">
        <v>2134</v>
      </c>
      <c r="B456" s="71" t="s">
        <v>2132</v>
      </c>
      <c r="C456" s="72" t="s">
        <v>2133</v>
      </c>
      <c r="D456" s="73" t="s">
        <v>32</v>
      </c>
      <c r="E456" s="72" t="s">
        <v>33</v>
      </c>
      <c r="F456" s="74">
        <v>75.599999999999994</v>
      </c>
      <c r="G456" s="73" t="s">
        <v>829</v>
      </c>
      <c r="H456" s="73"/>
      <c r="I456" s="73"/>
      <c r="J456" s="73"/>
      <c r="K456" s="73"/>
      <c r="L456" s="73"/>
      <c r="M456" s="73"/>
      <c r="N456" s="73"/>
      <c r="O456" s="75">
        <f>SUM(TABELA25[[#This Row],[T1]:[T7]])</f>
        <v>0</v>
      </c>
      <c r="P456" s="76">
        <f>TABELA25[[#This Row],[PREÇO]]*TABELA25[[#This Row],[QTDE]]</f>
        <v>0</v>
      </c>
    </row>
    <row r="457" spans="1:16" x14ac:dyDescent="0.2">
      <c r="A457" s="70" t="s">
        <v>2137</v>
      </c>
      <c r="B457" s="71" t="s">
        <v>2135</v>
      </c>
      <c r="C457" s="72" t="s">
        <v>2136</v>
      </c>
      <c r="D457" s="73" t="s">
        <v>1068</v>
      </c>
      <c r="E457" s="72" t="s">
        <v>1069</v>
      </c>
      <c r="F457" s="74">
        <v>215.6</v>
      </c>
      <c r="G457" s="73" t="s">
        <v>829</v>
      </c>
      <c r="H457" s="73"/>
      <c r="I457" s="73"/>
      <c r="J457" s="73"/>
      <c r="K457" s="73"/>
      <c r="L457" s="73"/>
      <c r="M457" s="73"/>
      <c r="N457" s="73"/>
      <c r="O457" s="75">
        <f>SUM(TABELA25[[#This Row],[T1]:[T7]])</f>
        <v>0</v>
      </c>
      <c r="P457" s="76">
        <f>TABELA25[[#This Row],[PREÇO]]*TABELA25[[#This Row],[QTDE]]</f>
        <v>0</v>
      </c>
    </row>
    <row r="458" spans="1:16" x14ac:dyDescent="0.2">
      <c r="A458" s="70" t="s">
        <v>2139</v>
      </c>
      <c r="B458" s="71" t="s">
        <v>2138</v>
      </c>
      <c r="C458" s="72" t="s">
        <v>1224</v>
      </c>
      <c r="D458" s="73" t="s">
        <v>898</v>
      </c>
      <c r="E458" s="72" t="s">
        <v>900</v>
      </c>
      <c r="F458" s="74">
        <v>131.6</v>
      </c>
      <c r="G458" s="73" t="s">
        <v>829</v>
      </c>
      <c r="H458" s="73"/>
      <c r="I458" s="73"/>
      <c r="J458" s="73"/>
      <c r="K458" s="73"/>
      <c r="L458" s="73"/>
      <c r="M458" s="73"/>
      <c r="N458" s="73"/>
      <c r="O458" s="75">
        <f>SUM(TABELA25[[#This Row],[T1]:[T7]])</f>
        <v>0</v>
      </c>
      <c r="P458" s="76">
        <f>TABELA25[[#This Row],[PREÇO]]*TABELA25[[#This Row],[QTDE]]</f>
        <v>0</v>
      </c>
    </row>
    <row r="459" spans="1:16" x14ac:dyDescent="0.2">
      <c r="A459" s="70" t="s">
        <v>2142</v>
      </c>
      <c r="B459" s="71" t="s">
        <v>2140</v>
      </c>
      <c r="C459" s="72" t="s">
        <v>2141</v>
      </c>
      <c r="D459" s="73" t="s">
        <v>929</v>
      </c>
      <c r="E459" s="72" t="s">
        <v>931</v>
      </c>
      <c r="F459" s="74">
        <v>179.6</v>
      </c>
      <c r="G459" s="73" t="s">
        <v>829</v>
      </c>
      <c r="H459" s="73"/>
      <c r="I459" s="73"/>
      <c r="J459" s="73"/>
      <c r="K459" s="73"/>
      <c r="L459" s="73"/>
      <c r="M459" s="73"/>
      <c r="N459" s="73"/>
      <c r="O459" s="75">
        <f>SUM(TABELA25[[#This Row],[T1]:[T7]])</f>
        <v>0</v>
      </c>
      <c r="P459" s="76">
        <f>TABELA25[[#This Row],[PREÇO]]*TABELA25[[#This Row],[QTDE]]</f>
        <v>0</v>
      </c>
    </row>
    <row r="460" spans="1:16" x14ac:dyDescent="0.2">
      <c r="A460" s="70" t="s">
        <v>2145</v>
      </c>
      <c r="B460" s="71" t="s">
        <v>2143</v>
      </c>
      <c r="C460" s="72" t="s">
        <v>2144</v>
      </c>
      <c r="D460" s="73" t="s">
        <v>898</v>
      </c>
      <c r="E460" s="72" t="s">
        <v>900</v>
      </c>
      <c r="F460" s="74">
        <v>135.6</v>
      </c>
      <c r="G460" s="73" t="s">
        <v>829</v>
      </c>
      <c r="H460" s="73"/>
      <c r="I460" s="73"/>
      <c r="J460" s="73"/>
      <c r="K460" s="73"/>
      <c r="L460" s="73"/>
      <c r="M460" s="73"/>
      <c r="N460" s="73"/>
      <c r="O460" s="75">
        <f>SUM(TABELA25[[#This Row],[T1]:[T7]])</f>
        <v>0</v>
      </c>
      <c r="P460" s="76">
        <f>TABELA25[[#This Row],[PREÇO]]*TABELA25[[#This Row],[QTDE]]</f>
        <v>0</v>
      </c>
    </row>
    <row r="461" spans="1:16" x14ac:dyDescent="0.2">
      <c r="A461" s="70" t="s">
        <v>2148</v>
      </c>
      <c r="B461" s="71" t="s">
        <v>2146</v>
      </c>
      <c r="C461" s="72" t="s">
        <v>2147</v>
      </c>
      <c r="D461" s="73" t="s">
        <v>895</v>
      </c>
      <c r="E461" s="72" t="s">
        <v>896</v>
      </c>
      <c r="F461" s="74">
        <v>183.6</v>
      </c>
      <c r="G461" s="73" t="s">
        <v>829</v>
      </c>
      <c r="H461" s="73"/>
      <c r="I461" s="73"/>
      <c r="J461" s="73"/>
      <c r="K461" s="73"/>
      <c r="L461" s="73"/>
      <c r="M461" s="73"/>
      <c r="N461" s="73"/>
      <c r="O461" s="75">
        <f>SUM(TABELA25[[#This Row],[T1]:[T7]])</f>
        <v>0</v>
      </c>
      <c r="P461" s="76">
        <f>TABELA25[[#This Row],[PREÇO]]*TABELA25[[#This Row],[QTDE]]</f>
        <v>0</v>
      </c>
    </row>
    <row r="462" spans="1:16" x14ac:dyDescent="0.2">
      <c r="A462" s="70" t="s">
        <v>2151</v>
      </c>
      <c r="B462" s="71" t="s">
        <v>2149</v>
      </c>
      <c r="C462" s="72" t="s">
        <v>2150</v>
      </c>
      <c r="D462" s="73" t="s">
        <v>882</v>
      </c>
      <c r="E462" s="72" t="s">
        <v>817</v>
      </c>
      <c r="F462" s="74">
        <v>255.6</v>
      </c>
      <c r="G462" s="73" t="s">
        <v>829</v>
      </c>
      <c r="H462" s="73"/>
      <c r="I462" s="73"/>
      <c r="J462" s="73"/>
      <c r="K462" s="73"/>
      <c r="L462" s="73"/>
      <c r="M462" s="73"/>
      <c r="N462" s="73"/>
      <c r="O462" s="75">
        <f>SUM(TABELA25[[#This Row],[T1]:[T7]])</f>
        <v>0</v>
      </c>
      <c r="P462" s="76">
        <f>TABELA25[[#This Row],[PREÇO]]*TABELA25[[#This Row],[QTDE]]</f>
        <v>0</v>
      </c>
    </row>
    <row r="463" spans="1:16" x14ac:dyDescent="0.2">
      <c r="A463" s="70" t="s">
        <v>2155</v>
      </c>
      <c r="B463" s="71" t="s">
        <v>2152</v>
      </c>
      <c r="C463" s="72" t="s">
        <v>2153</v>
      </c>
      <c r="D463" s="73" t="s">
        <v>955</v>
      </c>
      <c r="E463" s="72" t="s">
        <v>2154</v>
      </c>
      <c r="F463" s="74">
        <v>359.6</v>
      </c>
      <c r="G463" s="73" t="s">
        <v>829</v>
      </c>
      <c r="H463" s="73"/>
      <c r="I463" s="73"/>
      <c r="J463" s="73"/>
      <c r="K463" s="73"/>
      <c r="L463" s="73"/>
      <c r="M463" s="73"/>
      <c r="N463" s="73"/>
      <c r="O463" s="75">
        <f>SUM(TABELA25[[#This Row],[T1]:[T7]])</f>
        <v>0</v>
      </c>
      <c r="P463" s="76">
        <f>TABELA25[[#This Row],[PREÇO]]*TABELA25[[#This Row],[QTDE]]</f>
        <v>0</v>
      </c>
    </row>
    <row r="464" spans="1:16" x14ac:dyDescent="0.2">
      <c r="A464" s="70" t="s">
        <v>2158</v>
      </c>
      <c r="B464" s="71" t="s">
        <v>2156</v>
      </c>
      <c r="C464" s="72" t="s">
        <v>2157</v>
      </c>
      <c r="D464" s="73" t="s">
        <v>882</v>
      </c>
      <c r="E464" s="72" t="s">
        <v>817</v>
      </c>
      <c r="F464" s="74">
        <v>331.6</v>
      </c>
      <c r="G464" s="73" t="s">
        <v>829</v>
      </c>
      <c r="H464" s="73"/>
      <c r="I464" s="73"/>
      <c r="J464" s="73"/>
      <c r="K464" s="73"/>
      <c r="L464" s="73"/>
      <c r="M464" s="73"/>
      <c r="N464" s="73"/>
      <c r="O464" s="75">
        <f>SUM(TABELA25[[#This Row],[T1]:[T7]])</f>
        <v>0</v>
      </c>
      <c r="P464" s="76">
        <f>TABELA25[[#This Row],[PREÇO]]*TABELA25[[#This Row],[QTDE]]</f>
        <v>0</v>
      </c>
    </row>
    <row r="465" spans="1:16" x14ac:dyDescent="0.2">
      <c r="A465" s="70" t="s">
        <v>2161</v>
      </c>
      <c r="B465" s="71" t="s">
        <v>2159</v>
      </c>
      <c r="C465" s="72" t="s">
        <v>2160</v>
      </c>
      <c r="D465" s="73" t="s">
        <v>830</v>
      </c>
      <c r="E465" s="72" t="s">
        <v>43</v>
      </c>
      <c r="F465" s="74">
        <v>199.6</v>
      </c>
      <c r="G465" s="73" t="s">
        <v>829</v>
      </c>
      <c r="H465" s="73"/>
      <c r="I465" s="73"/>
      <c r="J465" s="73"/>
      <c r="K465" s="73"/>
      <c r="L465" s="73"/>
      <c r="M465" s="73"/>
      <c r="N465" s="73"/>
      <c r="O465" s="75">
        <f>SUM(TABELA25[[#This Row],[T1]:[T7]])</f>
        <v>0</v>
      </c>
      <c r="P465" s="76">
        <f>TABELA25[[#This Row],[PREÇO]]*TABELA25[[#This Row],[QTDE]]</f>
        <v>0</v>
      </c>
    </row>
    <row r="466" spans="1:16" x14ac:dyDescent="0.2">
      <c r="A466" s="70" t="s">
        <v>2164</v>
      </c>
      <c r="B466" s="71" t="s">
        <v>2162</v>
      </c>
      <c r="C466" s="72" t="s">
        <v>2163</v>
      </c>
      <c r="D466" s="73" t="s">
        <v>32</v>
      </c>
      <c r="E466" s="72" t="s">
        <v>33</v>
      </c>
      <c r="F466" s="74">
        <v>199.6</v>
      </c>
      <c r="G466" s="73" t="s">
        <v>829</v>
      </c>
      <c r="H466" s="73"/>
      <c r="I466" s="73"/>
      <c r="J466" s="73"/>
      <c r="K466" s="73"/>
      <c r="L466" s="73"/>
      <c r="M466" s="73"/>
      <c r="N466" s="73"/>
      <c r="O466" s="75">
        <f>SUM(TABELA25[[#This Row],[T1]:[T7]])</f>
        <v>0</v>
      </c>
      <c r="P466" s="76">
        <f>TABELA25[[#This Row],[PREÇO]]*TABELA25[[#This Row],[QTDE]]</f>
        <v>0</v>
      </c>
    </row>
    <row r="467" spans="1:16" x14ac:dyDescent="0.2">
      <c r="A467" s="70" t="s">
        <v>2167</v>
      </c>
      <c r="B467" s="71" t="s">
        <v>2165</v>
      </c>
      <c r="C467" s="72" t="s">
        <v>2166</v>
      </c>
      <c r="D467" s="73" t="s">
        <v>1263</v>
      </c>
      <c r="E467" s="72" t="s">
        <v>1265</v>
      </c>
      <c r="F467" s="74">
        <v>199.6</v>
      </c>
      <c r="G467" s="73" t="s">
        <v>829</v>
      </c>
      <c r="H467" s="73"/>
      <c r="I467" s="73"/>
      <c r="J467" s="73"/>
      <c r="K467" s="73"/>
      <c r="L467" s="73"/>
      <c r="M467" s="73"/>
      <c r="N467" s="73"/>
      <c r="O467" s="75">
        <f>SUM(TABELA25[[#This Row],[T1]:[T7]])</f>
        <v>0</v>
      </c>
      <c r="P467" s="76">
        <f>TABELA25[[#This Row],[PREÇO]]*TABELA25[[#This Row],[QTDE]]</f>
        <v>0</v>
      </c>
    </row>
    <row r="468" spans="1:16" x14ac:dyDescent="0.2">
      <c r="A468" s="70" t="s">
        <v>2169</v>
      </c>
      <c r="B468" s="71" t="s">
        <v>2168</v>
      </c>
      <c r="C468" s="72" t="s">
        <v>832</v>
      </c>
      <c r="D468" s="73" t="s">
        <v>895</v>
      </c>
      <c r="E468" s="72" t="s">
        <v>896</v>
      </c>
      <c r="F468" s="74">
        <v>219.6</v>
      </c>
      <c r="G468" s="73" t="s">
        <v>829</v>
      </c>
      <c r="H468" s="73"/>
      <c r="I468" s="73"/>
      <c r="J468" s="73"/>
      <c r="K468" s="73"/>
      <c r="L468" s="73"/>
      <c r="M468" s="73"/>
      <c r="N468" s="73"/>
      <c r="O468" s="75">
        <f>SUM(TABELA25[[#This Row],[T1]:[T7]])</f>
        <v>0</v>
      </c>
      <c r="P468" s="76">
        <f>TABELA25[[#This Row],[PREÇO]]*TABELA25[[#This Row],[QTDE]]</f>
        <v>0</v>
      </c>
    </row>
    <row r="469" spans="1:16" x14ac:dyDescent="0.2">
      <c r="A469" s="70" t="s">
        <v>2172</v>
      </c>
      <c r="B469" s="71" t="s">
        <v>2170</v>
      </c>
      <c r="C469" s="72" t="s">
        <v>2171</v>
      </c>
      <c r="D469" s="73" t="s">
        <v>1193</v>
      </c>
      <c r="E469" s="72" t="s">
        <v>1195</v>
      </c>
      <c r="F469" s="74">
        <v>175.6</v>
      </c>
      <c r="G469" s="73" t="s">
        <v>829</v>
      </c>
      <c r="H469" s="73"/>
      <c r="I469" s="73"/>
      <c r="J469" s="73"/>
      <c r="K469" s="73"/>
      <c r="L469" s="73"/>
      <c r="M469" s="73"/>
      <c r="N469" s="73"/>
      <c r="O469" s="75">
        <f>SUM(TABELA25[[#This Row],[T1]:[T7]])</f>
        <v>0</v>
      </c>
      <c r="P469" s="76">
        <f>TABELA25[[#This Row],[PREÇO]]*TABELA25[[#This Row],[QTDE]]</f>
        <v>0</v>
      </c>
    </row>
    <row r="470" spans="1:16" x14ac:dyDescent="0.2">
      <c r="A470" s="70" t="s">
        <v>2175</v>
      </c>
      <c r="B470" s="71" t="s">
        <v>2173</v>
      </c>
      <c r="C470" s="72" t="s">
        <v>2174</v>
      </c>
      <c r="D470" s="73" t="s">
        <v>1059</v>
      </c>
      <c r="E470" s="72" t="s">
        <v>1061</v>
      </c>
      <c r="F470" s="74">
        <v>159.6</v>
      </c>
      <c r="G470" s="73" t="s">
        <v>829</v>
      </c>
      <c r="H470" s="73"/>
      <c r="I470" s="73"/>
      <c r="J470" s="73"/>
      <c r="K470" s="73"/>
      <c r="L470" s="73"/>
      <c r="M470" s="73"/>
      <c r="N470" s="73"/>
      <c r="O470" s="75">
        <f>SUM(TABELA25[[#This Row],[T1]:[T7]])</f>
        <v>0</v>
      </c>
      <c r="P470" s="76">
        <f>TABELA25[[#This Row],[PREÇO]]*TABELA25[[#This Row],[QTDE]]</f>
        <v>0</v>
      </c>
    </row>
    <row r="471" spans="1:16" x14ac:dyDescent="0.2">
      <c r="A471" s="70" t="s">
        <v>2178</v>
      </c>
      <c r="B471" s="71" t="s">
        <v>2176</v>
      </c>
      <c r="C471" s="72" t="s">
        <v>2177</v>
      </c>
      <c r="D471" s="73" t="s">
        <v>1059</v>
      </c>
      <c r="E471" s="72" t="s">
        <v>1061</v>
      </c>
      <c r="F471" s="74">
        <v>239.6</v>
      </c>
      <c r="G471" s="73" t="s">
        <v>829</v>
      </c>
      <c r="H471" s="73"/>
      <c r="I471" s="73"/>
      <c r="J471" s="73"/>
      <c r="K471" s="73"/>
      <c r="L471" s="73"/>
      <c r="M471" s="73"/>
      <c r="N471" s="73"/>
      <c r="O471" s="75">
        <f>SUM(TABELA25[[#This Row],[T1]:[T7]])</f>
        <v>0</v>
      </c>
      <c r="P471" s="76">
        <f>TABELA25[[#This Row],[PREÇO]]*TABELA25[[#This Row],[QTDE]]</f>
        <v>0</v>
      </c>
    </row>
    <row r="472" spans="1:16" x14ac:dyDescent="0.2">
      <c r="A472" s="70" t="s">
        <v>2181</v>
      </c>
      <c r="B472" s="71" t="s">
        <v>2179</v>
      </c>
      <c r="C472" s="72" t="s">
        <v>2180</v>
      </c>
      <c r="D472" s="73" t="s">
        <v>1216</v>
      </c>
      <c r="E472" s="72" t="s">
        <v>1218</v>
      </c>
      <c r="F472" s="74">
        <v>319.60000000000002</v>
      </c>
      <c r="G472" s="73" t="s">
        <v>829</v>
      </c>
      <c r="H472" s="73"/>
      <c r="I472" s="73"/>
      <c r="J472" s="73"/>
      <c r="K472" s="73"/>
      <c r="L472" s="73"/>
      <c r="M472" s="73"/>
      <c r="N472" s="73"/>
      <c r="O472" s="75">
        <f>SUM(TABELA25[[#This Row],[T1]:[T7]])</f>
        <v>0</v>
      </c>
      <c r="P472" s="76">
        <f>TABELA25[[#This Row],[PREÇO]]*TABELA25[[#This Row],[QTDE]]</f>
        <v>0</v>
      </c>
    </row>
    <row r="473" spans="1:16" x14ac:dyDescent="0.2">
      <c r="A473" s="70" t="s">
        <v>2183</v>
      </c>
      <c r="B473" s="71" t="s">
        <v>2182</v>
      </c>
      <c r="C473" s="72" t="s">
        <v>907</v>
      </c>
      <c r="D473" s="73" t="s">
        <v>32</v>
      </c>
      <c r="E473" s="72" t="s">
        <v>33</v>
      </c>
      <c r="F473" s="74">
        <v>199.6</v>
      </c>
      <c r="G473" s="73" t="s">
        <v>829</v>
      </c>
      <c r="H473" s="73"/>
      <c r="I473" s="73"/>
      <c r="J473" s="73"/>
      <c r="K473" s="73"/>
      <c r="L473" s="73"/>
      <c r="M473" s="73"/>
      <c r="N473" s="73"/>
      <c r="O473" s="75">
        <f>SUM(TABELA25[[#This Row],[T1]:[T7]])</f>
        <v>0</v>
      </c>
      <c r="P473" s="76">
        <f>TABELA25[[#This Row],[PREÇO]]*TABELA25[[#This Row],[QTDE]]</f>
        <v>0</v>
      </c>
    </row>
    <row r="474" spans="1:16" x14ac:dyDescent="0.2">
      <c r="A474" s="70" t="s">
        <v>2185</v>
      </c>
      <c r="B474" s="71" t="s">
        <v>2184</v>
      </c>
      <c r="C474" s="72" t="s">
        <v>1515</v>
      </c>
      <c r="D474" s="73" t="s">
        <v>929</v>
      </c>
      <c r="E474" s="72" t="s">
        <v>931</v>
      </c>
      <c r="F474" s="74">
        <v>139.6</v>
      </c>
      <c r="G474" s="73" t="s">
        <v>828</v>
      </c>
      <c r="H474" s="73"/>
      <c r="I474" s="73"/>
      <c r="J474" s="73"/>
      <c r="K474" s="73"/>
      <c r="L474" s="73"/>
      <c r="M474" s="73"/>
      <c r="N474" s="73"/>
      <c r="O474" s="75">
        <f>SUM(TABELA25[[#This Row],[T1]:[T7]])</f>
        <v>0</v>
      </c>
      <c r="P474" s="76">
        <f>TABELA25[[#This Row],[PREÇO]]*TABELA25[[#This Row],[QTDE]]</f>
        <v>0</v>
      </c>
    </row>
    <row r="475" spans="1:16" x14ac:dyDescent="0.2">
      <c r="A475" s="70" t="s">
        <v>2188</v>
      </c>
      <c r="B475" s="71" t="s">
        <v>2186</v>
      </c>
      <c r="C475" s="72" t="s">
        <v>2187</v>
      </c>
      <c r="D475" s="73" t="s">
        <v>1836</v>
      </c>
      <c r="E475" s="72" t="s">
        <v>1838</v>
      </c>
      <c r="F475" s="74">
        <v>159.6</v>
      </c>
      <c r="G475" s="73" t="s">
        <v>829</v>
      </c>
      <c r="H475" s="73"/>
      <c r="I475" s="73"/>
      <c r="J475" s="73"/>
      <c r="K475" s="73"/>
      <c r="L475" s="73"/>
      <c r="M475" s="73"/>
      <c r="N475" s="73"/>
      <c r="O475" s="75">
        <f>SUM(TABELA25[[#This Row],[T1]:[T7]])</f>
        <v>0</v>
      </c>
      <c r="P475" s="76">
        <f>TABELA25[[#This Row],[PREÇO]]*TABELA25[[#This Row],[QTDE]]</f>
        <v>0</v>
      </c>
    </row>
    <row r="476" spans="1:16" x14ac:dyDescent="0.2">
      <c r="A476" s="70" t="s">
        <v>2189</v>
      </c>
      <c r="B476" s="71" t="s">
        <v>2190</v>
      </c>
      <c r="C476" s="72" t="s">
        <v>2191</v>
      </c>
      <c r="D476" s="73" t="s">
        <v>815</v>
      </c>
      <c r="E476" s="72" t="s">
        <v>816</v>
      </c>
      <c r="F476" s="74">
        <v>479.6</v>
      </c>
      <c r="G476" s="73" t="s">
        <v>17</v>
      </c>
      <c r="H476" s="73"/>
      <c r="I476" s="73"/>
      <c r="J476" s="73"/>
      <c r="K476" s="73"/>
      <c r="L476" s="73"/>
      <c r="M476" s="73"/>
      <c r="N476" s="73"/>
      <c r="O476" s="75">
        <f>SUM(TABELA25[[#This Row],[T1]:[T7]])</f>
        <v>0</v>
      </c>
      <c r="P476" s="76">
        <f>TABELA25[[#This Row],[PREÇO]]*TABELA25[[#This Row],[QTDE]]</f>
        <v>0</v>
      </c>
    </row>
    <row r="477" spans="1:16" x14ac:dyDescent="0.2">
      <c r="A477" s="70" t="s">
        <v>2193</v>
      </c>
      <c r="B477" s="71" t="s">
        <v>2192</v>
      </c>
      <c r="C477" s="72" t="s">
        <v>1864</v>
      </c>
      <c r="D477" s="73" t="s">
        <v>1474</v>
      </c>
      <c r="E477" s="72" t="s">
        <v>1475</v>
      </c>
      <c r="F477" s="74">
        <v>191.6</v>
      </c>
      <c r="G477" s="73" t="s">
        <v>829</v>
      </c>
      <c r="H477" s="73"/>
      <c r="I477" s="73"/>
      <c r="J477" s="73"/>
      <c r="K477" s="73"/>
      <c r="L477" s="73"/>
      <c r="M477" s="73"/>
      <c r="N477" s="73"/>
      <c r="O477" s="75">
        <f>SUM(TABELA25[[#This Row],[T1]:[T7]])</f>
        <v>0</v>
      </c>
      <c r="P477" s="76">
        <f>TABELA25[[#This Row],[PREÇO]]*TABELA25[[#This Row],[QTDE]]</f>
        <v>0</v>
      </c>
    </row>
    <row r="478" spans="1:16" x14ac:dyDescent="0.2">
      <c r="A478" s="70" t="s">
        <v>2196</v>
      </c>
      <c r="B478" s="71" t="s">
        <v>2194</v>
      </c>
      <c r="C478" s="72" t="s">
        <v>2195</v>
      </c>
      <c r="D478" s="73" t="s">
        <v>821</v>
      </c>
      <c r="E478" s="72" t="s">
        <v>822</v>
      </c>
      <c r="F478" s="74">
        <v>299.60000000000002</v>
      </c>
      <c r="G478" s="73" t="s">
        <v>826</v>
      </c>
      <c r="H478" s="73"/>
      <c r="I478" s="73"/>
      <c r="J478" s="73"/>
      <c r="K478" s="73"/>
      <c r="L478" s="73"/>
      <c r="M478" s="73"/>
      <c r="N478" s="73"/>
      <c r="O478" s="75">
        <f>SUM(TABELA25[[#This Row],[T1]:[T7]])</f>
        <v>0</v>
      </c>
      <c r="P478" s="76">
        <f>TABELA25[[#This Row],[PREÇO]]*TABELA25[[#This Row],[QTDE]]</f>
        <v>0</v>
      </c>
    </row>
    <row r="479" spans="1:16" x14ac:dyDescent="0.2">
      <c r="A479" s="70" t="s">
        <v>2197</v>
      </c>
      <c r="B479" s="71" t="s">
        <v>2198</v>
      </c>
      <c r="C479" s="72" t="s">
        <v>2199</v>
      </c>
      <c r="D479" s="73" t="s">
        <v>1317</v>
      </c>
      <c r="E479" s="72" t="s">
        <v>1319</v>
      </c>
      <c r="F479" s="74">
        <v>299.60000000000002</v>
      </c>
      <c r="G479" s="73" t="s">
        <v>826</v>
      </c>
      <c r="H479" s="73"/>
      <c r="I479" s="73"/>
      <c r="J479" s="73"/>
      <c r="K479" s="73"/>
      <c r="L479" s="73"/>
      <c r="M479" s="73"/>
      <c r="N479" s="73"/>
      <c r="O479" s="75">
        <f>SUM(TABELA25[[#This Row],[T1]:[T7]])</f>
        <v>0</v>
      </c>
      <c r="P479" s="76">
        <f>TABELA25[[#This Row],[PREÇO]]*TABELA25[[#This Row],[QTDE]]</f>
        <v>0</v>
      </c>
    </row>
    <row r="480" spans="1:16" x14ac:dyDescent="0.2">
      <c r="A480" s="70" t="s">
        <v>2200</v>
      </c>
      <c r="B480" s="71" t="s">
        <v>2201</v>
      </c>
      <c r="C480" s="72" t="s">
        <v>2203</v>
      </c>
      <c r="D480" s="73" t="s">
        <v>2202</v>
      </c>
      <c r="E480" s="72" t="s">
        <v>2318</v>
      </c>
      <c r="F480" s="74">
        <v>199.6</v>
      </c>
      <c r="G480" s="73" t="s">
        <v>826</v>
      </c>
      <c r="H480" s="73"/>
      <c r="I480" s="73"/>
      <c r="J480" s="73"/>
      <c r="K480" s="73"/>
      <c r="L480" s="73"/>
      <c r="M480" s="73"/>
      <c r="N480" s="73"/>
      <c r="O480" s="75">
        <f>SUM(TABELA25[[#This Row],[T1]:[T7]])</f>
        <v>0</v>
      </c>
      <c r="P480" s="76">
        <f>TABELA25[[#This Row],[PREÇO]]*TABELA25[[#This Row],[QTDE]]</f>
        <v>0</v>
      </c>
    </row>
    <row r="481" spans="1:16" x14ac:dyDescent="0.2">
      <c r="A481" s="70" t="s">
        <v>2204</v>
      </c>
      <c r="B481" s="71" t="s">
        <v>2205</v>
      </c>
      <c r="C481" s="72" t="s">
        <v>2206</v>
      </c>
      <c r="D481" s="73" t="s">
        <v>898</v>
      </c>
      <c r="E481" s="72" t="s">
        <v>900</v>
      </c>
      <c r="F481" s="74">
        <v>199.6</v>
      </c>
      <c r="G481" s="73" t="s">
        <v>826</v>
      </c>
      <c r="H481" s="73"/>
      <c r="I481" s="73"/>
      <c r="J481" s="73"/>
      <c r="K481" s="73"/>
      <c r="L481" s="73"/>
      <c r="M481" s="73"/>
      <c r="N481" s="73"/>
      <c r="O481" s="75">
        <f>SUM(TABELA25[[#This Row],[T1]:[T7]])</f>
        <v>0</v>
      </c>
      <c r="P481" s="76">
        <f>TABELA25[[#This Row],[PREÇO]]*TABELA25[[#This Row],[QTDE]]</f>
        <v>0</v>
      </c>
    </row>
    <row r="482" spans="1:16" x14ac:dyDescent="0.2">
      <c r="A482" s="70" t="s">
        <v>2208</v>
      </c>
      <c r="B482" s="71" t="s">
        <v>2207</v>
      </c>
      <c r="C482" s="72" t="s">
        <v>899</v>
      </c>
      <c r="D482" s="73" t="s">
        <v>1118</v>
      </c>
      <c r="E482" s="72" t="s">
        <v>1119</v>
      </c>
      <c r="F482" s="74">
        <v>239.6</v>
      </c>
      <c r="G482" s="73" t="s">
        <v>829</v>
      </c>
      <c r="H482" s="73"/>
      <c r="I482" s="73"/>
      <c r="J482" s="73"/>
      <c r="K482" s="73"/>
      <c r="L482" s="73"/>
      <c r="M482" s="73"/>
      <c r="N482" s="73"/>
      <c r="O482" s="75">
        <f>SUM(TABELA25[[#This Row],[T1]:[T7]])</f>
        <v>0</v>
      </c>
      <c r="P482" s="76">
        <f>TABELA25[[#This Row],[PREÇO]]*TABELA25[[#This Row],[QTDE]]</f>
        <v>0</v>
      </c>
    </row>
    <row r="483" spans="1:16" x14ac:dyDescent="0.2">
      <c r="A483" s="70" t="s">
        <v>2211</v>
      </c>
      <c r="B483" s="71" t="s">
        <v>2209</v>
      </c>
      <c r="C483" s="72" t="s">
        <v>2210</v>
      </c>
      <c r="D483" s="73" t="s">
        <v>1054</v>
      </c>
      <c r="E483" s="72" t="s">
        <v>1056</v>
      </c>
      <c r="F483" s="74">
        <v>359.6</v>
      </c>
      <c r="G483" s="73" t="s">
        <v>829</v>
      </c>
      <c r="H483" s="73"/>
      <c r="I483" s="73"/>
      <c r="J483" s="73"/>
      <c r="K483" s="73"/>
      <c r="L483" s="73"/>
      <c r="M483" s="73"/>
      <c r="N483" s="73"/>
      <c r="O483" s="75">
        <f>SUM(TABELA25[[#This Row],[T1]:[T7]])</f>
        <v>0</v>
      </c>
      <c r="P483" s="76">
        <f>TABELA25[[#This Row],[PREÇO]]*TABELA25[[#This Row],[QTDE]]</f>
        <v>0</v>
      </c>
    </row>
    <row r="484" spans="1:16" x14ac:dyDescent="0.2">
      <c r="A484" s="70" t="s">
        <v>2213</v>
      </c>
      <c r="B484" s="71" t="s">
        <v>2212</v>
      </c>
      <c r="C484" s="72" t="s">
        <v>2133</v>
      </c>
      <c r="D484" s="73" t="s">
        <v>888</v>
      </c>
      <c r="E484" s="72" t="s">
        <v>890</v>
      </c>
      <c r="F484" s="74">
        <v>99.6</v>
      </c>
      <c r="G484" s="73" t="s">
        <v>2319</v>
      </c>
      <c r="H484" s="73"/>
      <c r="I484" s="73"/>
      <c r="J484" s="73"/>
      <c r="K484" s="73"/>
      <c r="L484" s="73"/>
      <c r="M484" s="73"/>
      <c r="N484" s="73"/>
      <c r="O484" s="75">
        <f>SUM(TABELA25[[#This Row],[T1]:[T7]])</f>
        <v>0</v>
      </c>
      <c r="P484" s="76">
        <f>TABELA25[[#This Row],[PREÇO]]*TABELA25[[#This Row],[QTDE]]</f>
        <v>0</v>
      </c>
    </row>
    <row r="485" spans="1:16" x14ac:dyDescent="0.2">
      <c r="A485" s="70" t="s">
        <v>2217</v>
      </c>
      <c r="B485" s="71" t="s">
        <v>2214</v>
      </c>
      <c r="C485" s="72" t="s">
        <v>2215</v>
      </c>
      <c r="D485" s="73" t="s">
        <v>914</v>
      </c>
      <c r="E485" s="72" t="s">
        <v>915</v>
      </c>
      <c r="F485" s="74">
        <v>159.6</v>
      </c>
      <c r="G485" s="73" t="s">
        <v>829</v>
      </c>
      <c r="H485" s="73"/>
      <c r="I485" s="73"/>
      <c r="J485" s="73"/>
      <c r="K485" s="73"/>
      <c r="L485" s="73"/>
      <c r="M485" s="73"/>
      <c r="N485" s="73"/>
      <c r="O485" s="75">
        <f>SUM(TABELA25[[#This Row],[T1]:[T7]])</f>
        <v>0</v>
      </c>
      <c r="P485" s="76">
        <f>TABELA25[[#This Row],[PREÇO]]*TABELA25[[#This Row],[QTDE]]</f>
        <v>0</v>
      </c>
    </row>
    <row r="486" spans="1:16" x14ac:dyDescent="0.2">
      <c r="A486" s="70" t="s">
        <v>2216</v>
      </c>
      <c r="B486" s="71" t="s">
        <v>2214</v>
      </c>
      <c r="C486" s="72" t="s">
        <v>2215</v>
      </c>
      <c r="D486" s="73" t="s">
        <v>32</v>
      </c>
      <c r="E486" s="72" t="s">
        <v>33</v>
      </c>
      <c r="F486" s="74">
        <v>159.6</v>
      </c>
      <c r="G486" s="73" t="s">
        <v>829</v>
      </c>
      <c r="H486" s="73"/>
      <c r="I486" s="73"/>
      <c r="J486" s="73"/>
      <c r="K486" s="73"/>
      <c r="L486" s="73"/>
      <c r="M486" s="73"/>
      <c r="N486" s="73"/>
      <c r="O486" s="75">
        <f>SUM(TABELA25[[#This Row],[T1]:[T7]])</f>
        <v>0</v>
      </c>
      <c r="P486" s="76">
        <f>TABELA25[[#This Row],[PREÇO]]*TABELA25[[#This Row],[QTDE]]</f>
        <v>0</v>
      </c>
    </row>
    <row r="487" spans="1:16" x14ac:dyDescent="0.2">
      <c r="A487" s="70" t="s">
        <v>2221</v>
      </c>
      <c r="B487" s="71" t="s">
        <v>2218</v>
      </c>
      <c r="C487" s="72" t="s">
        <v>2219</v>
      </c>
      <c r="D487" s="73" t="s">
        <v>873</v>
      </c>
      <c r="E487" s="72" t="s">
        <v>2220</v>
      </c>
      <c r="F487" s="74">
        <v>351.6</v>
      </c>
      <c r="G487" s="73" t="s">
        <v>829</v>
      </c>
      <c r="H487" s="73"/>
      <c r="I487" s="73"/>
      <c r="J487" s="73"/>
      <c r="K487" s="73"/>
      <c r="L487" s="73"/>
      <c r="M487" s="73"/>
      <c r="N487" s="73"/>
      <c r="O487" s="75">
        <f>SUM(TABELA25[[#This Row],[T1]:[T7]])</f>
        <v>0</v>
      </c>
      <c r="P487" s="76">
        <f>TABELA25[[#This Row],[PREÇO]]*TABELA25[[#This Row],[QTDE]]</f>
        <v>0</v>
      </c>
    </row>
    <row r="488" spans="1:16" x14ac:dyDescent="0.2">
      <c r="A488" s="70" t="s">
        <v>2222</v>
      </c>
      <c r="B488" s="71" t="s">
        <v>2223</v>
      </c>
      <c r="C488" s="72" t="s">
        <v>2224</v>
      </c>
      <c r="D488" s="73" t="s">
        <v>32</v>
      </c>
      <c r="E488" s="72" t="s">
        <v>33</v>
      </c>
      <c r="F488" s="74">
        <v>47.6</v>
      </c>
      <c r="G488" s="73" t="s">
        <v>826</v>
      </c>
      <c r="H488" s="73"/>
      <c r="I488" s="73"/>
      <c r="J488" s="73"/>
      <c r="K488" s="73"/>
      <c r="L488" s="73"/>
      <c r="M488" s="73"/>
      <c r="N488" s="73"/>
      <c r="O488" s="75">
        <f>SUM(TABELA25[[#This Row],[T1]:[T7]])</f>
        <v>0</v>
      </c>
      <c r="P488" s="76">
        <f>TABELA25[[#This Row],[PREÇO]]*TABELA25[[#This Row],[QTDE]]</f>
        <v>0</v>
      </c>
    </row>
    <row r="489" spans="1:16" x14ac:dyDescent="0.2">
      <c r="A489" s="70" t="s">
        <v>2225</v>
      </c>
      <c r="B489" s="71" t="s">
        <v>2223</v>
      </c>
      <c r="C489" s="72" t="s">
        <v>2224</v>
      </c>
      <c r="D489" s="73" t="s">
        <v>819</v>
      </c>
      <c r="E489" s="72" t="s">
        <v>73</v>
      </c>
      <c r="F489" s="74">
        <v>47.6</v>
      </c>
      <c r="G489" s="73" t="s">
        <v>826</v>
      </c>
      <c r="H489" s="73"/>
      <c r="I489" s="73"/>
      <c r="J489" s="73"/>
      <c r="K489" s="73"/>
      <c r="L489" s="73"/>
      <c r="M489" s="73"/>
      <c r="N489" s="73"/>
      <c r="O489" s="75">
        <f>SUM(TABELA25[[#This Row],[T1]:[T7]])</f>
        <v>0</v>
      </c>
      <c r="P489" s="76">
        <f>TABELA25[[#This Row],[PREÇO]]*TABELA25[[#This Row],[QTDE]]</f>
        <v>0</v>
      </c>
    </row>
    <row r="490" spans="1:16" x14ac:dyDescent="0.2">
      <c r="A490" s="70" t="s">
        <v>2226</v>
      </c>
      <c r="B490" s="71" t="s">
        <v>2227</v>
      </c>
      <c r="C490" s="72" t="s">
        <v>2228</v>
      </c>
      <c r="D490" s="73" t="s">
        <v>32</v>
      </c>
      <c r="E490" s="72" t="s">
        <v>33</v>
      </c>
      <c r="F490" s="74">
        <v>159.6</v>
      </c>
      <c r="G490" s="73" t="s">
        <v>826</v>
      </c>
      <c r="H490" s="73"/>
      <c r="I490" s="73"/>
      <c r="J490" s="73"/>
      <c r="K490" s="73"/>
      <c r="L490" s="73"/>
      <c r="M490" s="73"/>
      <c r="N490" s="73"/>
      <c r="O490" s="75">
        <f>SUM(TABELA25[[#This Row],[T1]:[T7]])</f>
        <v>0</v>
      </c>
      <c r="P490" s="76">
        <f>TABELA25[[#This Row],[PREÇO]]*TABELA25[[#This Row],[QTDE]]</f>
        <v>0</v>
      </c>
    </row>
    <row r="491" spans="1:16" x14ac:dyDescent="0.2">
      <c r="A491" s="70" t="s">
        <v>2229</v>
      </c>
      <c r="B491" s="71" t="s">
        <v>2227</v>
      </c>
      <c r="C491" s="72" t="s">
        <v>2228</v>
      </c>
      <c r="D491" s="73" t="s">
        <v>1317</v>
      </c>
      <c r="E491" s="72" t="s">
        <v>1571</v>
      </c>
      <c r="F491" s="74">
        <v>159.6</v>
      </c>
      <c r="G491" s="73" t="s">
        <v>826</v>
      </c>
      <c r="H491" s="73"/>
      <c r="I491" s="73"/>
      <c r="J491" s="73"/>
      <c r="K491" s="73"/>
      <c r="L491" s="73"/>
      <c r="M491" s="73"/>
      <c r="N491" s="73"/>
      <c r="O491" s="75">
        <f>SUM(TABELA25[[#This Row],[T1]:[T7]])</f>
        <v>0</v>
      </c>
      <c r="P491" s="76">
        <f>TABELA25[[#This Row],[PREÇO]]*TABELA25[[#This Row],[QTDE]]</f>
        <v>0</v>
      </c>
    </row>
    <row r="492" spans="1:16" x14ac:dyDescent="0.2">
      <c r="A492" s="70" t="s">
        <v>2230</v>
      </c>
      <c r="B492" s="71" t="s">
        <v>2231</v>
      </c>
      <c r="C492" s="72" t="s">
        <v>1314</v>
      </c>
      <c r="D492" s="73" t="s">
        <v>830</v>
      </c>
      <c r="E492" s="72" t="s">
        <v>2316</v>
      </c>
      <c r="F492" s="74">
        <v>95.6</v>
      </c>
      <c r="G492" s="73" t="s">
        <v>826</v>
      </c>
      <c r="H492" s="73"/>
      <c r="I492" s="73"/>
      <c r="J492" s="73"/>
      <c r="K492" s="73"/>
      <c r="L492" s="73"/>
      <c r="M492" s="73"/>
      <c r="N492" s="73"/>
      <c r="O492" s="75">
        <f>SUM(TABELA25[[#This Row],[T1]:[T7]])</f>
        <v>0</v>
      </c>
      <c r="P492" s="76">
        <f>TABELA25[[#This Row],[PREÇO]]*TABELA25[[#This Row],[QTDE]]</f>
        <v>0</v>
      </c>
    </row>
    <row r="493" spans="1:16" x14ac:dyDescent="0.2">
      <c r="A493" s="70" t="s">
        <v>2232</v>
      </c>
      <c r="B493" s="71" t="s">
        <v>2231</v>
      </c>
      <c r="C493" s="72" t="s">
        <v>1314</v>
      </c>
      <c r="D493" s="73" t="s">
        <v>929</v>
      </c>
      <c r="E493" s="72" t="s">
        <v>931</v>
      </c>
      <c r="F493" s="74">
        <v>95.6</v>
      </c>
      <c r="G493" s="73" t="s">
        <v>826</v>
      </c>
      <c r="H493" s="73"/>
      <c r="I493" s="73"/>
      <c r="J493" s="73"/>
      <c r="K493" s="73"/>
      <c r="L493" s="73"/>
      <c r="M493" s="73"/>
      <c r="N493" s="73"/>
      <c r="O493" s="75">
        <f>SUM(TABELA25[[#This Row],[T1]:[T7]])</f>
        <v>0</v>
      </c>
      <c r="P493" s="76">
        <f>TABELA25[[#This Row],[PREÇO]]*TABELA25[[#This Row],[QTDE]]</f>
        <v>0</v>
      </c>
    </row>
    <row r="494" spans="1:16" x14ac:dyDescent="0.2">
      <c r="A494" s="70" t="s">
        <v>2233</v>
      </c>
      <c r="B494" s="71" t="s">
        <v>2234</v>
      </c>
      <c r="C494" s="72" t="s">
        <v>1311</v>
      </c>
      <c r="D494" s="73" t="s">
        <v>32</v>
      </c>
      <c r="E494" s="72" t="s">
        <v>33</v>
      </c>
      <c r="F494" s="74">
        <v>147.6</v>
      </c>
      <c r="G494" s="73" t="s">
        <v>826</v>
      </c>
      <c r="H494" s="73"/>
      <c r="I494" s="73"/>
      <c r="J494" s="73"/>
      <c r="K494" s="73"/>
      <c r="L494" s="73"/>
      <c r="M494" s="73"/>
      <c r="N494" s="73"/>
      <c r="O494" s="75">
        <f>SUM(TABELA25[[#This Row],[T1]:[T7]])</f>
        <v>0</v>
      </c>
      <c r="P494" s="76">
        <f>TABELA25[[#This Row],[PREÇO]]*TABELA25[[#This Row],[QTDE]]</f>
        <v>0</v>
      </c>
    </row>
    <row r="495" spans="1:16" x14ac:dyDescent="0.2">
      <c r="A495" s="70" t="s">
        <v>2235</v>
      </c>
      <c r="B495" s="71" t="s">
        <v>2234</v>
      </c>
      <c r="C495" s="72" t="s">
        <v>1311</v>
      </c>
      <c r="D495" s="73" t="s">
        <v>2236</v>
      </c>
      <c r="E495" s="72" t="s">
        <v>2237</v>
      </c>
      <c r="F495" s="74">
        <v>147.6</v>
      </c>
      <c r="G495" s="73" t="s">
        <v>826</v>
      </c>
      <c r="H495" s="73"/>
      <c r="I495" s="73"/>
      <c r="J495" s="73"/>
      <c r="K495" s="73"/>
      <c r="L495" s="73"/>
      <c r="M495" s="73"/>
      <c r="N495" s="73"/>
      <c r="O495" s="75">
        <f>SUM(TABELA25[[#This Row],[T1]:[T7]])</f>
        <v>0</v>
      </c>
      <c r="P495" s="76">
        <f>TABELA25[[#This Row],[PREÇO]]*TABELA25[[#This Row],[QTDE]]</f>
        <v>0</v>
      </c>
    </row>
    <row r="496" spans="1:16" x14ac:dyDescent="0.2">
      <c r="A496" s="70" t="s">
        <v>2238</v>
      </c>
      <c r="B496" s="71" t="s">
        <v>2239</v>
      </c>
      <c r="C496" s="72" t="s">
        <v>1306</v>
      </c>
      <c r="D496" s="73" t="s">
        <v>32</v>
      </c>
      <c r="E496" s="72" t="s">
        <v>33</v>
      </c>
      <c r="F496" s="74">
        <v>131.6</v>
      </c>
      <c r="G496" s="73" t="s">
        <v>826</v>
      </c>
      <c r="H496" s="73"/>
      <c r="I496" s="73"/>
      <c r="J496" s="73"/>
      <c r="K496" s="73"/>
      <c r="L496" s="73"/>
      <c r="M496" s="73"/>
      <c r="N496" s="73"/>
      <c r="O496" s="75">
        <f>SUM(TABELA25[[#This Row],[T1]:[T7]])</f>
        <v>0</v>
      </c>
      <c r="P496" s="76">
        <f>TABELA25[[#This Row],[PREÇO]]*TABELA25[[#This Row],[QTDE]]</f>
        <v>0</v>
      </c>
    </row>
    <row r="497" spans="1:16" x14ac:dyDescent="0.2">
      <c r="A497" s="70" t="s">
        <v>2240</v>
      </c>
      <c r="B497" s="71" t="s">
        <v>2239</v>
      </c>
      <c r="C497" s="72" t="s">
        <v>1306</v>
      </c>
      <c r="D497" s="73" t="s">
        <v>2236</v>
      </c>
      <c r="E497" s="72" t="s">
        <v>2237</v>
      </c>
      <c r="F497" s="74">
        <v>131.6</v>
      </c>
      <c r="G497" s="73" t="s">
        <v>826</v>
      </c>
      <c r="H497" s="73"/>
      <c r="I497" s="73"/>
      <c r="J497" s="73"/>
      <c r="K497" s="73"/>
      <c r="L497" s="73"/>
      <c r="M497" s="73"/>
      <c r="N497" s="73"/>
      <c r="O497" s="75">
        <f>SUM(TABELA25[[#This Row],[T1]:[T7]])</f>
        <v>0</v>
      </c>
      <c r="P497" s="76">
        <f>TABELA25[[#This Row],[PREÇO]]*TABELA25[[#This Row],[QTDE]]</f>
        <v>0</v>
      </c>
    </row>
    <row r="498" spans="1:16" x14ac:dyDescent="0.2">
      <c r="A498" s="70" t="s">
        <v>2241</v>
      </c>
      <c r="B498" s="71" t="s">
        <v>2242</v>
      </c>
      <c r="C498" s="72" t="s">
        <v>2315</v>
      </c>
      <c r="D498" s="73" t="s">
        <v>929</v>
      </c>
      <c r="E498" s="72" t="s">
        <v>931</v>
      </c>
      <c r="F498" s="74">
        <v>119.6</v>
      </c>
      <c r="G498" s="73" t="s">
        <v>826</v>
      </c>
      <c r="H498" s="73"/>
      <c r="I498" s="73"/>
      <c r="J498" s="73"/>
      <c r="K498" s="73"/>
      <c r="L498" s="73"/>
      <c r="M498" s="73"/>
      <c r="N498" s="73"/>
      <c r="O498" s="75">
        <f>SUM(TABELA25[[#This Row],[T1]:[T7]])</f>
        <v>0</v>
      </c>
      <c r="P498" s="76">
        <f>TABELA25[[#This Row],[PREÇO]]*TABELA25[[#This Row],[QTDE]]</f>
        <v>0</v>
      </c>
    </row>
    <row r="499" spans="1:16" x14ac:dyDescent="0.2">
      <c r="A499" s="70" t="s">
        <v>2243</v>
      </c>
      <c r="B499" s="71" t="s">
        <v>2244</v>
      </c>
      <c r="C499" s="72" t="s">
        <v>2245</v>
      </c>
      <c r="D499" s="73" t="s">
        <v>32</v>
      </c>
      <c r="E499" s="72" t="s">
        <v>33</v>
      </c>
      <c r="F499" s="74">
        <v>95.6</v>
      </c>
      <c r="G499" s="73" t="s">
        <v>826</v>
      </c>
      <c r="H499" s="73"/>
      <c r="I499" s="73"/>
      <c r="J499" s="73"/>
      <c r="K499" s="73"/>
      <c r="L499" s="73"/>
      <c r="M499" s="73"/>
      <c r="N499" s="73"/>
      <c r="O499" s="75">
        <f>SUM(TABELA25[[#This Row],[T1]:[T7]])</f>
        <v>0</v>
      </c>
      <c r="P499" s="76">
        <f>TABELA25[[#This Row],[PREÇO]]*TABELA25[[#This Row],[QTDE]]</f>
        <v>0</v>
      </c>
    </row>
    <row r="500" spans="1:16" x14ac:dyDescent="0.2">
      <c r="A500" s="70" t="s">
        <v>2246</v>
      </c>
      <c r="B500" s="71" t="s">
        <v>2244</v>
      </c>
      <c r="C500" s="72" t="s">
        <v>2245</v>
      </c>
      <c r="D500" s="73" t="s">
        <v>830</v>
      </c>
      <c r="E500" s="72" t="s">
        <v>2316</v>
      </c>
      <c r="F500" s="74">
        <v>95.6</v>
      </c>
      <c r="G500" s="73" t="s">
        <v>826</v>
      </c>
      <c r="H500" s="73"/>
      <c r="I500" s="73"/>
      <c r="J500" s="73"/>
      <c r="K500" s="73"/>
      <c r="L500" s="73"/>
      <c r="M500" s="73"/>
      <c r="N500" s="73"/>
      <c r="O500" s="75">
        <f>SUM(TABELA25[[#This Row],[T1]:[T7]])</f>
        <v>0</v>
      </c>
      <c r="P500" s="76">
        <f>TABELA25[[#This Row],[PREÇO]]*TABELA25[[#This Row],[QTDE]]</f>
        <v>0</v>
      </c>
    </row>
    <row r="501" spans="1:16" x14ac:dyDescent="0.2">
      <c r="A501" s="70" t="s">
        <v>2247</v>
      </c>
      <c r="B501" s="71" t="s">
        <v>2248</v>
      </c>
      <c r="C501" s="72" t="s">
        <v>2249</v>
      </c>
      <c r="D501" s="73" t="s">
        <v>32</v>
      </c>
      <c r="E501" s="72" t="s">
        <v>33</v>
      </c>
      <c r="F501" s="74">
        <v>103.6</v>
      </c>
      <c r="G501" s="73" t="s">
        <v>826</v>
      </c>
      <c r="H501" s="73"/>
      <c r="I501" s="73"/>
      <c r="J501" s="73"/>
      <c r="K501" s="73"/>
      <c r="L501" s="73"/>
      <c r="M501" s="73"/>
      <c r="N501" s="73"/>
      <c r="O501" s="75">
        <f>SUM(TABELA25[[#This Row],[T1]:[T7]])</f>
        <v>0</v>
      </c>
      <c r="P501" s="76">
        <f>TABELA25[[#This Row],[PREÇO]]*TABELA25[[#This Row],[QTDE]]</f>
        <v>0</v>
      </c>
    </row>
    <row r="502" spans="1:16" x14ac:dyDescent="0.2">
      <c r="A502" s="70" t="s">
        <v>2250</v>
      </c>
      <c r="B502" s="71" t="s">
        <v>2251</v>
      </c>
      <c r="C502" s="72" t="s">
        <v>2252</v>
      </c>
      <c r="D502" s="73" t="s">
        <v>32</v>
      </c>
      <c r="E502" s="72" t="s">
        <v>33</v>
      </c>
      <c r="F502" s="74">
        <v>155.6</v>
      </c>
      <c r="G502" s="73" t="s">
        <v>826</v>
      </c>
      <c r="H502" s="73"/>
      <c r="I502" s="73"/>
      <c r="J502" s="73"/>
      <c r="K502" s="73"/>
      <c r="L502" s="73"/>
      <c r="M502" s="73"/>
      <c r="N502" s="73"/>
      <c r="O502" s="75">
        <f>SUM(TABELA25[[#This Row],[T1]:[T7]])</f>
        <v>0</v>
      </c>
      <c r="P502" s="76">
        <f>TABELA25[[#This Row],[PREÇO]]*TABELA25[[#This Row],[QTDE]]</f>
        <v>0</v>
      </c>
    </row>
    <row r="503" spans="1:16" x14ac:dyDescent="0.2">
      <c r="A503" s="70" t="s">
        <v>2255</v>
      </c>
      <c r="B503" s="71" t="s">
        <v>2253</v>
      </c>
      <c r="C503" s="72" t="s">
        <v>2254</v>
      </c>
      <c r="D503" s="73" t="s">
        <v>32</v>
      </c>
      <c r="E503" s="72" t="s">
        <v>33</v>
      </c>
      <c r="F503" s="74">
        <v>219.6</v>
      </c>
      <c r="G503" s="73" t="s">
        <v>829</v>
      </c>
      <c r="H503" s="73"/>
      <c r="I503" s="73"/>
      <c r="J503" s="73"/>
      <c r="K503" s="73"/>
      <c r="L503" s="73"/>
      <c r="M503" s="73"/>
      <c r="N503" s="73"/>
      <c r="O503" s="75">
        <f>SUM(TABELA25[[#This Row],[T1]:[T7]])</f>
        <v>0</v>
      </c>
      <c r="P503" s="76">
        <f>TABELA25[[#This Row],[PREÇO]]*TABELA25[[#This Row],[QTDE]]</f>
        <v>0</v>
      </c>
    </row>
    <row r="504" spans="1:16" x14ac:dyDescent="0.2">
      <c r="A504" s="70" t="s">
        <v>2258</v>
      </c>
      <c r="B504" s="71" t="s">
        <v>2256</v>
      </c>
      <c r="C504" s="72" t="s">
        <v>2257</v>
      </c>
      <c r="D504" s="73" t="s">
        <v>32</v>
      </c>
      <c r="E504" s="72" t="s">
        <v>33</v>
      </c>
      <c r="F504" s="74">
        <v>143.6</v>
      </c>
      <c r="G504" s="73" t="s">
        <v>829</v>
      </c>
      <c r="H504" s="73"/>
      <c r="I504" s="73"/>
      <c r="J504" s="73"/>
      <c r="K504" s="73"/>
      <c r="L504" s="73"/>
      <c r="M504" s="73"/>
      <c r="N504" s="73"/>
      <c r="O504" s="75">
        <f>SUM(TABELA25[[#This Row],[T1]:[T7]])</f>
        <v>0</v>
      </c>
      <c r="P504" s="76">
        <f>TABELA25[[#This Row],[PREÇO]]*TABELA25[[#This Row],[QTDE]]</f>
        <v>0</v>
      </c>
    </row>
    <row r="505" spans="1:16" x14ac:dyDescent="0.2">
      <c r="A505" s="70" t="s">
        <v>2261</v>
      </c>
      <c r="B505" s="71" t="s">
        <v>2259</v>
      </c>
      <c r="C505" s="72" t="s">
        <v>2260</v>
      </c>
      <c r="D505" s="73" t="s">
        <v>32</v>
      </c>
      <c r="E505" s="72" t="s">
        <v>33</v>
      </c>
      <c r="F505" s="74">
        <v>195.6</v>
      </c>
      <c r="G505" s="73" t="s">
        <v>829</v>
      </c>
      <c r="H505" s="73"/>
      <c r="I505" s="73"/>
      <c r="J505" s="73"/>
      <c r="K505" s="73"/>
      <c r="L505" s="73"/>
      <c r="M505" s="73"/>
      <c r="N505" s="73"/>
      <c r="O505" s="75">
        <f>SUM(TABELA25[[#This Row],[T1]:[T7]])</f>
        <v>0</v>
      </c>
      <c r="P505" s="76">
        <f>TABELA25[[#This Row],[PREÇO]]*TABELA25[[#This Row],[QTDE]]</f>
        <v>0</v>
      </c>
    </row>
    <row r="506" spans="1:16" x14ac:dyDescent="0.2">
      <c r="A506" s="70" t="s">
        <v>2262</v>
      </c>
      <c r="B506" s="71" t="s">
        <v>2259</v>
      </c>
      <c r="C506" s="72" t="s">
        <v>2260</v>
      </c>
      <c r="D506" s="73" t="s">
        <v>929</v>
      </c>
      <c r="E506" s="72" t="s">
        <v>931</v>
      </c>
      <c r="F506" s="74">
        <v>195.6</v>
      </c>
      <c r="G506" s="73" t="s">
        <v>829</v>
      </c>
      <c r="H506" s="73"/>
      <c r="I506" s="73"/>
      <c r="J506" s="73"/>
      <c r="K506" s="73"/>
      <c r="L506" s="73"/>
      <c r="M506" s="73"/>
      <c r="N506" s="73"/>
      <c r="O506" s="75">
        <f>SUM(TABELA25[[#This Row],[T1]:[T7]])</f>
        <v>0</v>
      </c>
      <c r="P506" s="76">
        <f>TABELA25[[#This Row],[PREÇO]]*TABELA25[[#This Row],[QTDE]]</f>
        <v>0</v>
      </c>
    </row>
    <row r="507" spans="1:16" x14ac:dyDescent="0.2">
      <c r="A507" s="70" t="s">
        <v>2265</v>
      </c>
      <c r="B507" s="71" t="s">
        <v>2263</v>
      </c>
      <c r="C507" s="72" t="s">
        <v>2264</v>
      </c>
      <c r="D507" s="73" t="s">
        <v>32</v>
      </c>
      <c r="E507" s="72" t="s">
        <v>33</v>
      </c>
      <c r="F507" s="74">
        <v>355.6</v>
      </c>
      <c r="G507" s="73" t="s">
        <v>829</v>
      </c>
      <c r="H507" s="73"/>
      <c r="I507" s="73"/>
      <c r="J507" s="73"/>
      <c r="K507" s="73"/>
      <c r="L507" s="73"/>
      <c r="M507" s="73"/>
      <c r="N507" s="73"/>
      <c r="O507" s="75">
        <f>SUM(TABELA25[[#This Row],[T1]:[T7]])</f>
        <v>0</v>
      </c>
      <c r="P507" s="76">
        <f>TABELA25[[#This Row],[PREÇO]]*TABELA25[[#This Row],[QTDE]]</f>
        <v>0</v>
      </c>
    </row>
    <row r="508" spans="1:16" x14ac:dyDescent="0.2">
      <c r="A508" s="70" t="s">
        <v>2266</v>
      </c>
      <c r="B508" s="71" t="s">
        <v>2267</v>
      </c>
      <c r="C508" s="72" t="s">
        <v>2268</v>
      </c>
      <c r="D508" s="73" t="s">
        <v>824</v>
      </c>
      <c r="E508" s="72" t="s">
        <v>825</v>
      </c>
      <c r="F508" s="74">
        <v>107.6</v>
      </c>
      <c r="G508" s="73" t="s">
        <v>17</v>
      </c>
      <c r="H508" s="73"/>
      <c r="I508" s="73"/>
      <c r="J508" s="73"/>
      <c r="K508" s="73"/>
      <c r="L508" s="73"/>
      <c r="M508" s="73"/>
      <c r="N508" s="73"/>
      <c r="O508" s="75">
        <f>SUM(TABELA25[[#This Row],[T1]:[T7]])</f>
        <v>0</v>
      </c>
      <c r="P508" s="76">
        <f>TABELA25[[#This Row],[PREÇO]]*TABELA25[[#This Row],[QTDE]]</f>
        <v>0</v>
      </c>
    </row>
    <row r="509" spans="1:16" x14ac:dyDescent="0.2">
      <c r="A509" s="70" t="s">
        <v>2269</v>
      </c>
      <c r="B509" s="77" t="s">
        <v>2267</v>
      </c>
      <c r="C509" s="72" t="s">
        <v>2268</v>
      </c>
      <c r="D509" s="73" t="s">
        <v>1354</v>
      </c>
      <c r="E509" s="72" t="s">
        <v>1355</v>
      </c>
      <c r="F509" s="74">
        <v>107.6</v>
      </c>
      <c r="G509" s="73" t="s">
        <v>17</v>
      </c>
      <c r="H509" s="73"/>
      <c r="I509" s="73"/>
      <c r="J509" s="73"/>
      <c r="K509" s="73"/>
      <c r="L509" s="73"/>
      <c r="M509" s="73"/>
      <c r="N509" s="73"/>
      <c r="O509" s="75">
        <f>SUM(TABELA25[[#This Row],[T1]:[T7]])</f>
        <v>0</v>
      </c>
      <c r="P509" s="76">
        <f>TABELA25[[#This Row],[PREÇO]]*TABELA25[[#This Row],[QTDE]]</f>
        <v>0</v>
      </c>
    </row>
    <row r="510" spans="1:16" x14ac:dyDescent="0.2">
      <c r="A510" s="70" t="s">
        <v>2272</v>
      </c>
      <c r="B510" s="71" t="s">
        <v>2270</v>
      </c>
      <c r="C510" s="72" t="s">
        <v>2271</v>
      </c>
      <c r="D510" s="73" t="s">
        <v>824</v>
      </c>
      <c r="E510" s="72" t="s">
        <v>825</v>
      </c>
      <c r="F510" s="74">
        <v>99.6</v>
      </c>
      <c r="G510" s="73" t="s">
        <v>17</v>
      </c>
      <c r="H510" s="73"/>
      <c r="I510" s="73"/>
      <c r="J510" s="73"/>
      <c r="K510" s="73"/>
      <c r="L510" s="73"/>
      <c r="M510" s="73"/>
      <c r="N510" s="73"/>
      <c r="O510" s="75">
        <f>SUM(TABELA25[[#This Row],[T1]:[T7]])</f>
        <v>0</v>
      </c>
      <c r="P510" s="76">
        <f>TABELA25[[#This Row],[PREÇO]]*TABELA25[[#This Row],[QTDE]]</f>
        <v>0</v>
      </c>
    </row>
    <row r="511" spans="1:16" x14ac:dyDescent="0.2">
      <c r="A511" s="70" t="s">
        <v>2273</v>
      </c>
      <c r="B511" s="77" t="s">
        <v>2274</v>
      </c>
      <c r="C511" s="72" t="s">
        <v>2275</v>
      </c>
      <c r="D511" s="73" t="s">
        <v>824</v>
      </c>
      <c r="E511" s="72" t="s">
        <v>825</v>
      </c>
      <c r="F511" s="74">
        <v>139.6</v>
      </c>
      <c r="G511" s="73" t="s">
        <v>17</v>
      </c>
      <c r="H511" s="73"/>
      <c r="I511" s="73"/>
      <c r="J511" s="73"/>
      <c r="K511" s="73"/>
      <c r="L511" s="73"/>
      <c r="M511" s="73"/>
      <c r="N511" s="73"/>
      <c r="O511" s="75">
        <f>SUM(TABELA25[[#This Row],[T1]:[T7]])</f>
        <v>0</v>
      </c>
      <c r="P511" s="76">
        <f>TABELA25[[#This Row],[PREÇO]]*TABELA25[[#This Row],[QTDE]]</f>
        <v>0</v>
      </c>
    </row>
    <row r="512" spans="1:16" x14ac:dyDescent="0.2">
      <c r="A512" s="70" t="s">
        <v>2276</v>
      </c>
      <c r="B512" s="77" t="s">
        <v>2277</v>
      </c>
      <c r="C512" s="72" t="s">
        <v>2278</v>
      </c>
      <c r="D512" s="73" t="s">
        <v>1522</v>
      </c>
      <c r="E512" s="72" t="s">
        <v>1524</v>
      </c>
      <c r="F512" s="74">
        <v>175.6</v>
      </c>
      <c r="G512" s="73" t="s">
        <v>826</v>
      </c>
      <c r="H512" s="73"/>
      <c r="I512" s="73"/>
      <c r="J512" s="73"/>
      <c r="K512" s="73"/>
      <c r="L512" s="73"/>
      <c r="M512" s="73"/>
      <c r="N512" s="73"/>
      <c r="O512" s="75">
        <f>SUM(TABELA25[[#This Row],[T1]:[T7]])</f>
        <v>0</v>
      </c>
      <c r="P512" s="76">
        <f>TABELA25[[#This Row],[PREÇO]]*TABELA25[[#This Row],[QTDE]]</f>
        <v>0</v>
      </c>
    </row>
    <row r="513" spans="1:16" x14ac:dyDescent="0.2">
      <c r="A513" s="70" t="s">
        <v>2279</v>
      </c>
      <c r="B513" s="77" t="s">
        <v>2280</v>
      </c>
      <c r="C513" s="72" t="s">
        <v>2281</v>
      </c>
      <c r="D513" s="73" t="s">
        <v>32</v>
      </c>
      <c r="E513" s="72" t="s">
        <v>33</v>
      </c>
      <c r="F513" s="74">
        <v>187.6</v>
      </c>
      <c r="G513" s="73" t="s">
        <v>826</v>
      </c>
      <c r="H513" s="73"/>
      <c r="I513" s="73"/>
      <c r="J513" s="73"/>
      <c r="K513" s="73"/>
      <c r="L513" s="73"/>
      <c r="M513" s="73"/>
      <c r="N513" s="73"/>
      <c r="O513" s="75">
        <f>SUM(TABELA25[[#This Row],[T1]:[T7]])</f>
        <v>0</v>
      </c>
      <c r="P513" s="76">
        <f>TABELA25[[#This Row],[PREÇO]]*TABELA25[[#This Row],[QTDE]]</f>
        <v>0</v>
      </c>
    </row>
    <row r="514" spans="1:16" x14ac:dyDescent="0.2">
      <c r="A514" s="70" t="s">
        <v>2284</v>
      </c>
      <c r="B514" s="77" t="s">
        <v>2282</v>
      </c>
      <c r="C514" s="72" t="s">
        <v>2283</v>
      </c>
      <c r="D514" s="73" t="s">
        <v>830</v>
      </c>
      <c r="E514" s="72" t="s">
        <v>43</v>
      </c>
      <c r="F514" s="74">
        <v>79.599999999999994</v>
      </c>
      <c r="G514" s="73" t="s">
        <v>17</v>
      </c>
      <c r="H514" s="73"/>
      <c r="I514" s="73"/>
      <c r="J514" s="73"/>
      <c r="K514" s="73"/>
      <c r="L514" s="73"/>
      <c r="M514" s="73"/>
      <c r="N514" s="73"/>
      <c r="O514" s="75">
        <f>SUM(TABELA25[[#This Row],[T1]:[T7]])</f>
        <v>0</v>
      </c>
      <c r="P514" s="76">
        <f>TABELA25[[#This Row],[PREÇO]]*TABELA25[[#This Row],[QTDE]]</f>
        <v>0</v>
      </c>
    </row>
    <row r="515" spans="1:16" x14ac:dyDescent="0.2">
      <c r="A515" s="70" t="s">
        <v>2287</v>
      </c>
      <c r="B515" s="77" t="s">
        <v>2285</v>
      </c>
      <c r="C515" s="72" t="s">
        <v>2286</v>
      </c>
      <c r="D515" s="73" t="s">
        <v>830</v>
      </c>
      <c r="E515" s="72" t="s">
        <v>43</v>
      </c>
      <c r="F515" s="74">
        <v>67.599999999999994</v>
      </c>
      <c r="G515" s="73" t="s">
        <v>17</v>
      </c>
      <c r="H515" s="73"/>
      <c r="I515" s="73"/>
      <c r="J515" s="73"/>
      <c r="K515" s="73"/>
      <c r="L515" s="73"/>
      <c r="M515" s="73"/>
      <c r="N515" s="73"/>
      <c r="O515" s="75">
        <f>SUM(TABELA25[[#This Row],[T1]:[T7]])</f>
        <v>0</v>
      </c>
      <c r="P515" s="76">
        <f>TABELA25[[#This Row],[PREÇO]]*TABELA25[[#This Row],[QTDE]]</f>
        <v>0</v>
      </c>
    </row>
    <row r="516" spans="1:16" x14ac:dyDescent="0.2">
      <c r="A516" s="70" t="s">
        <v>2288</v>
      </c>
      <c r="B516" s="77" t="s">
        <v>2289</v>
      </c>
      <c r="C516" s="72" t="s">
        <v>2290</v>
      </c>
      <c r="D516" s="73" t="s">
        <v>824</v>
      </c>
      <c r="E516" s="72" t="s">
        <v>825</v>
      </c>
      <c r="F516" s="74">
        <v>47.6</v>
      </c>
      <c r="G516" s="73" t="s">
        <v>17</v>
      </c>
      <c r="H516" s="73"/>
      <c r="I516" s="73"/>
      <c r="J516" s="73"/>
      <c r="K516" s="73"/>
      <c r="L516" s="73"/>
      <c r="M516" s="73"/>
      <c r="N516" s="73"/>
      <c r="O516" s="75">
        <f>SUM(TABELA25[[#This Row],[T1]:[T7]])</f>
        <v>0</v>
      </c>
      <c r="P516" s="76">
        <f>TABELA25[[#This Row],[PREÇO]]*TABELA25[[#This Row],[QTDE]]</f>
        <v>0</v>
      </c>
    </row>
    <row r="517" spans="1:16" x14ac:dyDescent="0.2">
      <c r="A517" s="70" t="s">
        <v>2293</v>
      </c>
      <c r="B517" s="77" t="s">
        <v>2291</v>
      </c>
      <c r="C517" s="72" t="s">
        <v>2292</v>
      </c>
      <c r="D517" s="73" t="s">
        <v>824</v>
      </c>
      <c r="E517" s="72" t="s">
        <v>825</v>
      </c>
      <c r="F517" s="74">
        <v>67.599999999999994</v>
      </c>
      <c r="G517" s="73" t="s">
        <v>17</v>
      </c>
      <c r="H517" s="73"/>
      <c r="I517" s="73"/>
      <c r="J517" s="73"/>
      <c r="K517" s="73"/>
      <c r="L517" s="73"/>
      <c r="M517" s="73"/>
      <c r="N517" s="73"/>
      <c r="O517" s="75">
        <f>SUM(TABELA25[[#This Row],[T1]:[T7]])</f>
        <v>0</v>
      </c>
      <c r="P517" s="76">
        <f>TABELA25[[#This Row],[PREÇO]]*TABELA25[[#This Row],[QTDE]]</f>
        <v>0</v>
      </c>
    </row>
    <row r="518" spans="1:16" x14ac:dyDescent="0.2">
      <c r="A518" s="70" t="s">
        <v>2294</v>
      </c>
      <c r="B518" s="77" t="s">
        <v>2295</v>
      </c>
      <c r="C518" s="72" t="s">
        <v>2296</v>
      </c>
      <c r="D518" s="73" t="s">
        <v>824</v>
      </c>
      <c r="E518" s="72" t="s">
        <v>825</v>
      </c>
      <c r="F518" s="74">
        <v>71.599999999999994</v>
      </c>
      <c r="G518" s="73" t="s">
        <v>17</v>
      </c>
      <c r="H518" s="73"/>
      <c r="I518" s="73"/>
      <c r="J518" s="73"/>
      <c r="K518" s="73"/>
      <c r="L518" s="73"/>
      <c r="M518" s="73"/>
      <c r="N518" s="73"/>
      <c r="O518" s="75">
        <f>SUM(TABELA25[[#This Row],[T1]:[T7]])</f>
        <v>0</v>
      </c>
      <c r="P518" s="76">
        <f>TABELA25[[#This Row],[PREÇO]]*TABELA25[[#This Row],[QTDE]]</f>
        <v>0</v>
      </c>
    </row>
    <row r="519" spans="1:16" x14ac:dyDescent="0.2">
      <c r="A519" s="70" t="s">
        <v>2300</v>
      </c>
      <c r="B519" s="77" t="s">
        <v>2298</v>
      </c>
      <c r="C519" s="72" t="s">
        <v>2299</v>
      </c>
      <c r="D519" s="73" t="s">
        <v>2301</v>
      </c>
      <c r="E519" s="72" t="s">
        <v>1475</v>
      </c>
      <c r="F519" s="74">
        <v>43.6</v>
      </c>
      <c r="G519" s="73" t="s">
        <v>17</v>
      </c>
      <c r="H519" s="73"/>
      <c r="I519" s="73"/>
      <c r="J519" s="73"/>
      <c r="K519" s="73"/>
      <c r="L519" s="73"/>
      <c r="M519" s="73"/>
      <c r="N519" s="73"/>
      <c r="O519" s="75">
        <f>SUM(TABELA25[[#This Row],[T1]:[T7]])</f>
        <v>0</v>
      </c>
      <c r="P519" s="76">
        <f>TABELA25[[#This Row],[PREÇO]]*TABELA25[[#This Row],[QTDE]]</f>
        <v>0</v>
      </c>
    </row>
    <row r="520" spans="1:16" x14ac:dyDescent="0.2">
      <c r="A520" s="70" t="s">
        <v>2297</v>
      </c>
      <c r="B520" s="77" t="s">
        <v>2298</v>
      </c>
      <c r="C520" s="72" t="s">
        <v>2299</v>
      </c>
      <c r="D520" s="73" t="s">
        <v>830</v>
      </c>
      <c r="E520" s="72" t="s">
        <v>43</v>
      </c>
      <c r="F520" s="74">
        <v>43.6</v>
      </c>
      <c r="G520" s="73" t="s">
        <v>17</v>
      </c>
      <c r="H520" s="73"/>
      <c r="I520" s="73"/>
      <c r="J520" s="73"/>
      <c r="K520" s="73"/>
      <c r="L520" s="73"/>
      <c r="M520" s="73"/>
      <c r="N520" s="73"/>
      <c r="O520" s="75">
        <f>SUM(TABELA25[[#This Row],[T1]:[T7]])</f>
        <v>0</v>
      </c>
      <c r="P520" s="76">
        <f>TABELA25[[#This Row],[PREÇO]]*TABELA25[[#This Row],[QTDE]]</f>
        <v>0</v>
      </c>
    </row>
    <row r="521" spans="1:16" x14ac:dyDescent="0.2">
      <c r="A521" s="70" t="s">
        <v>2304</v>
      </c>
      <c r="B521" s="77" t="s">
        <v>2302</v>
      </c>
      <c r="C521" s="72" t="s">
        <v>2303</v>
      </c>
      <c r="D521" s="73" t="s">
        <v>1317</v>
      </c>
      <c r="E521" s="72" t="s">
        <v>1571</v>
      </c>
      <c r="F521" s="74">
        <v>279.60000000000002</v>
      </c>
      <c r="G521" s="73" t="s">
        <v>827</v>
      </c>
      <c r="H521" s="73"/>
      <c r="I521" s="73"/>
      <c r="J521" s="73"/>
      <c r="K521" s="73"/>
      <c r="L521" s="73"/>
      <c r="M521" s="73"/>
      <c r="N521" s="73"/>
      <c r="O521" s="75">
        <f>SUM(TABELA25[[#This Row],[T1]:[T7]])</f>
        <v>0</v>
      </c>
      <c r="P521" s="76">
        <f>TABELA25[[#This Row],[PREÇO]]*TABELA25[[#This Row],[QTDE]]</f>
        <v>0</v>
      </c>
    </row>
    <row r="522" spans="1:16" x14ac:dyDescent="0.2">
      <c r="A522" s="70" t="s">
        <v>2306</v>
      </c>
      <c r="B522" s="77" t="s">
        <v>2305</v>
      </c>
      <c r="C522" s="72" t="s">
        <v>1408</v>
      </c>
      <c r="D522" s="73" t="s">
        <v>32</v>
      </c>
      <c r="E522" s="72" t="s">
        <v>33</v>
      </c>
      <c r="F522" s="74">
        <v>183.6</v>
      </c>
      <c r="G522" s="73" t="s">
        <v>829</v>
      </c>
      <c r="H522" s="73"/>
      <c r="I522" s="73"/>
      <c r="J522" s="73"/>
      <c r="K522" s="73"/>
      <c r="L522" s="73"/>
      <c r="M522" s="73"/>
      <c r="N522" s="73"/>
      <c r="O522" s="75">
        <f>SUM(TABELA25[[#This Row],[T1]:[T7]])</f>
        <v>0</v>
      </c>
      <c r="P522" s="76">
        <f>TABELA25[[#This Row],[PREÇO]]*TABELA25[[#This Row],[QTDE]]</f>
        <v>0</v>
      </c>
    </row>
    <row r="523" spans="1:16" x14ac:dyDescent="0.2">
      <c r="A523" s="70" t="s">
        <v>2307</v>
      </c>
      <c r="B523" s="77" t="s">
        <v>2305</v>
      </c>
      <c r="C523" s="72" t="s">
        <v>1408</v>
      </c>
      <c r="D523" s="73" t="s">
        <v>1514</v>
      </c>
      <c r="E523" s="72" t="s">
        <v>1516</v>
      </c>
      <c r="F523" s="74">
        <v>183.6</v>
      </c>
      <c r="G523" s="73" t="s">
        <v>829</v>
      </c>
      <c r="H523" s="73"/>
      <c r="I523" s="73"/>
      <c r="J523" s="73"/>
      <c r="K523" s="73"/>
      <c r="L523" s="73"/>
      <c r="M523" s="73"/>
      <c r="N523" s="73"/>
      <c r="O523" s="75">
        <f>SUM(TABELA25[[#This Row],[T1]:[T7]])</f>
        <v>0</v>
      </c>
      <c r="P523" s="76">
        <f>TABELA25[[#This Row],[PREÇO]]*TABELA25[[#This Row],[QTDE]]</f>
        <v>0</v>
      </c>
    </row>
    <row r="524" spans="1:16" x14ac:dyDescent="0.2">
      <c r="A524" s="70" t="s">
        <v>1680</v>
      </c>
      <c r="B524" s="77" t="s">
        <v>1678</v>
      </c>
      <c r="C524" s="72" t="s">
        <v>1679</v>
      </c>
      <c r="D524" s="73" t="s">
        <v>1604</v>
      </c>
      <c r="E524" s="72" t="s">
        <v>1175</v>
      </c>
      <c r="F524" s="74">
        <v>179.6</v>
      </c>
      <c r="G524" s="73" t="s">
        <v>826</v>
      </c>
      <c r="H524" s="73"/>
      <c r="I524" s="73"/>
      <c r="J524" s="73"/>
      <c r="K524" s="73"/>
      <c r="L524" s="73"/>
      <c r="M524" s="73"/>
      <c r="N524" s="73"/>
      <c r="O524" s="75">
        <f>SUM(TABELA25[[#This Row],[T1]:[T7]])</f>
        <v>0</v>
      </c>
      <c r="P524" s="76">
        <f>TABELA25[[#This Row],[PREÇO]]*TABELA25[[#This Row],[QTDE]]</f>
        <v>0</v>
      </c>
    </row>
    <row r="525" spans="1:16" x14ac:dyDescent="0.2">
      <c r="A525" s="70" t="s">
        <v>1674</v>
      </c>
      <c r="B525" s="77" t="s">
        <v>1671</v>
      </c>
      <c r="C525" s="72" t="s">
        <v>1672</v>
      </c>
      <c r="D525" s="73" t="s">
        <v>1184</v>
      </c>
      <c r="E525" s="72" t="s">
        <v>1469</v>
      </c>
      <c r="F525" s="74">
        <v>155.6</v>
      </c>
      <c r="G525" s="73" t="s">
        <v>826</v>
      </c>
      <c r="H525" s="73"/>
      <c r="I525" s="73"/>
      <c r="J525" s="73"/>
      <c r="K525" s="73"/>
      <c r="L525" s="73"/>
      <c r="M525" s="73"/>
      <c r="N525" s="73"/>
      <c r="O525" s="75">
        <f>SUM(TABELA25[[#This Row],[T1]:[T7]])</f>
        <v>0</v>
      </c>
      <c r="P525" s="76">
        <f>TABELA25[[#This Row],[PREÇO]]*TABELA25[[#This Row],[QTDE]]</f>
        <v>0</v>
      </c>
    </row>
    <row r="526" spans="1:16" x14ac:dyDescent="0.2">
      <c r="A526" s="70" t="s">
        <v>1689</v>
      </c>
      <c r="B526" s="77" t="s">
        <v>1686</v>
      </c>
      <c r="C526" s="72" t="s">
        <v>1687</v>
      </c>
      <c r="D526" s="73" t="s">
        <v>821</v>
      </c>
      <c r="E526" s="72" t="s">
        <v>822</v>
      </c>
      <c r="F526" s="74">
        <v>131.6</v>
      </c>
      <c r="G526" s="73" t="s">
        <v>826</v>
      </c>
      <c r="H526" s="73"/>
      <c r="I526" s="73"/>
      <c r="J526" s="73"/>
      <c r="K526" s="73"/>
      <c r="L526" s="73"/>
      <c r="M526" s="73"/>
      <c r="N526" s="73"/>
      <c r="O526" s="75">
        <f>SUM(TABELA25[[#This Row],[T1]:[T7]])</f>
        <v>0</v>
      </c>
      <c r="P526" s="76">
        <f>TABELA25[[#This Row],[PREÇO]]*TABELA25[[#This Row],[QTDE]]</f>
        <v>0</v>
      </c>
    </row>
    <row r="527" spans="1:16" x14ac:dyDescent="0.2">
      <c r="A527" s="70" t="s">
        <v>1556</v>
      </c>
      <c r="B527" s="77" t="s">
        <v>1557</v>
      </c>
      <c r="C527" s="72" t="s">
        <v>1558</v>
      </c>
      <c r="D527" s="73" t="s">
        <v>32</v>
      </c>
      <c r="E527" s="72" t="s">
        <v>33</v>
      </c>
      <c r="F527" s="74">
        <v>199.6</v>
      </c>
      <c r="G527" s="73" t="s">
        <v>826</v>
      </c>
      <c r="H527" s="73"/>
      <c r="I527" s="73"/>
      <c r="J527" s="73"/>
      <c r="K527" s="73"/>
      <c r="L527" s="73"/>
      <c r="M527" s="73"/>
      <c r="N527" s="73"/>
      <c r="O527" s="75">
        <f>SUM(TABELA25[[#This Row],[T1]:[T7]])</f>
        <v>0</v>
      </c>
      <c r="P527" s="76">
        <f>TABELA25[[#This Row],[PREÇO]]*TABELA25[[#This Row],[QTDE]]</f>
        <v>0</v>
      </c>
    </row>
    <row r="528" spans="1:16" x14ac:dyDescent="0.2">
      <c r="A528" s="70" t="s">
        <v>1466</v>
      </c>
      <c r="B528" s="77" t="s">
        <v>1464</v>
      </c>
      <c r="C528" s="72" t="s">
        <v>1465</v>
      </c>
      <c r="D528" s="73" t="s">
        <v>1417</v>
      </c>
      <c r="E528" s="72" t="s">
        <v>1419</v>
      </c>
      <c r="F528" s="74">
        <v>199.6</v>
      </c>
      <c r="G528" s="73" t="s">
        <v>828</v>
      </c>
      <c r="H528" s="73"/>
      <c r="I528" s="73"/>
      <c r="J528" s="73"/>
      <c r="K528" s="73"/>
      <c r="L528" s="73"/>
      <c r="M528" s="73"/>
      <c r="N528" s="73"/>
      <c r="O528" s="75">
        <f>SUM(TABELA25[[#This Row],[T1]:[T7]])</f>
        <v>0</v>
      </c>
      <c r="P528" s="76">
        <f>TABELA25[[#This Row],[PREÇO]]*TABELA25[[#This Row],[QTDE]]</f>
        <v>0</v>
      </c>
    </row>
    <row r="529" spans="1:16" x14ac:dyDescent="0.2">
      <c r="A529" s="70"/>
      <c r="B529" s="78"/>
      <c r="C529" s="72"/>
      <c r="D529" s="73"/>
      <c r="E529" s="73"/>
      <c r="F529" s="74"/>
      <c r="G529" s="73"/>
      <c r="H529" s="75"/>
      <c r="I529" s="75"/>
      <c r="J529" s="75"/>
      <c r="K529" s="75"/>
      <c r="L529" s="75"/>
      <c r="M529" s="75"/>
      <c r="N529" s="75"/>
      <c r="O529" s="75">
        <f>SUM(TABELA25[[#This Row],[T1]:[T7]])</f>
        <v>0</v>
      </c>
      <c r="P529" s="76">
        <f>TABELA25[[#This Row],[PREÇO]]*TABELA25[[#This Row],[QTDE]]</f>
        <v>0</v>
      </c>
    </row>
    <row r="530" spans="1:16" x14ac:dyDescent="0.2">
      <c r="A530" s="70"/>
      <c r="B530" s="78"/>
      <c r="C530" s="72"/>
      <c r="D530" s="73"/>
      <c r="E530" s="73"/>
      <c r="F530" s="74"/>
      <c r="G530" s="73"/>
      <c r="H530" s="75"/>
      <c r="I530" s="75"/>
      <c r="J530" s="75"/>
      <c r="K530" s="75"/>
      <c r="L530" s="75"/>
      <c r="M530" s="75"/>
      <c r="N530" s="75"/>
      <c r="O530" s="75">
        <f>SUM(TABELA25[[#This Row],[T1]:[T7]])</f>
        <v>0</v>
      </c>
      <c r="P530" s="76">
        <f>TABELA25[[#This Row],[PREÇO]]*TABELA25[[#This Row],[QTDE]]</f>
        <v>0</v>
      </c>
    </row>
    <row r="531" spans="1:16" x14ac:dyDescent="0.2">
      <c r="A531" s="70"/>
      <c r="B531" s="78"/>
      <c r="C531" s="72"/>
      <c r="D531" s="73"/>
      <c r="E531" s="73"/>
      <c r="F531" s="74"/>
      <c r="G531" s="73"/>
      <c r="H531" s="75"/>
      <c r="I531" s="75"/>
      <c r="J531" s="75"/>
      <c r="K531" s="75"/>
      <c r="L531" s="75"/>
      <c r="M531" s="75"/>
      <c r="N531" s="75"/>
      <c r="O531" s="75">
        <f>SUM(TABELA25[[#This Row],[T1]:[T7]])</f>
        <v>0</v>
      </c>
      <c r="P531" s="76">
        <f>TABELA25[[#This Row],[PREÇO]]*TABELA25[[#This Row],[QTDE]]</f>
        <v>0</v>
      </c>
    </row>
    <row r="532" spans="1:16" x14ac:dyDescent="0.2">
      <c r="A532" s="70"/>
      <c r="B532" s="78"/>
      <c r="C532" s="72"/>
      <c r="D532" s="73"/>
      <c r="E532" s="73"/>
      <c r="F532" s="74"/>
      <c r="G532" s="73"/>
      <c r="H532" s="75"/>
      <c r="I532" s="75"/>
      <c r="J532" s="75"/>
      <c r="K532" s="75"/>
      <c r="L532" s="75"/>
      <c r="M532" s="75"/>
      <c r="N532" s="75"/>
      <c r="O532" s="75">
        <f>SUM(TABELA25[[#This Row],[T1]:[T7]])</f>
        <v>0</v>
      </c>
      <c r="P532" s="76">
        <f>TABELA25[[#This Row],[PREÇO]]*TABELA25[[#This Row],[QTDE]]</f>
        <v>0</v>
      </c>
    </row>
    <row r="533" spans="1:16" x14ac:dyDescent="0.2">
      <c r="A533" s="70"/>
      <c r="B533" s="78"/>
      <c r="C533" s="72"/>
      <c r="D533" s="73"/>
      <c r="E533" s="73"/>
      <c r="F533" s="74"/>
      <c r="G533" s="73"/>
      <c r="H533" s="75"/>
      <c r="I533" s="75"/>
      <c r="J533" s="75"/>
      <c r="K533" s="75"/>
      <c r="L533" s="75"/>
      <c r="M533" s="75"/>
      <c r="N533" s="75"/>
      <c r="O533" s="75">
        <f>SUM(TABELA25[[#This Row],[T1]:[T7]])</f>
        <v>0</v>
      </c>
      <c r="P533" s="76">
        <f>TABELA25[[#This Row],[PREÇO]]*TABELA25[[#This Row],[QTDE]]</f>
        <v>0</v>
      </c>
    </row>
    <row r="534" spans="1:16" x14ac:dyDescent="0.2">
      <c r="B534" s="79" t="s">
        <v>842</v>
      </c>
      <c r="C534" s="75"/>
      <c r="D534" s="80"/>
      <c r="E534" s="75"/>
      <c r="F534" s="81"/>
      <c r="G534" s="80"/>
      <c r="H534" s="75"/>
      <c r="I534" s="75"/>
      <c r="J534" s="75"/>
      <c r="K534" s="75"/>
      <c r="L534" s="75"/>
      <c r="M534" s="75"/>
      <c r="N534" s="75"/>
      <c r="O534" s="75">
        <f>SUBTOTAL(109,TABELA25[QTDE])</f>
        <v>0</v>
      </c>
      <c r="P534" s="82">
        <f>SUBTOTAL(109,TABELA25[VALOR])</f>
        <v>0</v>
      </c>
    </row>
  </sheetData>
  <mergeCells count="11">
    <mergeCell ref="A10:A14"/>
    <mergeCell ref="O10:O14"/>
    <mergeCell ref="P10:P14"/>
    <mergeCell ref="B2:P2"/>
    <mergeCell ref="B10:B14"/>
    <mergeCell ref="C10:C14"/>
    <mergeCell ref="D10:D14"/>
    <mergeCell ref="E10:E14"/>
    <mergeCell ref="F10:F14"/>
    <mergeCell ref="G10:G14"/>
    <mergeCell ref="H14:N14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6"/>
  <dimension ref="A2:T347"/>
  <sheetViews>
    <sheetView showGridLines="0" topLeftCell="D1" workbookViewId="0">
      <selection activeCell="S1" sqref="S1"/>
    </sheetView>
  </sheetViews>
  <sheetFormatPr defaultColWidth="9.140625" defaultRowHeight="12.75" x14ac:dyDescent="0.2"/>
  <cols>
    <col min="1" max="1" width="5.5703125" style="1" customWidth="1"/>
    <col min="2" max="2" width="14.85546875" style="1" bestFit="1" customWidth="1"/>
    <col min="3" max="3" width="39.7109375" style="1" bestFit="1" customWidth="1"/>
    <col min="4" max="4" width="5.28515625" style="1" customWidth="1"/>
    <col min="5" max="5" width="32.5703125" style="1" bestFit="1" customWidth="1"/>
    <col min="6" max="6" width="14.42578125" style="2" bestFit="1" customWidth="1"/>
    <col min="7" max="7" width="13.28515625" style="4" bestFit="1" customWidth="1"/>
    <col min="8" max="14" width="4.7109375" style="1" customWidth="1"/>
    <col min="15" max="15" width="7.7109375" style="1" customWidth="1"/>
    <col min="16" max="16" width="14.85546875" style="2" customWidth="1"/>
    <col min="17" max="17" width="12.42578125" style="1" bestFit="1" customWidth="1"/>
    <col min="18" max="18" width="14.7109375" style="1" bestFit="1" customWidth="1"/>
    <col min="19" max="19" width="23.28515625" style="1" bestFit="1" customWidth="1"/>
    <col min="20" max="20" width="23.42578125" style="1" bestFit="1" customWidth="1"/>
    <col min="21" max="16384" width="9.140625" style="1"/>
  </cols>
  <sheetData>
    <row r="2" spans="1:20" ht="18.75" x14ac:dyDescent="0.3">
      <c r="B2" s="97" t="e">
        <f>CONCATENATE("PEDIDO MANUAL: ",#REF!)</f>
        <v>#REF!</v>
      </c>
      <c r="C2" s="97"/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</row>
    <row r="3" spans="1:20" x14ac:dyDescent="0.2">
      <c r="C3" s="7"/>
    </row>
    <row r="4" spans="1:20" x14ac:dyDescent="0.2">
      <c r="B4" s="3" t="s">
        <v>21</v>
      </c>
      <c r="C4" s="8"/>
      <c r="F4" s="9"/>
      <c r="G4" s="11"/>
    </row>
    <row r="5" spans="1:20" x14ac:dyDescent="0.2">
      <c r="B5" s="3" t="s">
        <v>22</v>
      </c>
      <c r="C5" s="8"/>
      <c r="D5" s="10" t="s">
        <v>27</v>
      </c>
      <c r="E5" s="8"/>
      <c r="F5" s="10" t="s">
        <v>30</v>
      </c>
      <c r="G5" s="36">
        <f>SUM(TABELA2567[VALOR])</f>
        <v>0</v>
      </c>
    </row>
    <row r="6" spans="1:20" ht="15" x14ac:dyDescent="0.25">
      <c r="B6" s="3" t="s">
        <v>23</v>
      </c>
      <c r="C6" s="8"/>
      <c r="D6" s="10" t="s">
        <v>25</v>
      </c>
      <c r="E6" s="8"/>
      <c r="F6" s="6" t="s">
        <v>28</v>
      </c>
      <c r="G6" s="12"/>
      <c r="M6"/>
    </row>
    <row r="7" spans="1:20" x14ac:dyDescent="0.2">
      <c r="B7" s="3" t="s">
        <v>24</v>
      </c>
      <c r="C7" s="8"/>
      <c r="D7" s="10" t="s">
        <v>26</v>
      </c>
      <c r="E7" s="8" t="s">
        <v>6</v>
      </c>
      <c r="F7" s="6" t="s">
        <v>29</v>
      </c>
      <c r="G7" s="12"/>
    </row>
    <row r="8" spans="1:20" x14ac:dyDescent="0.2">
      <c r="F8" s="9"/>
    </row>
    <row r="9" spans="1:20" x14ac:dyDescent="0.2">
      <c r="B9" s="14"/>
      <c r="C9" s="14"/>
      <c r="D9" s="14"/>
      <c r="E9" s="14"/>
      <c r="F9" s="15"/>
      <c r="G9" s="14"/>
      <c r="H9" s="16"/>
      <c r="N9" s="5"/>
      <c r="O9" s="15"/>
      <c r="P9" s="14"/>
    </row>
    <row r="10" spans="1:20" x14ac:dyDescent="0.2">
      <c r="B10" s="115" t="s">
        <v>0</v>
      </c>
      <c r="C10" s="115" t="s">
        <v>1</v>
      </c>
      <c r="D10" s="115" t="s">
        <v>2</v>
      </c>
      <c r="E10" s="117" t="s">
        <v>3</v>
      </c>
      <c r="F10" s="119" t="s">
        <v>4</v>
      </c>
      <c r="G10" s="117" t="s">
        <v>5</v>
      </c>
      <c r="H10" s="21" t="s">
        <v>17</v>
      </c>
      <c r="I10" s="22"/>
      <c r="J10" s="22"/>
      <c r="K10" s="22"/>
      <c r="L10" s="22"/>
      <c r="M10" s="22"/>
      <c r="N10" s="23"/>
      <c r="O10" s="115" t="s">
        <v>16</v>
      </c>
      <c r="P10" s="119" t="s">
        <v>15</v>
      </c>
      <c r="Q10" s="114" t="s">
        <v>805</v>
      </c>
      <c r="R10" s="114" t="s">
        <v>806</v>
      </c>
      <c r="S10" s="114" t="s">
        <v>807</v>
      </c>
      <c r="T10" s="114" t="s">
        <v>808</v>
      </c>
    </row>
    <row r="11" spans="1:20" x14ac:dyDescent="0.2">
      <c r="B11" s="116"/>
      <c r="C11" s="116"/>
      <c r="D11" s="116"/>
      <c r="E11" s="118"/>
      <c r="F11" s="120"/>
      <c r="G11" s="118"/>
      <c r="H11" s="24" t="s">
        <v>18</v>
      </c>
      <c r="I11" s="25" t="s">
        <v>19</v>
      </c>
      <c r="J11" s="25" t="s">
        <v>20</v>
      </c>
      <c r="K11" s="25"/>
      <c r="L11" s="25"/>
      <c r="M11" s="25"/>
      <c r="N11" s="26"/>
      <c r="O11" s="116"/>
      <c r="P11" s="120"/>
      <c r="Q11" s="114"/>
      <c r="R11" s="114"/>
      <c r="S11" s="114"/>
      <c r="T11" s="114"/>
    </row>
    <row r="12" spans="1:20" x14ac:dyDescent="0.2">
      <c r="B12" s="116"/>
      <c r="C12" s="116"/>
      <c r="D12" s="116"/>
      <c r="E12" s="118"/>
      <c r="F12" s="120"/>
      <c r="G12" s="118"/>
      <c r="H12" s="24">
        <v>34</v>
      </c>
      <c r="I12" s="25">
        <v>36</v>
      </c>
      <c r="J12" s="25">
        <v>38</v>
      </c>
      <c r="K12" s="25">
        <v>40</v>
      </c>
      <c r="L12" s="25">
        <v>42</v>
      </c>
      <c r="M12" s="25"/>
      <c r="N12" s="26"/>
      <c r="O12" s="116"/>
      <c r="P12" s="120"/>
      <c r="Q12" s="114"/>
      <c r="R12" s="114"/>
      <c r="S12" s="114"/>
      <c r="T12" s="114"/>
    </row>
    <row r="13" spans="1:20" x14ac:dyDescent="0.2">
      <c r="B13" s="116"/>
      <c r="C13" s="116"/>
      <c r="D13" s="116"/>
      <c r="E13" s="118"/>
      <c r="F13" s="120"/>
      <c r="G13" s="118"/>
      <c r="H13" s="27">
        <v>34</v>
      </c>
      <c r="I13" s="28">
        <v>35</v>
      </c>
      <c r="J13" s="28">
        <v>36</v>
      </c>
      <c r="K13" s="28">
        <v>37</v>
      </c>
      <c r="L13" s="28">
        <v>38</v>
      </c>
      <c r="M13" s="28">
        <v>39</v>
      </c>
      <c r="N13" s="29">
        <v>40</v>
      </c>
      <c r="O13" s="116"/>
      <c r="P13" s="120"/>
      <c r="Q13" s="114"/>
      <c r="R13" s="114"/>
      <c r="S13" s="114"/>
      <c r="T13" s="114"/>
    </row>
    <row r="14" spans="1:20" ht="12" customHeight="1" x14ac:dyDescent="0.2">
      <c r="B14" s="116"/>
      <c r="C14" s="116"/>
      <c r="D14" s="116"/>
      <c r="E14" s="118"/>
      <c r="F14" s="120"/>
      <c r="G14" s="118"/>
      <c r="H14" s="121" t="s">
        <v>7</v>
      </c>
      <c r="I14" s="122"/>
      <c r="J14" s="122"/>
      <c r="K14" s="122"/>
      <c r="L14" s="122"/>
      <c r="M14" s="122"/>
      <c r="N14" s="123"/>
      <c r="O14" s="116"/>
      <c r="P14" s="120"/>
      <c r="Q14" s="114"/>
      <c r="R14" s="114"/>
      <c r="S14" s="114"/>
      <c r="T14" s="114"/>
    </row>
    <row r="15" spans="1:20" s="13" customFormat="1" ht="12.95" hidden="1" customHeight="1" x14ac:dyDescent="0.2">
      <c r="B15" s="30" t="s">
        <v>0</v>
      </c>
      <c r="C15" s="30" t="s">
        <v>1</v>
      </c>
      <c r="D15" s="30" t="s">
        <v>2</v>
      </c>
      <c r="E15" s="31" t="s">
        <v>3</v>
      </c>
      <c r="F15" s="32" t="s">
        <v>4</v>
      </c>
      <c r="G15" s="31" t="s">
        <v>5</v>
      </c>
      <c r="H15" s="33" t="s">
        <v>8</v>
      </c>
      <c r="I15" s="31" t="s">
        <v>9</v>
      </c>
      <c r="J15" s="31" t="s">
        <v>10</v>
      </c>
      <c r="K15" s="31" t="s">
        <v>11</v>
      </c>
      <c r="L15" s="31" t="s">
        <v>12</v>
      </c>
      <c r="M15" s="31" t="s">
        <v>13</v>
      </c>
      <c r="N15" s="34" t="s">
        <v>14</v>
      </c>
      <c r="O15" s="31" t="s">
        <v>16</v>
      </c>
      <c r="P15" s="32" t="s">
        <v>15</v>
      </c>
      <c r="Q15" s="31" t="s">
        <v>809</v>
      </c>
      <c r="R15" s="31" t="s">
        <v>810</v>
      </c>
      <c r="S15" s="31" t="s">
        <v>811</v>
      </c>
      <c r="T15" s="31" t="s">
        <v>812</v>
      </c>
    </row>
    <row r="16" spans="1:20" x14ac:dyDescent="0.2">
      <c r="A16" s="1" t="str">
        <f>TRIM(TABELA2567[[#This Row],[PRODUTO]])&amp;TRIM(TABELA2567[[#This Row],[COR]])</f>
        <v>03.01.09540088</v>
      </c>
      <c r="B16" s="17" t="s">
        <v>79</v>
      </c>
      <c r="C16" s="18" t="s">
        <v>80</v>
      </c>
      <c r="D16" s="18" t="s">
        <v>81</v>
      </c>
      <c r="E16" s="18" t="s">
        <v>82</v>
      </c>
      <c r="F16" s="19">
        <v>369.63</v>
      </c>
      <c r="G16" s="18" t="s">
        <v>56</v>
      </c>
      <c r="H16" s="18"/>
      <c r="I16" s="18"/>
      <c r="J16" s="18"/>
      <c r="K16" s="18"/>
      <c r="L16" s="18"/>
      <c r="M16" s="18"/>
      <c r="N16" s="18"/>
      <c r="O16" s="18">
        <f>SUM(TABELA2567[[#This Row],[T1]:[T7]])</f>
        <v>0</v>
      </c>
      <c r="P16" s="20">
        <f>TABELA2567[[#This Row],[QTDE]]*TABELA2567[[#This Row],[PREÇO]]</f>
        <v>0</v>
      </c>
      <c r="Q16" s="38">
        <f>VLOOKUP($A:$A,[1]Planilha1!$B:$L,7,0)</f>
        <v>998</v>
      </c>
      <c r="R16" s="38">
        <f>VLOOKUP($A:$A,[1]Planilha1!$B:$L,8,0)</f>
        <v>453.64</v>
      </c>
      <c r="S16" s="37">
        <f>TABELA2567[[#This Row],[PREÇO]]/TABELA2567[[#This Row],[Coluna1]]-1</f>
        <v>-0.629629258517034</v>
      </c>
      <c r="T16" s="37">
        <f>TABELA2567[[#This Row],[PREÇO]]/TABELA2567[[#This Row],[Coluna2]]-1</f>
        <v>-0.18519090027334451</v>
      </c>
    </row>
    <row r="17" spans="1:20" x14ac:dyDescent="0.2">
      <c r="A17" s="1" t="str">
        <f>TRIM(TABELA2567[[#This Row],[PRODUTO]])&amp;TRIM(TABELA2567[[#This Row],[COR]])</f>
        <v>03.01.09610101</v>
      </c>
      <c r="B17" s="17" t="s">
        <v>83</v>
      </c>
      <c r="C17" s="18" t="s">
        <v>84</v>
      </c>
      <c r="D17" s="18" t="s">
        <v>50</v>
      </c>
      <c r="E17" s="18" t="s">
        <v>51</v>
      </c>
      <c r="F17" s="19">
        <v>221.48</v>
      </c>
      <c r="G17" s="18" t="s">
        <v>56</v>
      </c>
      <c r="H17" s="18"/>
      <c r="I17" s="18"/>
      <c r="J17" s="18"/>
      <c r="K17" s="18"/>
      <c r="L17" s="18"/>
      <c r="M17" s="18"/>
      <c r="N17" s="18"/>
      <c r="O17" s="18">
        <f>SUM(TABELA2567[[#This Row],[T1]:[T7]])</f>
        <v>0</v>
      </c>
      <c r="P17" s="20">
        <f>TABELA2567[[#This Row],[QTDE]]*TABELA2567[[#This Row],[PREÇO]]</f>
        <v>0</v>
      </c>
      <c r="Q17" s="38">
        <f>VLOOKUP($A:$A,[1]Planilha1!$B:$L,7,0)</f>
        <v>598</v>
      </c>
      <c r="R17" s="38">
        <f>VLOOKUP($A:$A,[1]Planilha1!$B:$L,8,0)</f>
        <v>271.82</v>
      </c>
      <c r="S17" s="37">
        <f>TABELA2567[[#This Row],[PREÇO]]/TABELA2567[[#This Row],[Coluna1]]-1</f>
        <v>-0.62963210702341144</v>
      </c>
      <c r="T17" s="37">
        <f>TABELA2567[[#This Row],[PREÇO]]/TABELA2567[[#This Row],[Coluna2]]-1</f>
        <v>-0.18519608564491208</v>
      </c>
    </row>
    <row r="18" spans="1:20" x14ac:dyDescent="0.2">
      <c r="A18" s="1" t="str">
        <f>TRIM(TABELA2567[[#This Row],[PRODUTO]])&amp;TRIM(TABELA2567[[#This Row],[COR]])</f>
        <v>03.01.09620109</v>
      </c>
      <c r="B18" s="17" t="s">
        <v>85</v>
      </c>
      <c r="C18" s="18" t="s">
        <v>86</v>
      </c>
      <c r="D18" s="18" t="s">
        <v>52</v>
      </c>
      <c r="E18" s="18" t="s">
        <v>53</v>
      </c>
      <c r="F18" s="19">
        <v>184.44</v>
      </c>
      <c r="G18" s="18" t="s">
        <v>56</v>
      </c>
      <c r="H18" s="18"/>
      <c r="I18" s="18"/>
      <c r="J18" s="18"/>
      <c r="K18" s="18"/>
      <c r="L18" s="18"/>
      <c r="M18" s="18"/>
      <c r="N18" s="18"/>
      <c r="O18" s="18">
        <f>SUM(TABELA2567[[#This Row],[T1]:[T7]])</f>
        <v>0</v>
      </c>
      <c r="P18" s="20">
        <f>TABELA2567[[#This Row],[QTDE]]*TABELA2567[[#This Row],[PREÇO]]</f>
        <v>0</v>
      </c>
      <c r="Q18" s="38">
        <f>VLOOKUP($A:$A,[1]Planilha1!$B:$L,7,0)</f>
        <v>498</v>
      </c>
      <c r="R18" s="38">
        <f>VLOOKUP($A:$A,[1]Planilha1!$B:$L,8,0)</f>
        <v>226.36</v>
      </c>
      <c r="S18" s="37">
        <f>TABELA2567[[#This Row],[PREÇO]]/TABELA2567[[#This Row],[Coluna1]]-1</f>
        <v>-0.62963855421686743</v>
      </c>
      <c r="T18" s="37">
        <f>TABELA2567[[#This Row],[PREÇO]]/TABELA2567[[#This Row],[Coluna2]]-1</f>
        <v>-0.18519172998763034</v>
      </c>
    </row>
    <row r="19" spans="1:20" x14ac:dyDescent="0.2">
      <c r="A19" s="1" t="str">
        <f>TRIM(TABELA2567[[#This Row],[PRODUTO]])&amp;TRIM(TABELA2567[[#This Row],[COR]])</f>
        <v>03.01.096301035</v>
      </c>
      <c r="B19" s="17" t="s">
        <v>87</v>
      </c>
      <c r="C19" s="18" t="s">
        <v>88</v>
      </c>
      <c r="D19" s="18" t="s">
        <v>89</v>
      </c>
      <c r="E19" s="18" t="s">
        <v>90</v>
      </c>
      <c r="F19" s="19">
        <v>184.44</v>
      </c>
      <c r="G19" s="18" t="s">
        <v>56</v>
      </c>
      <c r="H19" s="18"/>
      <c r="I19" s="18"/>
      <c r="J19" s="18"/>
      <c r="K19" s="18"/>
      <c r="L19" s="18"/>
      <c r="M19" s="18"/>
      <c r="N19" s="18"/>
      <c r="O19" s="18">
        <f>SUM(TABELA2567[[#This Row],[T1]:[T7]])</f>
        <v>0</v>
      </c>
      <c r="P19" s="20">
        <f>TABELA2567[[#This Row],[QTDE]]*TABELA2567[[#This Row],[PREÇO]]</f>
        <v>0</v>
      </c>
      <c r="Q19" s="38">
        <f>VLOOKUP($A:$A,[1]Planilha1!$B:$L,7,0)</f>
        <v>498</v>
      </c>
      <c r="R19" s="38">
        <f>VLOOKUP($A:$A,[1]Planilha1!$B:$L,8,0)</f>
        <v>226.36</v>
      </c>
      <c r="S19" s="37">
        <f>TABELA2567[[#This Row],[PREÇO]]/TABELA2567[[#This Row],[Coluna1]]-1</f>
        <v>-0.62963855421686743</v>
      </c>
      <c r="T19" s="37">
        <f>TABELA2567[[#This Row],[PREÇO]]/TABELA2567[[#This Row],[Coluna2]]-1</f>
        <v>-0.18519172998763034</v>
      </c>
    </row>
    <row r="20" spans="1:20" x14ac:dyDescent="0.2">
      <c r="A20" s="1" t="str">
        <f>TRIM(TABELA2567[[#This Row],[PRODUTO]])&amp;TRIM(TABELA2567[[#This Row],[COR]])</f>
        <v>03.01.096601024</v>
      </c>
      <c r="B20" s="17" t="s">
        <v>91</v>
      </c>
      <c r="C20" s="18" t="s">
        <v>92</v>
      </c>
      <c r="D20" s="18" t="s">
        <v>93</v>
      </c>
      <c r="E20" s="18" t="s">
        <v>94</v>
      </c>
      <c r="F20" s="19">
        <v>1110.3699999999999</v>
      </c>
      <c r="G20" s="18" t="s">
        <v>31</v>
      </c>
      <c r="H20" s="18"/>
      <c r="I20" s="18"/>
      <c r="J20" s="18"/>
      <c r="K20" s="18"/>
      <c r="L20" s="18"/>
      <c r="M20" s="18"/>
      <c r="N20" s="18"/>
      <c r="O20" s="18">
        <f>SUM(TABELA2567[[#This Row],[T1]:[T7]])</f>
        <v>0</v>
      </c>
      <c r="P20" s="20">
        <f>TABELA2567[[#This Row],[QTDE]]*TABELA2567[[#This Row],[PREÇO]]</f>
        <v>0</v>
      </c>
      <c r="Q20" s="38">
        <f>VLOOKUP($A:$A,[1]Planilha1!$B:$L,7,0)</f>
        <v>2998</v>
      </c>
      <c r="R20" s="38">
        <f>VLOOKUP($A:$A,[1]Planilha1!$B:$L,8,0)</f>
        <v>1362.73</v>
      </c>
      <c r="S20" s="37">
        <f>TABELA2567[[#This Row],[PREÇO]]/TABELA2567[[#This Row],[Coluna1]]-1</f>
        <v>-0.62962975316877923</v>
      </c>
      <c r="T20" s="37">
        <f>TABELA2567[[#This Row],[PREÇO]]/TABELA2567[[#This Row],[Coluna2]]-1</f>
        <v>-0.18518708768428094</v>
      </c>
    </row>
    <row r="21" spans="1:20" x14ac:dyDescent="0.2">
      <c r="A21" s="1" t="str">
        <f>TRIM(TABELA2567[[#This Row],[PRODUTO]])&amp;TRIM(TABELA2567[[#This Row],[COR]])</f>
        <v>03.01.096601040</v>
      </c>
      <c r="B21" s="17" t="s">
        <v>91</v>
      </c>
      <c r="C21" s="18" t="s">
        <v>92</v>
      </c>
      <c r="D21" s="18" t="s">
        <v>95</v>
      </c>
      <c r="E21" s="18" t="s">
        <v>96</v>
      </c>
      <c r="F21" s="19">
        <v>1110.3699999999999</v>
      </c>
      <c r="G21" s="18" t="s">
        <v>31</v>
      </c>
      <c r="H21" s="18"/>
      <c r="I21" s="18"/>
      <c r="J21" s="18"/>
      <c r="K21" s="18"/>
      <c r="L21" s="18"/>
      <c r="M21" s="18"/>
      <c r="N21" s="18"/>
      <c r="O21" s="18">
        <f>SUM(TABELA2567[[#This Row],[T1]:[T7]])</f>
        <v>0</v>
      </c>
      <c r="P21" s="20">
        <f>TABELA2567[[#This Row],[QTDE]]*TABELA2567[[#This Row],[PREÇO]]</f>
        <v>0</v>
      </c>
      <c r="Q21" s="38">
        <f>VLOOKUP($A:$A,[1]Planilha1!$B:$L,7,0)</f>
        <v>2998</v>
      </c>
      <c r="R21" s="38">
        <f>VLOOKUP($A:$A,[1]Planilha1!$B:$L,8,0)</f>
        <v>1362.73</v>
      </c>
      <c r="S21" s="37">
        <f>TABELA2567[[#This Row],[PREÇO]]/TABELA2567[[#This Row],[Coluna1]]-1</f>
        <v>-0.62962975316877923</v>
      </c>
      <c r="T21" s="37">
        <f>TABELA2567[[#This Row],[PREÇO]]/TABELA2567[[#This Row],[Coluna2]]-1</f>
        <v>-0.18518708768428094</v>
      </c>
    </row>
    <row r="22" spans="1:20" x14ac:dyDescent="0.2">
      <c r="A22" s="1" t="str">
        <f>TRIM(TABELA2567[[#This Row],[PRODUTO]])&amp;TRIM(TABELA2567[[#This Row],[COR]])</f>
        <v>03.01.097201035</v>
      </c>
      <c r="B22" s="17" t="s">
        <v>97</v>
      </c>
      <c r="C22" s="18" t="s">
        <v>98</v>
      </c>
      <c r="D22" s="18" t="s">
        <v>89</v>
      </c>
      <c r="E22" s="18" t="s">
        <v>90</v>
      </c>
      <c r="F22" s="19">
        <v>2036.3</v>
      </c>
      <c r="G22" s="18" t="s">
        <v>31</v>
      </c>
      <c r="H22" s="18"/>
      <c r="I22" s="18"/>
      <c r="J22" s="18"/>
      <c r="K22" s="18"/>
      <c r="L22" s="18"/>
      <c r="M22" s="18"/>
      <c r="N22" s="18"/>
      <c r="O22" s="18">
        <f>SUM(TABELA2567[[#This Row],[T1]:[T7]])</f>
        <v>0</v>
      </c>
      <c r="P22" s="20">
        <f>TABELA2567[[#This Row],[QTDE]]*TABELA2567[[#This Row],[PREÇO]]</f>
        <v>0</v>
      </c>
      <c r="Q22" s="38">
        <f>VLOOKUP($A:$A,[1]Planilha1!$B:$L,7,0)</f>
        <v>5498</v>
      </c>
      <c r="R22" s="38">
        <f>VLOOKUP($A:$A,[1]Planilha1!$B:$L,8,0)</f>
        <v>2499.09</v>
      </c>
      <c r="S22" s="37">
        <f>TABELA2567[[#This Row],[PREÇO]]/TABELA2567[[#This Row],[Coluna1]]-1</f>
        <v>-0.62962895598399427</v>
      </c>
      <c r="T22" s="37">
        <f>TABELA2567[[#This Row],[PREÇO]]/TABELA2567[[#This Row],[Coluna2]]-1</f>
        <v>-0.18518340676006073</v>
      </c>
    </row>
    <row r="23" spans="1:20" x14ac:dyDescent="0.2">
      <c r="A23" s="1" t="str">
        <f>TRIM(TABELA2567[[#This Row],[PRODUTO]])&amp;TRIM(TABELA2567[[#This Row],[COR]])</f>
        <v>03.01.09730005</v>
      </c>
      <c r="B23" s="17" t="s">
        <v>99</v>
      </c>
      <c r="C23" s="18" t="s">
        <v>100</v>
      </c>
      <c r="D23" s="18" t="s">
        <v>32</v>
      </c>
      <c r="E23" s="18" t="s">
        <v>33</v>
      </c>
      <c r="F23" s="19">
        <v>1702.96</v>
      </c>
      <c r="G23" s="18" t="s">
        <v>31</v>
      </c>
      <c r="H23" s="18"/>
      <c r="I23" s="18"/>
      <c r="J23" s="18"/>
      <c r="K23" s="18"/>
      <c r="L23" s="18"/>
      <c r="M23" s="18"/>
      <c r="N23" s="18"/>
      <c r="O23" s="18">
        <f>SUM(TABELA2567[[#This Row],[T1]:[T7]])</f>
        <v>0</v>
      </c>
      <c r="P23" s="20">
        <f>TABELA2567[[#This Row],[QTDE]]*TABELA2567[[#This Row],[PREÇO]]</f>
        <v>0</v>
      </c>
      <c r="Q23" s="38">
        <f>VLOOKUP($A:$A,[1]Planilha1!$B:$L,7,0)</f>
        <v>4598</v>
      </c>
      <c r="R23" s="38">
        <f>VLOOKUP($A:$A,[1]Planilha1!$B:$L,8,0)</f>
        <v>2090</v>
      </c>
      <c r="S23" s="37">
        <f>TABELA2567[[#This Row],[PREÇO]]/TABELA2567[[#This Row],[Coluna1]]-1</f>
        <v>-0.62963027403218796</v>
      </c>
      <c r="T23" s="37">
        <f>TABELA2567[[#This Row],[PREÇO]]/TABELA2567[[#This Row],[Coluna2]]-1</f>
        <v>-0.18518660287081334</v>
      </c>
    </row>
    <row r="24" spans="1:20" x14ac:dyDescent="0.2">
      <c r="A24" s="1" t="str">
        <f>TRIM(TABELA2567[[#This Row],[PRODUTO]])&amp;TRIM(TABELA2567[[#This Row],[COR]])</f>
        <v>03.01.09940005</v>
      </c>
      <c r="B24" s="17" t="s">
        <v>101</v>
      </c>
      <c r="C24" s="18" t="s">
        <v>102</v>
      </c>
      <c r="D24" s="18" t="s">
        <v>32</v>
      </c>
      <c r="E24" s="18" t="s">
        <v>33</v>
      </c>
      <c r="F24" s="19">
        <v>2221.48</v>
      </c>
      <c r="G24" s="18" t="s">
        <v>31</v>
      </c>
      <c r="H24" s="18"/>
      <c r="I24" s="18"/>
      <c r="J24" s="18"/>
      <c r="K24" s="18"/>
      <c r="L24" s="18"/>
      <c r="M24" s="18"/>
      <c r="N24" s="18"/>
      <c r="O24" s="18">
        <f>SUM(TABELA2567[[#This Row],[T1]:[T7]])</f>
        <v>0</v>
      </c>
      <c r="P24" s="20">
        <f>TABELA2567[[#This Row],[QTDE]]*TABELA2567[[#This Row],[PREÇO]]</f>
        <v>0</v>
      </c>
      <c r="Q24" s="38">
        <f>VLOOKUP($A:$A,[1]Planilha1!$B:$L,7,0)</f>
        <v>5998</v>
      </c>
      <c r="R24" s="38">
        <f>VLOOKUP($A:$A,[1]Planilha1!$B:$L,8,0)</f>
        <v>2726.36</v>
      </c>
      <c r="S24" s="37">
        <f>TABELA2567[[#This Row],[PREÇO]]/TABELA2567[[#This Row],[Coluna1]]-1</f>
        <v>-0.62962987662554182</v>
      </c>
      <c r="T24" s="37">
        <f>TABELA2567[[#This Row],[PREÇO]]/TABELA2567[[#This Row],[Coluna2]]-1</f>
        <v>-0.18518464179345362</v>
      </c>
    </row>
    <row r="25" spans="1:20" x14ac:dyDescent="0.2">
      <c r="A25" s="1" t="str">
        <f>TRIM(TABELA2567[[#This Row],[PRODUTO]])&amp;TRIM(TABELA2567[[#This Row],[COR]])</f>
        <v>03.01.10140005</v>
      </c>
      <c r="B25" s="17" t="s">
        <v>103</v>
      </c>
      <c r="C25" s="18" t="s">
        <v>104</v>
      </c>
      <c r="D25" s="18" t="s">
        <v>32</v>
      </c>
      <c r="E25" s="18" t="s">
        <v>33</v>
      </c>
      <c r="F25" s="19">
        <v>1406.67</v>
      </c>
      <c r="G25" s="18" t="s">
        <v>31</v>
      </c>
      <c r="H25" s="18"/>
      <c r="I25" s="18"/>
      <c r="J25" s="18"/>
      <c r="K25" s="18"/>
      <c r="L25" s="18"/>
      <c r="M25" s="18"/>
      <c r="N25" s="18"/>
      <c r="O25" s="18">
        <f>SUM(TABELA2567[[#This Row],[T1]:[T7]])</f>
        <v>0</v>
      </c>
      <c r="P25" s="20">
        <f>TABELA2567[[#This Row],[QTDE]]*TABELA2567[[#This Row],[PREÇO]]</f>
        <v>0</v>
      </c>
      <c r="Q25" s="38">
        <f>VLOOKUP($A:$A,[1]Planilha1!$B:$L,7,0)</f>
        <v>3798</v>
      </c>
      <c r="R25" s="38">
        <f>VLOOKUP($A:$A,[1]Planilha1!$B:$L,8,0)</f>
        <v>1726.36</v>
      </c>
      <c r="S25" s="37">
        <f>TABELA2567[[#This Row],[PREÇO]]/TABELA2567[[#This Row],[Coluna1]]-1</f>
        <v>-0.62962875197472346</v>
      </c>
      <c r="T25" s="37">
        <f>TABELA2567[[#This Row],[PREÇO]]/TABELA2567[[#This Row],[Coluna2]]-1</f>
        <v>-0.18518153803378201</v>
      </c>
    </row>
    <row r="26" spans="1:20" x14ac:dyDescent="0.2">
      <c r="A26" s="1" t="str">
        <f>TRIM(TABELA2567[[#This Row],[PRODUTO]])&amp;TRIM(TABELA2567[[#This Row],[COR]])</f>
        <v>03.03.011901016</v>
      </c>
      <c r="B26" s="17" t="s">
        <v>105</v>
      </c>
      <c r="C26" s="18" t="s">
        <v>106</v>
      </c>
      <c r="D26" s="18" t="s">
        <v>107</v>
      </c>
      <c r="E26" s="18" t="s">
        <v>108</v>
      </c>
      <c r="F26" s="19">
        <v>369.63</v>
      </c>
      <c r="G26" s="18" t="s">
        <v>56</v>
      </c>
      <c r="H26" s="18"/>
      <c r="I26" s="18"/>
      <c r="J26" s="18"/>
      <c r="K26" s="18"/>
      <c r="L26" s="18"/>
      <c r="M26" s="18"/>
      <c r="N26" s="18"/>
      <c r="O26" s="18">
        <f>SUM(TABELA2567[[#This Row],[T1]:[T7]])</f>
        <v>0</v>
      </c>
      <c r="P26" s="20">
        <f>TABELA2567[[#This Row],[QTDE]]*TABELA2567[[#This Row],[PREÇO]]</f>
        <v>0</v>
      </c>
      <c r="Q26" s="38">
        <f>VLOOKUP($A:$A,[1]Planilha1!$B:$L,7,0)</f>
        <v>998</v>
      </c>
      <c r="R26" s="38">
        <f>VLOOKUP($A:$A,[1]Planilha1!$B:$L,8,0)</f>
        <v>453.64</v>
      </c>
      <c r="S26" s="37">
        <f>TABELA2567[[#This Row],[PREÇO]]/TABELA2567[[#This Row],[Coluna1]]-1</f>
        <v>-0.629629258517034</v>
      </c>
      <c r="T26" s="37">
        <f>TABELA2567[[#This Row],[PREÇO]]/TABELA2567[[#This Row],[Coluna2]]-1</f>
        <v>-0.18519090027334451</v>
      </c>
    </row>
    <row r="27" spans="1:20" x14ac:dyDescent="0.2">
      <c r="A27" s="1" t="str">
        <f>TRIM(TABELA2567[[#This Row],[PRODUTO]])&amp;TRIM(TABELA2567[[#This Row],[COR]])</f>
        <v>03.04.03340005</v>
      </c>
      <c r="B27" s="17" t="s">
        <v>109</v>
      </c>
      <c r="C27" s="18" t="s">
        <v>110</v>
      </c>
      <c r="D27" s="18" t="s">
        <v>32</v>
      </c>
      <c r="E27" s="18" t="s">
        <v>33</v>
      </c>
      <c r="F27" s="19">
        <v>628.89</v>
      </c>
      <c r="G27" s="18" t="s">
        <v>31</v>
      </c>
      <c r="H27" s="18"/>
      <c r="I27" s="18"/>
      <c r="J27" s="18"/>
      <c r="K27" s="18"/>
      <c r="L27" s="18"/>
      <c r="M27" s="18"/>
      <c r="N27" s="18"/>
      <c r="O27" s="18">
        <f>SUM(TABELA2567[[#This Row],[T1]:[T7]])</f>
        <v>0</v>
      </c>
      <c r="P27" s="20">
        <f>TABELA2567[[#This Row],[QTDE]]*TABELA2567[[#This Row],[PREÇO]]</f>
        <v>0</v>
      </c>
      <c r="Q27" s="38">
        <f>VLOOKUP($A:$A,[1]Planilha1!$B:$L,7,0)</f>
        <v>1698</v>
      </c>
      <c r="R27" s="38">
        <f>VLOOKUP($A:$A,[1]Planilha1!$B:$L,8,0)</f>
        <v>771.82</v>
      </c>
      <c r="S27" s="37">
        <f>TABELA2567[[#This Row],[PREÇO]]/TABELA2567[[#This Row],[Coluna1]]-1</f>
        <v>-0.62962897526501771</v>
      </c>
      <c r="T27" s="37">
        <f>TABELA2567[[#This Row],[PREÇO]]/TABELA2567[[#This Row],[Coluna2]]-1</f>
        <v>-0.18518566505143697</v>
      </c>
    </row>
    <row r="28" spans="1:20" x14ac:dyDescent="0.2">
      <c r="A28" s="1" t="str">
        <f>TRIM(TABELA2567[[#This Row],[PRODUTO]])&amp;TRIM(TABELA2567[[#This Row],[COR]])</f>
        <v>03.07.109201036</v>
      </c>
      <c r="B28" s="17" t="s">
        <v>111</v>
      </c>
      <c r="C28" s="18" t="s">
        <v>112</v>
      </c>
      <c r="D28" s="18" t="s">
        <v>113</v>
      </c>
      <c r="E28" s="18" t="s">
        <v>114</v>
      </c>
      <c r="F28" s="19">
        <v>221.48</v>
      </c>
      <c r="G28" s="18" t="s">
        <v>56</v>
      </c>
      <c r="H28" s="18"/>
      <c r="I28" s="18"/>
      <c r="J28" s="18"/>
      <c r="K28" s="18"/>
      <c r="L28" s="18"/>
      <c r="M28" s="18"/>
      <c r="N28" s="18"/>
      <c r="O28" s="18">
        <f>SUM(TABELA2567[[#This Row],[T1]:[T7]])</f>
        <v>0</v>
      </c>
      <c r="P28" s="20">
        <f>TABELA2567[[#This Row],[QTDE]]*TABELA2567[[#This Row],[PREÇO]]</f>
        <v>0</v>
      </c>
      <c r="Q28" s="38">
        <f>VLOOKUP($A:$A,[1]Planilha1!$B:$L,7,0)</f>
        <v>598</v>
      </c>
      <c r="R28" s="38">
        <f>VLOOKUP($A:$A,[1]Planilha1!$B:$L,8,0)</f>
        <v>271.82</v>
      </c>
      <c r="S28" s="37">
        <f>TABELA2567[[#This Row],[PREÇO]]/TABELA2567[[#This Row],[Coluna1]]-1</f>
        <v>-0.62963210702341144</v>
      </c>
      <c r="T28" s="37">
        <f>TABELA2567[[#This Row],[PREÇO]]/TABELA2567[[#This Row],[Coluna2]]-1</f>
        <v>-0.18519608564491208</v>
      </c>
    </row>
    <row r="29" spans="1:20" x14ac:dyDescent="0.2">
      <c r="A29" s="1" t="str">
        <f>TRIM(TABELA2567[[#This Row],[PRODUTO]])&amp;TRIM(TABELA2567[[#This Row],[COR]])</f>
        <v>03.07.10940005</v>
      </c>
      <c r="B29" s="17" t="s">
        <v>115</v>
      </c>
      <c r="C29" s="18" t="s">
        <v>116</v>
      </c>
      <c r="D29" s="18" t="s">
        <v>32</v>
      </c>
      <c r="E29" s="18" t="s">
        <v>33</v>
      </c>
      <c r="F29" s="19">
        <v>202.96</v>
      </c>
      <c r="G29" s="18" t="s">
        <v>56</v>
      </c>
      <c r="H29" s="18"/>
      <c r="I29" s="18"/>
      <c r="J29" s="18"/>
      <c r="K29" s="18"/>
      <c r="L29" s="18"/>
      <c r="M29" s="18"/>
      <c r="N29" s="18"/>
      <c r="O29" s="18">
        <f>SUM(TABELA2567[[#This Row],[T1]:[T7]])</f>
        <v>0</v>
      </c>
      <c r="P29" s="20">
        <f>TABELA2567[[#This Row],[QTDE]]*TABELA2567[[#This Row],[PREÇO]]</f>
        <v>0</v>
      </c>
      <c r="Q29" s="38">
        <f>VLOOKUP($A:$A,[1]Planilha1!$B:$L,7,0)</f>
        <v>548</v>
      </c>
      <c r="R29" s="38">
        <f>VLOOKUP($A:$A,[1]Planilha1!$B:$L,8,0)</f>
        <v>249.09</v>
      </c>
      <c r="S29" s="37">
        <f>TABELA2567[[#This Row],[PREÇO]]/TABELA2567[[#This Row],[Coluna1]]-1</f>
        <v>-0.62963503649635033</v>
      </c>
      <c r="T29" s="37">
        <f>TABELA2567[[#This Row],[PREÇO]]/TABELA2567[[#This Row],[Coluna2]]-1</f>
        <v>-0.18519410654783408</v>
      </c>
    </row>
    <row r="30" spans="1:20" x14ac:dyDescent="0.2">
      <c r="A30" s="1" t="str">
        <f>TRIM(TABELA2567[[#This Row],[PRODUTO]])&amp;TRIM(TABELA2567[[#This Row],[COR]])</f>
        <v>03.14.008821092</v>
      </c>
      <c r="B30" s="17" t="s">
        <v>117</v>
      </c>
      <c r="C30" s="18" t="s">
        <v>118</v>
      </c>
      <c r="D30" s="18" t="s">
        <v>119</v>
      </c>
      <c r="E30" s="18" t="s">
        <v>120</v>
      </c>
      <c r="F30" s="19">
        <v>147.41</v>
      </c>
      <c r="G30" s="18" t="s">
        <v>31</v>
      </c>
      <c r="H30" s="18"/>
      <c r="I30" s="18"/>
      <c r="J30" s="18"/>
      <c r="K30" s="18"/>
      <c r="L30" s="18"/>
      <c r="M30" s="18"/>
      <c r="N30" s="18"/>
      <c r="O30" s="18">
        <f>SUM(TABELA2567[[#This Row],[T1]:[T7]])</f>
        <v>0</v>
      </c>
      <c r="P30" s="20">
        <f>TABELA2567[[#This Row],[QTDE]]*TABELA2567[[#This Row],[PREÇO]]</f>
        <v>0</v>
      </c>
      <c r="Q30" s="38">
        <f>VLOOKUP($A:$A,[1]Planilha1!$B:$L,7,0)</f>
        <v>398</v>
      </c>
      <c r="R30" s="38">
        <f>VLOOKUP($A:$A,[1]Planilha1!$B:$L,8,0)</f>
        <v>180.91</v>
      </c>
      <c r="S30" s="37">
        <f>TABELA2567[[#This Row],[PREÇO]]/TABELA2567[[#This Row],[Coluna1]]-1</f>
        <v>-0.62962311557788952</v>
      </c>
      <c r="T30" s="37">
        <f>TABELA2567[[#This Row],[PREÇO]]/TABELA2567[[#This Row],[Coluna2]]-1</f>
        <v>-0.18517494886960373</v>
      </c>
    </row>
    <row r="31" spans="1:20" x14ac:dyDescent="0.2">
      <c r="A31" s="1" t="str">
        <f>TRIM(TABELA2567[[#This Row],[PRODUTO]])&amp;TRIM(TABELA2567[[#This Row],[COR]])</f>
        <v>03.14.008921096</v>
      </c>
      <c r="B31" s="17" t="s">
        <v>121</v>
      </c>
      <c r="C31" s="18" t="s">
        <v>122</v>
      </c>
      <c r="D31" s="18" t="s">
        <v>123</v>
      </c>
      <c r="E31" s="18" t="s">
        <v>124</v>
      </c>
      <c r="F31" s="19">
        <v>332.59</v>
      </c>
      <c r="G31" s="18" t="s">
        <v>65</v>
      </c>
      <c r="H31" s="18"/>
      <c r="I31" s="18"/>
      <c r="J31" s="18"/>
      <c r="K31" s="18"/>
      <c r="L31" s="18"/>
      <c r="M31" s="18"/>
      <c r="N31" s="18"/>
      <c r="O31" s="18">
        <f>SUM(TABELA2567[[#This Row],[T1]:[T7]])</f>
        <v>0</v>
      </c>
      <c r="P31" s="20">
        <f>TABELA2567[[#This Row],[QTDE]]*TABELA2567[[#This Row],[PREÇO]]</f>
        <v>0</v>
      </c>
      <c r="Q31" s="38">
        <f>VLOOKUP($A:$A,[1]Planilha1!$B:$L,7,0)</f>
        <v>898</v>
      </c>
      <c r="R31" s="38">
        <f>VLOOKUP($A:$A,[1]Planilha1!$B:$L,8,0)</f>
        <v>408.18</v>
      </c>
      <c r="S31" s="37">
        <f>TABELA2567[[#This Row],[PREÇO]]/TABELA2567[[#This Row],[Coluna1]]-1</f>
        <v>-0.62963251670378617</v>
      </c>
      <c r="T31" s="37">
        <f>TABELA2567[[#This Row],[PREÇO]]/TABELA2567[[#This Row],[Coluna2]]-1</f>
        <v>-0.18518790729580092</v>
      </c>
    </row>
    <row r="32" spans="1:20" x14ac:dyDescent="0.2">
      <c r="A32" s="1" t="str">
        <f>TRIM(TABELA2567[[#This Row],[PRODUTO]])&amp;TRIM(TABELA2567[[#This Row],[COR]])</f>
        <v>03.61.006001036</v>
      </c>
      <c r="B32" s="17" t="s">
        <v>125</v>
      </c>
      <c r="C32" s="18" t="s">
        <v>126</v>
      </c>
      <c r="D32" s="18" t="s">
        <v>113</v>
      </c>
      <c r="E32" s="18" t="s">
        <v>114</v>
      </c>
      <c r="F32" s="19">
        <v>554.80999999999995</v>
      </c>
      <c r="G32" s="18" t="s">
        <v>31</v>
      </c>
      <c r="H32" s="18"/>
      <c r="I32" s="18"/>
      <c r="J32" s="18"/>
      <c r="K32" s="18"/>
      <c r="L32" s="18"/>
      <c r="M32" s="18"/>
      <c r="N32" s="18"/>
      <c r="O32" s="18">
        <f>SUM(TABELA2567[[#This Row],[T1]:[T7]])</f>
        <v>0</v>
      </c>
      <c r="P32" s="20">
        <f>TABELA2567[[#This Row],[QTDE]]*TABELA2567[[#This Row],[PREÇO]]</f>
        <v>0</v>
      </c>
      <c r="Q32" s="38">
        <f>VLOOKUP($A:$A,[1]Planilha1!$B:$L,7,0)</f>
        <v>1498</v>
      </c>
      <c r="R32" s="38">
        <f>VLOOKUP($A:$A,[1]Planilha1!$B:$L,8,0)</f>
        <v>680.91</v>
      </c>
      <c r="S32" s="37">
        <f>TABELA2567[[#This Row],[PREÇO]]/TABELA2567[[#This Row],[Coluna1]]-1</f>
        <v>-0.62963284379172235</v>
      </c>
      <c r="T32" s="37">
        <f>TABELA2567[[#This Row],[PREÇO]]/TABELA2567[[#This Row],[Coluna2]]-1</f>
        <v>-0.18519334420114264</v>
      </c>
    </row>
    <row r="33" spans="1:20" x14ac:dyDescent="0.2">
      <c r="A33" s="1" t="str">
        <f>TRIM(TABELA2567[[#This Row],[PRODUTO]])&amp;TRIM(TABELA2567[[#This Row],[COR]])</f>
        <v>03.61.006001040</v>
      </c>
      <c r="B33" s="17" t="s">
        <v>125</v>
      </c>
      <c r="C33" s="18" t="s">
        <v>126</v>
      </c>
      <c r="D33" s="18" t="s">
        <v>95</v>
      </c>
      <c r="E33" s="18" t="s">
        <v>96</v>
      </c>
      <c r="F33" s="19">
        <v>554.80999999999995</v>
      </c>
      <c r="G33" s="18" t="s">
        <v>31</v>
      </c>
      <c r="H33" s="18"/>
      <c r="I33" s="18"/>
      <c r="J33" s="18"/>
      <c r="K33" s="18"/>
      <c r="L33" s="18"/>
      <c r="M33" s="18"/>
      <c r="N33" s="18"/>
      <c r="O33" s="18">
        <f>SUM(TABELA2567[[#This Row],[T1]:[T7]])</f>
        <v>0</v>
      </c>
      <c r="P33" s="20">
        <f>TABELA2567[[#This Row],[QTDE]]*TABELA2567[[#This Row],[PREÇO]]</f>
        <v>0</v>
      </c>
      <c r="Q33" s="38">
        <f>VLOOKUP($A:$A,[1]Planilha1!$B:$L,7,0)</f>
        <v>1498</v>
      </c>
      <c r="R33" s="38">
        <f>VLOOKUP($A:$A,[1]Planilha1!$B:$L,8,0)</f>
        <v>680.91</v>
      </c>
      <c r="S33" s="37">
        <f>TABELA2567[[#This Row],[PREÇO]]/TABELA2567[[#This Row],[Coluna1]]-1</f>
        <v>-0.62963284379172235</v>
      </c>
      <c r="T33" s="37">
        <f>TABELA2567[[#This Row],[PREÇO]]/TABELA2567[[#This Row],[Coluna2]]-1</f>
        <v>-0.18519334420114264</v>
      </c>
    </row>
    <row r="34" spans="1:20" x14ac:dyDescent="0.2">
      <c r="A34" s="1" t="str">
        <f>TRIM(TABELA2567[[#This Row],[PRODUTO]])&amp;TRIM(TABELA2567[[#This Row],[COR]])</f>
        <v>04.13.07790005</v>
      </c>
      <c r="B34" s="17" t="s">
        <v>127</v>
      </c>
      <c r="C34" s="18" t="s">
        <v>128</v>
      </c>
      <c r="D34" s="18" t="s">
        <v>32</v>
      </c>
      <c r="E34" s="18" t="s">
        <v>33</v>
      </c>
      <c r="F34" s="19">
        <v>295.56</v>
      </c>
      <c r="G34" s="18" t="s">
        <v>31</v>
      </c>
      <c r="H34" s="18"/>
      <c r="I34" s="18"/>
      <c r="J34" s="18"/>
      <c r="K34" s="18"/>
      <c r="L34" s="18"/>
      <c r="M34" s="18"/>
      <c r="N34" s="18"/>
      <c r="O34" s="18">
        <f>SUM(TABELA2567[[#This Row],[T1]:[T7]])</f>
        <v>0</v>
      </c>
      <c r="P34" s="20">
        <f>TABELA2567[[#This Row],[QTDE]]*TABELA2567[[#This Row],[PREÇO]]</f>
        <v>0</v>
      </c>
      <c r="Q34" s="38">
        <f>VLOOKUP($A:$A,[1]Planilha1!$B:$L,7,0)</f>
        <v>798</v>
      </c>
      <c r="R34" s="38">
        <f>VLOOKUP($A:$A,[1]Planilha1!$B:$L,8,0)</f>
        <v>362.73</v>
      </c>
      <c r="S34" s="37">
        <f>TABELA2567[[#This Row],[PREÇO]]/TABELA2567[[#This Row],[Coluna1]]-1</f>
        <v>-0.62962406015037597</v>
      </c>
      <c r="T34" s="37">
        <f>TABELA2567[[#This Row],[PREÇO]]/TABELA2567[[#This Row],[Coluna2]]-1</f>
        <v>-0.18517905880406915</v>
      </c>
    </row>
    <row r="35" spans="1:20" x14ac:dyDescent="0.2">
      <c r="A35" s="1" t="str">
        <f>TRIM(TABELA2567[[#This Row],[PRODUTO]])&amp;TRIM(TABELA2567[[#This Row],[COR]])</f>
        <v>04.13.08466222</v>
      </c>
      <c r="B35" s="17" t="s">
        <v>129</v>
      </c>
      <c r="C35" s="18" t="s">
        <v>130</v>
      </c>
      <c r="D35" s="18" t="s">
        <v>57</v>
      </c>
      <c r="E35" s="18" t="s">
        <v>58</v>
      </c>
      <c r="F35" s="19">
        <v>1591.85</v>
      </c>
      <c r="G35" s="18" t="s">
        <v>34</v>
      </c>
      <c r="H35" s="18"/>
      <c r="I35" s="18"/>
      <c r="J35" s="18"/>
      <c r="K35" s="18"/>
      <c r="L35" s="18"/>
      <c r="M35" s="18"/>
      <c r="N35" s="18"/>
      <c r="O35" s="18">
        <f>SUM(TABELA2567[[#This Row],[T1]:[T7]])</f>
        <v>0</v>
      </c>
      <c r="P35" s="20">
        <f>TABELA2567[[#This Row],[QTDE]]*TABELA2567[[#This Row],[PREÇO]]</f>
        <v>0</v>
      </c>
      <c r="Q35" s="38">
        <f>VLOOKUP($A:$A,[1]Planilha1!$B:$L,7,0)</f>
        <v>4298</v>
      </c>
      <c r="R35" s="38">
        <f>VLOOKUP($A:$A,[1]Planilha1!$B:$L,8,0)</f>
        <v>1953.64</v>
      </c>
      <c r="S35" s="37">
        <f>TABELA2567[[#This Row],[PREÇO]]/TABELA2567[[#This Row],[Coluna1]]-1</f>
        <v>-0.62963006049325276</v>
      </c>
      <c r="T35" s="37">
        <f>TABELA2567[[#This Row],[PREÇO]]/TABELA2567[[#This Row],[Coluna2]]-1</f>
        <v>-0.18518764972052182</v>
      </c>
    </row>
    <row r="36" spans="1:20" x14ac:dyDescent="0.2">
      <c r="A36" s="1" t="str">
        <f>TRIM(TABELA2567[[#This Row],[PRODUTO]])&amp;TRIM(TABELA2567[[#This Row],[COR]])</f>
        <v>04.13.08516216</v>
      </c>
      <c r="B36" s="17" t="s">
        <v>131</v>
      </c>
      <c r="C36" s="18" t="s">
        <v>132</v>
      </c>
      <c r="D36" s="18" t="s">
        <v>47</v>
      </c>
      <c r="E36" s="18" t="s">
        <v>60</v>
      </c>
      <c r="F36" s="19">
        <v>1369.63</v>
      </c>
      <c r="G36" s="18" t="s">
        <v>34</v>
      </c>
      <c r="H36" s="18"/>
      <c r="I36" s="18"/>
      <c r="J36" s="18"/>
      <c r="K36" s="18"/>
      <c r="L36" s="18"/>
      <c r="M36" s="18"/>
      <c r="N36" s="18"/>
      <c r="O36" s="18">
        <f>SUM(TABELA2567[[#This Row],[T1]:[T7]])</f>
        <v>0</v>
      </c>
      <c r="P36" s="20">
        <f>TABELA2567[[#This Row],[QTDE]]*TABELA2567[[#This Row],[PREÇO]]</f>
        <v>0</v>
      </c>
      <c r="Q36" s="38">
        <f>VLOOKUP($A:$A,[1]Planilha1!$B:$L,7,0)</f>
        <v>3698</v>
      </c>
      <c r="R36" s="38">
        <f>VLOOKUP($A:$A,[1]Planilha1!$B:$L,8,0)</f>
        <v>1680.91</v>
      </c>
      <c r="S36" s="37">
        <f>TABELA2567[[#This Row],[PREÇO]]/TABELA2567[[#This Row],[Coluna1]]-1</f>
        <v>-0.62962952947539208</v>
      </c>
      <c r="T36" s="37">
        <f>TABELA2567[[#This Row],[PREÇO]]/TABELA2567[[#This Row],[Coluna2]]-1</f>
        <v>-0.18518540552438856</v>
      </c>
    </row>
    <row r="37" spans="1:20" x14ac:dyDescent="0.2">
      <c r="A37" s="1" t="str">
        <f>TRIM(TABELA2567[[#This Row],[PRODUTO]])&amp;TRIM(TABELA2567[[#This Row],[COR]])</f>
        <v>04.13.08670005</v>
      </c>
      <c r="B37" s="17" t="s">
        <v>46</v>
      </c>
      <c r="C37" s="18" t="s">
        <v>76</v>
      </c>
      <c r="D37" s="18" t="s">
        <v>32</v>
      </c>
      <c r="E37" s="18" t="s">
        <v>33</v>
      </c>
      <c r="F37" s="19">
        <v>332.59</v>
      </c>
      <c r="G37" s="18" t="s">
        <v>31</v>
      </c>
      <c r="H37" s="18"/>
      <c r="I37" s="18"/>
      <c r="J37" s="18"/>
      <c r="K37" s="18"/>
      <c r="L37" s="18"/>
      <c r="M37" s="18"/>
      <c r="N37" s="18"/>
      <c r="O37" s="18">
        <f>SUM(TABELA2567[[#This Row],[T1]:[T7]])</f>
        <v>0</v>
      </c>
      <c r="P37" s="20">
        <f>TABELA2567[[#This Row],[QTDE]]*TABELA2567[[#This Row],[PREÇO]]</f>
        <v>0</v>
      </c>
      <c r="Q37" s="38">
        <f>VLOOKUP($A:$A,[1]Planilha1!$B:$L,7,0)</f>
        <v>898</v>
      </c>
      <c r="R37" s="38">
        <f>VLOOKUP($A:$A,[1]Planilha1!$B:$L,8,0)</f>
        <v>408.18</v>
      </c>
      <c r="S37" s="37">
        <f>TABELA2567[[#This Row],[PREÇO]]/TABELA2567[[#This Row],[Coluna1]]-1</f>
        <v>-0.62963251670378617</v>
      </c>
      <c r="T37" s="37">
        <f>TABELA2567[[#This Row],[PREÇO]]/TABELA2567[[#This Row],[Coluna2]]-1</f>
        <v>-0.18518790729580092</v>
      </c>
    </row>
    <row r="38" spans="1:20" x14ac:dyDescent="0.2">
      <c r="A38" s="1" t="str">
        <f>TRIM(TABELA2567[[#This Row],[PRODUTO]])&amp;TRIM(TABELA2567[[#This Row],[COR]])</f>
        <v>04.13.089421011</v>
      </c>
      <c r="B38" s="17" t="s">
        <v>133</v>
      </c>
      <c r="C38" s="18" t="s">
        <v>134</v>
      </c>
      <c r="D38" s="18" t="s">
        <v>135</v>
      </c>
      <c r="E38" s="18" t="s">
        <v>136</v>
      </c>
      <c r="F38" s="19">
        <v>147.41</v>
      </c>
      <c r="G38" s="18" t="s">
        <v>31</v>
      </c>
      <c r="H38" s="18"/>
      <c r="I38" s="18"/>
      <c r="J38" s="18"/>
      <c r="K38" s="18"/>
      <c r="L38" s="18"/>
      <c r="M38" s="18"/>
      <c r="N38" s="18"/>
      <c r="O38" s="18">
        <f>SUM(TABELA2567[[#This Row],[T1]:[T7]])</f>
        <v>0</v>
      </c>
      <c r="P38" s="20">
        <f>TABELA2567[[#This Row],[QTDE]]*TABELA2567[[#This Row],[PREÇO]]</f>
        <v>0</v>
      </c>
      <c r="Q38" s="38">
        <f>VLOOKUP($A:$A,[1]Planilha1!$B:$L,7,0)</f>
        <v>398</v>
      </c>
      <c r="R38" s="38">
        <f>VLOOKUP($A:$A,[1]Planilha1!$B:$L,8,0)</f>
        <v>180.91</v>
      </c>
      <c r="S38" s="37">
        <f>TABELA2567[[#This Row],[PREÇO]]/TABELA2567[[#This Row],[Coluna1]]-1</f>
        <v>-0.62962311557788952</v>
      </c>
      <c r="T38" s="37">
        <f>TABELA2567[[#This Row],[PREÇO]]/TABELA2567[[#This Row],[Coluna2]]-1</f>
        <v>-0.18517494886960373</v>
      </c>
    </row>
    <row r="39" spans="1:20" x14ac:dyDescent="0.2">
      <c r="A39" s="1" t="str">
        <f>TRIM(TABELA2567[[#This Row],[PRODUTO]])&amp;TRIM(TABELA2567[[#This Row],[COR]])</f>
        <v>04.13.09090005</v>
      </c>
      <c r="B39" s="17" t="s">
        <v>137</v>
      </c>
      <c r="C39" s="18" t="s">
        <v>138</v>
      </c>
      <c r="D39" s="18" t="s">
        <v>32</v>
      </c>
      <c r="E39" s="18" t="s">
        <v>33</v>
      </c>
      <c r="F39" s="19">
        <v>184.44</v>
      </c>
      <c r="G39" s="18" t="s">
        <v>139</v>
      </c>
      <c r="H39" s="18"/>
      <c r="I39" s="18"/>
      <c r="J39" s="18"/>
      <c r="K39" s="18"/>
      <c r="L39" s="18"/>
      <c r="M39" s="18"/>
      <c r="N39" s="18"/>
      <c r="O39" s="18">
        <f>SUM(TABELA2567[[#This Row],[T1]:[T7]])</f>
        <v>0</v>
      </c>
      <c r="P39" s="20">
        <f>TABELA2567[[#This Row],[QTDE]]*TABELA2567[[#This Row],[PREÇO]]</f>
        <v>0</v>
      </c>
      <c r="Q39" s="38">
        <f>VLOOKUP($A:$A,[1]Planilha1!$B:$L,7,0)</f>
        <v>498</v>
      </c>
      <c r="R39" s="38">
        <f>VLOOKUP($A:$A,[1]Planilha1!$B:$L,8,0)</f>
        <v>226.36</v>
      </c>
      <c r="S39" s="37">
        <f>TABELA2567[[#This Row],[PREÇO]]/TABELA2567[[#This Row],[Coluna1]]-1</f>
        <v>-0.62963855421686743</v>
      </c>
      <c r="T39" s="37">
        <f>TABELA2567[[#This Row],[PREÇO]]/TABELA2567[[#This Row],[Coluna2]]-1</f>
        <v>-0.18519172998763034</v>
      </c>
    </row>
    <row r="40" spans="1:20" x14ac:dyDescent="0.2">
      <c r="A40" s="1" t="str">
        <f>TRIM(TABELA2567[[#This Row],[PRODUTO]])&amp;TRIM(TABELA2567[[#This Row],[COR]])</f>
        <v>04.13.091021015</v>
      </c>
      <c r="B40" s="17" t="s">
        <v>140</v>
      </c>
      <c r="C40" s="18" t="s">
        <v>141</v>
      </c>
      <c r="D40" s="18" t="s">
        <v>142</v>
      </c>
      <c r="E40" s="18" t="s">
        <v>143</v>
      </c>
      <c r="F40" s="19">
        <v>443.7</v>
      </c>
      <c r="G40" s="18" t="s">
        <v>31</v>
      </c>
      <c r="H40" s="18"/>
      <c r="I40" s="18"/>
      <c r="J40" s="18"/>
      <c r="K40" s="18"/>
      <c r="L40" s="18"/>
      <c r="M40" s="18"/>
      <c r="N40" s="18"/>
      <c r="O40" s="18">
        <f>SUM(TABELA2567[[#This Row],[T1]:[T7]])</f>
        <v>0</v>
      </c>
      <c r="P40" s="20">
        <f>TABELA2567[[#This Row],[QTDE]]*TABELA2567[[#This Row],[PREÇO]]</f>
        <v>0</v>
      </c>
      <c r="Q40" s="38">
        <f>VLOOKUP($A:$A,[1]Planilha1!$B:$L,7,0)</f>
        <v>1198</v>
      </c>
      <c r="R40" s="38">
        <f>VLOOKUP($A:$A,[1]Planilha1!$B:$L,8,0)</f>
        <v>544.54999999999995</v>
      </c>
      <c r="S40" s="37">
        <f>TABELA2567[[#This Row],[PREÇO]]/TABELA2567[[#This Row],[Coluna1]]-1</f>
        <v>-0.62963272120200342</v>
      </c>
      <c r="T40" s="37">
        <f>TABELA2567[[#This Row],[PREÇO]]/TABELA2567[[#This Row],[Coluna2]]-1</f>
        <v>-0.18519878799008349</v>
      </c>
    </row>
    <row r="41" spans="1:20" x14ac:dyDescent="0.2">
      <c r="A41" s="1" t="str">
        <f>TRIM(TABELA2567[[#This Row],[PRODUTO]])&amp;TRIM(TABELA2567[[#This Row],[COR]])</f>
        <v>04.13.09130005</v>
      </c>
      <c r="B41" s="17" t="s">
        <v>144</v>
      </c>
      <c r="C41" s="18" t="s">
        <v>145</v>
      </c>
      <c r="D41" s="18" t="s">
        <v>32</v>
      </c>
      <c r="E41" s="18" t="s">
        <v>33</v>
      </c>
      <c r="F41" s="19">
        <v>295.56</v>
      </c>
      <c r="G41" s="18" t="s">
        <v>31</v>
      </c>
      <c r="H41" s="18"/>
      <c r="I41" s="18"/>
      <c r="J41" s="18"/>
      <c r="K41" s="18"/>
      <c r="L41" s="18"/>
      <c r="M41" s="18"/>
      <c r="N41" s="18"/>
      <c r="O41" s="18">
        <f>SUM(TABELA2567[[#This Row],[T1]:[T7]])</f>
        <v>0</v>
      </c>
      <c r="P41" s="20">
        <f>TABELA2567[[#This Row],[QTDE]]*TABELA2567[[#This Row],[PREÇO]]</f>
        <v>0</v>
      </c>
      <c r="Q41" s="38">
        <f>VLOOKUP($A:$A,[1]Planilha1!$B:$L,7,0)</f>
        <v>798</v>
      </c>
      <c r="R41" s="38">
        <f>VLOOKUP($A:$A,[1]Planilha1!$B:$L,8,0)</f>
        <v>362.73</v>
      </c>
      <c r="S41" s="37">
        <f>TABELA2567[[#This Row],[PREÇO]]/TABELA2567[[#This Row],[Coluna1]]-1</f>
        <v>-0.62962406015037597</v>
      </c>
      <c r="T41" s="37">
        <f>TABELA2567[[#This Row],[PREÇO]]/TABELA2567[[#This Row],[Coluna2]]-1</f>
        <v>-0.18517905880406915</v>
      </c>
    </row>
    <row r="42" spans="1:20" x14ac:dyDescent="0.2">
      <c r="A42" s="1" t="str">
        <f>TRIM(TABELA2567[[#This Row],[PRODUTO]])&amp;TRIM(TABELA2567[[#This Row],[COR]])</f>
        <v>04.13.091301036</v>
      </c>
      <c r="B42" s="17" t="s">
        <v>144</v>
      </c>
      <c r="C42" s="18" t="s">
        <v>145</v>
      </c>
      <c r="D42" s="18" t="s">
        <v>113</v>
      </c>
      <c r="E42" s="18" t="s">
        <v>114</v>
      </c>
      <c r="F42" s="19">
        <v>295.56</v>
      </c>
      <c r="G42" s="18" t="s">
        <v>31</v>
      </c>
      <c r="H42" s="18"/>
      <c r="I42" s="18"/>
      <c r="J42" s="18"/>
      <c r="K42" s="18"/>
      <c r="L42" s="18"/>
      <c r="M42" s="18"/>
      <c r="N42" s="18"/>
      <c r="O42" s="18">
        <f>SUM(TABELA2567[[#This Row],[T1]:[T7]])</f>
        <v>0</v>
      </c>
      <c r="P42" s="20">
        <f>TABELA2567[[#This Row],[QTDE]]*TABELA2567[[#This Row],[PREÇO]]</f>
        <v>0</v>
      </c>
      <c r="Q42" s="38">
        <f>VLOOKUP($A:$A,[1]Planilha1!$B:$L,7,0)</f>
        <v>798</v>
      </c>
      <c r="R42" s="38">
        <f>VLOOKUP($A:$A,[1]Planilha1!$B:$L,8,0)</f>
        <v>362.73</v>
      </c>
      <c r="S42" s="37">
        <f>TABELA2567[[#This Row],[PREÇO]]/TABELA2567[[#This Row],[Coluna1]]-1</f>
        <v>-0.62962406015037597</v>
      </c>
      <c r="T42" s="37">
        <f>TABELA2567[[#This Row],[PREÇO]]/TABELA2567[[#This Row],[Coluna2]]-1</f>
        <v>-0.18517905880406915</v>
      </c>
    </row>
    <row r="43" spans="1:20" x14ac:dyDescent="0.2">
      <c r="A43" s="1" t="str">
        <f>TRIM(TABELA2567[[#This Row],[PRODUTO]])&amp;TRIM(TABELA2567[[#This Row],[COR]])</f>
        <v>04.13.09140930</v>
      </c>
      <c r="B43" s="17" t="s">
        <v>146</v>
      </c>
      <c r="C43" s="18" t="s">
        <v>147</v>
      </c>
      <c r="D43" s="18" t="s">
        <v>148</v>
      </c>
      <c r="E43" s="18" t="s">
        <v>96</v>
      </c>
      <c r="F43" s="19">
        <v>258.52</v>
      </c>
      <c r="G43" s="18" t="s">
        <v>31</v>
      </c>
      <c r="H43" s="18"/>
      <c r="I43" s="18"/>
      <c r="J43" s="18"/>
      <c r="K43" s="18"/>
      <c r="L43" s="18"/>
      <c r="M43" s="18"/>
      <c r="N43" s="18"/>
      <c r="O43" s="18">
        <f>SUM(TABELA2567[[#This Row],[T1]:[T7]])</f>
        <v>0</v>
      </c>
      <c r="P43" s="20">
        <f>TABELA2567[[#This Row],[QTDE]]*TABELA2567[[#This Row],[PREÇO]]</f>
        <v>0</v>
      </c>
      <c r="Q43" s="38">
        <f>VLOOKUP($A:$A,[1]Planilha1!$B:$L,7,0)</f>
        <v>698</v>
      </c>
      <c r="R43" s="38">
        <f>VLOOKUP($A:$A,[1]Planilha1!$B:$L,8,0)</f>
        <v>317.27</v>
      </c>
      <c r="S43" s="37">
        <f>TABELA2567[[#This Row],[PREÇO]]/TABELA2567[[#This Row],[Coluna1]]-1</f>
        <v>-0.62962750716332383</v>
      </c>
      <c r="T43" s="37">
        <f>TABELA2567[[#This Row],[PREÇO]]/TABELA2567[[#This Row],[Coluna2]]-1</f>
        <v>-0.18517351152015638</v>
      </c>
    </row>
    <row r="44" spans="1:20" x14ac:dyDescent="0.2">
      <c r="A44" s="1" t="str">
        <f>TRIM(TABELA2567[[#This Row],[PRODUTO]])&amp;TRIM(TABELA2567[[#This Row],[COR]])</f>
        <v>04.13.091501026</v>
      </c>
      <c r="B44" s="17" t="s">
        <v>149</v>
      </c>
      <c r="C44" s="18" t="s">
        <v>150</v>
      </c>
      <c r="D44" s="18" t="s">
        <v>151</v>
      </c>
      <c r="E44" s="18" t="s">
        <v>152</v>
      </c>
      <c r="F44" s="19">
        <v>332.59</v>
      </c>
      <c r="G44" s="18" t="s">
        <v>31</v>
      </c>
      <c r="H44" s="18"/>
      <c r="I44" s="18"/>
      <c r="J44" s="18"/>
      <c r="K44" s="18"/>
      <c r="L44" s="18"/>
      <c r="M44" s="18"/>
      <c r="N44" s="18"/>
      <c r="O44" s="18">
        <f>SUM(TABELA2567[[#This Row],[T1]:[T7]])</f>
        <v>0</v>
      </c>
      <c r="P44" s="20">
        <f>TABELA2567[[#This Row],[QTDE]]*TABELA2567[[#This Row],[PREÇO]]</f>
        <v>0</v>
      </c>
      <c r="Q44" s="38">
        <f>VLOOKUP($A:$A,[1]Planilha1!$B:$L,7,0)</f>
        <v>898</v>
      </c>
      <c r="R44" s="38">
        <f>VLOOKUP($A:$A,[1]Planilha1!$B:$L,8,0)</f>
        <v>408.18</v>
      </c>
      <c r="S44" s="37">
        <f>TABELA2567[[#This Row],[PREÇO]]/TABELA2567[[#This Row],[Coluna1]]-1</f>
        <v>-0.62963251670378617</v>
      </c>
      <c r="T44" s="37">
        <f>TABELA2567[[#This Row],[PREÇO]]/TABELA2567[[#This Row],[Coluna2]]-1</f>
        <v>-0.18518790729580092</v>
      </c>
    </row>
    <row r="45" spans="1:20" x14ac:dyDescent="0.2">
      <c r="A45" s="1" t="str">
        <f>TRIM(TABELA2567[[#This Row],[PRODUTO]])&amp;TRIM(TABELA2567[[#This Row],[COR]])</f>
        <v>04.13.091601026</v>
      </c>
      <c r="B45" s="17" t="s">
        <v>153</v>
      </c>
      <c r="C45" s="18" t="s">
        <v>154</v>
      </c>
      <c r="D45" s="18" t="s">
        <v>151</v>
      </c>
      <c r="E45" s="18" t="s">
        <v>152</v>
      </c>
      <c r="F45" s="19">
        <v>295.56</v>
      </c>
      <c r="G45" s="18" t="s">
        <v>31</v>
      </c>
      <c r="H45" s="18"/>
      <c r="I45" s="18"/>
      <c r="J45" s="18"/>
      <c r="K45" s="18"/>
      <c r="L45" s="18"/>
      <c r="M45" s="18"/>
      <c r="N45" s="18"/>
      <c r="O45" s="18">
        <f>SUM(TABELA2567[[#This Row],[T1]:[T7]])</f>
        <v>0</v>
      </c>
      <c r="P45" s="20">
        <f>TABELA2567[[#This Row],[QTDE]]*TABELA2567[[#This Row],[PREÇO]]</f>
        <v>0</v>
      </c>
      <c r="Q45" s="38">
        <f>VLOOKUP($A:$A,[1]Planilha1!$B:$L,7,0)</f>
        <v>798</v>
      </c>
      <c r="R45" s="38">
        <f>VLOOKUP($A:$A,[1]Planilha1!$B:$L,8,0)</f>
        <v>362.73</v>
      </c>
      <c r="S45" s="37">
        <f>TABELA2567[[#This Row],[PREÇO]]/TABELA2567[[#This Row],[Coluna1]]-1</f>
        <v>-0.62962406015037597</v>
      </c>
      <c r="T45" s="37">
        <f>TABELA2567[[#This Row],[PREÇO]]/TABELA2567[[#This Row],[Coluna2]]-1</f>
        <v>-0.18517905880406915</v>
      </c>
    </row>
    <row r="46" spans="1:20" x14ac:dyDescent="0.2">
      <c r="A46" s="1" t="str">
        <f>TRIM(TABELA2567[[#This Row],[PRODUTO]])&amp;TRIM(TABELA2567[[#This Row],[COR]])</f>
        <v>04.13.092021092</v>
      </c>
      <c r="B46" s="17" t="s">
        <v>155</v>
      </c>
      <c r="C46" s="18" t="s">
        <v>156</v>
      </c>
      <c r="D46" s="18" t="s">
        <v>119</v>
      </c>
      <c r="E46" s="18" t="s">
        <v>120</v>
      </c>
      <c r="F46" s="19">
        <v>184.44</v>
      </c>
      <c r="G46" s="18" t="s">
        <v>31</v>
      </c>
      <c r="H46" s="18"/>
      <c r="I46" s="18"/>
      <c r="J46" s="18"/>
      <c r="K46" s="18"/>
      <c r="L46" s="18"/>
      <c r="M46" s="18"/>
      <c r="N46" s="18"/>
      <c r="O46" s="18">
        <f>SUM(TABELA2567[[#This Row],[T1]:[T7]])</f>
        <v>0</v>
      </c>
      <c r="P46" s="20">
        <f>TABELA2567[[#This Row],[QTDE]]*TABELA2567[[#This Row],[PREÇO]]</f>
        <v>0</v>
      </c>
      <c r="Q46" s="38">
        <f>VLOOKUP($A:$A,[1]Planilha1!$B:$L,7,0)</f>
        <v>498</v>
      </c>
      <c r="R46" s="38">
        <f>VLOOKUP($A:$A,[1]Planilha1!$B:$L,8,0)</f>
        <v>226.36</v>
      </c>
      <c r="S46" s="37">
        <f>TABELA2567[[#This Row],[PREÇO]]/TABELA2567[[#This Row],[Coluna1]]-1</f>
        <v>-0.62963855421686743</v>
      </c>
      <c r="T46" s="37">
        <f>TABELA2567[[#This Row],[PREÇO]]/TABELA2567[[#This Row],[Coluna2]]-1</f>
        <v>-0.18519172998763034</v>
      </c>
    </row>
    <row r="47" spans="1:20" x14ac:dyDescent="0.2">
      <c r="A47" s="1" t="str">
        <f>TRIM(TABELA2567[[#This Row],[PRODUTO]])&amp;TRIM(TABELA2567[[#This Row],[COR]])</f>
        <v>04.13.092121048</v>
      </c>
      <c r="B47" s="17" t="s">
        <v>157</v>
      </c>
      <c r="C47" s="18" t="s">
        <v>158</v>
      </c>
      <c r="D47" s="18" t="s">
        <v>159</v>
      </c>
      <c r="E47" s="18" t="s">
        <v>160</v>
      </c>
      <c r="F47" s="19">
        <v>184.44</v>
      </c>
      <c r="G47" s="18" t="s">
        <v>31</v>
      </c>
      <c r="H47" s="18"/>
      <c r="I47" s="18"/>
      <c r="J47" s="18"/>
      <c r="K47" s="18"/>
      <c r="L47" s="18"/>
      <c r="M47" s="18"/>
      <c r="N47" s="18"/>
      <c r="O47" s="18">
        <f>SUM(TABELA2567[[#This Row],[T1]:[T7]])</f>
        <v>0</v>
      </c>
      <c r="P47" s="20">
        <f>TABELA2567[[#This Row],[QTDE]]*TABELA2567[[#This Row],[PREÇO]]</f>
        <v>0</v>
      </c>
      <c r="Q47" s="38">
        <f>VLOOKUP($A:$A,[1]Planilha1!$B:$L,7,0)</f>
        <v>498</v>
      </c>
      <c r="R47" s="38">
        <f>VLOOKUP($A:$A,[1]Planilha1!$B:$L,8,0)</f>
        <v>226.36</v>
      </c>
      <c r="S47" s="37">
        <f>TABELA2567[[#This Row],[PREÇO]]/TABELA2567[[#This Row],[Coluna1]]-1</f>
        <v>-0.62963855421686743</v>
      </c>
      <c r="T47" s="37">
        <f>TABELA2567[[#This Row],[PREÇO]]/TABELA2567[[#This Row],[Coluna2]]-1</f>
        <v>-0.18519172998763034</v>
      </c>
    </row>
    <row r="48" spans="1:20" x14ac:dyDescent="0.2">
      <c r="A48" s="1" t="str">
        <f>TRIM(TABELA2567[[#This Row],[PRODUTO]])&amp;TRIM(TABELA2567[[#This Row],[COR]])</f>
        <v>04.13.092421104</v>
      </c>
      <c r="B48" s="17" t="s">
        <v>161</v>
      </c>
      <c r="C48" s="18" t="s">
        <v>162</v>
      </c>
      <c r="D48" s="18" t="s">
        <v>163</v>
      </c>
      <c r="E48" s="18" t="s">
        <v>164</v>
      </c>
      <c r="F48" s="19">
        <v>517.78</v>
      </c>
      <c r="G48" s="18" t="s">
        <v>31</v>
      </c>
      <c r="H48" s="18"/>
      <c r="I48" s="18"/>
      <c r="J48" s="18"/>
      <c r="K48" s="18"/>
      <c r="L48" s="18"/>
      <c r="M48" s="18"/>
      <c r="N48" s="18"/>
      <c r="O48" s="18">
        <f>SUM(TABELA2567[[#This Row],[T1]:[T7]])</f>
        <v>0</v>
      </c>
      <c r="P48" s="20">
        <f>TABELA2567[[#This Row],[QTDE]]*TABELA2567[[#This Row],[PREÇO]]</f>
        <v>0</v>
      </c>
      <c r="Q48" s="38">
        <f>VLOOKUP($A:$A,[1]Planilha1!$B:$L,7,0)</f>
        <v>1398</v>
      </c>
      <c r="R48" s="38">
        <f>VLOOKUP($A:$A,[1]Planilha1!$B:$L,8,0)</f>
        <v>635.45000000000005</v>
      </c>
      <c r="S48" s="37">
        <f>TABELA2567[[#This Row],[PREÇO]]/TABELA2567[[#This Row],[Coluna1]]-1</f>
        <v>-0.62962804005722461</v>
      </c>
      <c r="T48" s="37">
        <f>TABELA2567[[#This Row],[PREÇO]]/TABELA2567[[#This Row],[Coluna2]]-1</f>
        <v>-0.18517585962703609</v>
      </c>
    </row>
    <row r="49" spans="1:20" x14ac:dyDescent="0.2">
      <c r="A49" s="1" t="str">
        <f>TRIM(TABELA2567[[#This Row],[PRODUTO]])&amp;TRIM(TABELA2567[[#This Row],[COR]])</f>
        <v>04.13.09250005</v>
      </c>
      <c r="B49" s="17" t="s">
        <v>165</v>
      </c>
      <c r="C49" s="18" t="s">
        <v>166</v>
      </c>
      <c r="D49" s="18" t="s">
        <v>32</v>
      </c>
      <c r="E49" s="18" t="s">
        <v>33</v>
      </c>
      <c r="F49" s="19">
        <v>1110.3699999999999</v>
      </c>
      <c r="G49" s="18" t="s">
        <v>31</v>
      </c>
      <c r="H49" s="18"/>
      <c r="I49" s="18"/>
      <c r="J49" s="18"/>
      <c r="K49" s="18"/>
      <c r="L49" s="18"/>
      <c r="M49" s="18"/>
      <c r="N49" s="18"/>
      <c r="O49" s="18">
        <f>SUM(TABELA2567[[#This Row],[T1]:[T7]])</f>
        <v>0</v>
      </c>
      <c r="P49" s="20">
        <f>TABELA2567[[#This Row],[QTDE]]*TABELA2567[[#This Row],[PREÇO]]</f>
        <v>0</v>
      </c>
      <c r="Q49" s="38">
        <f>VLOOKUP($A:$A,[1]Planilha1!$B:$L,7,0)</f>
        <v>2998</v>
      </c>
      <c r="R49" s="38">
        <f>VLOOKUP($A:$A,[1]Planilha1!$B:$L,8,0)</f>
        <v>1362.73</v>
      </c>
      <c r="S49" s="37">
        <f>TABELA2567[[#This Row],[PREÇO]]/TABELA2567[[#This Row],[Coluna1]]-1</f>
        <v>-0.62962975316877923</v>
      </c>
      <c r="T49" s="37">
        <f>TABELA2567[[#This Row],[PREÇO]]/TABELA2567[[#This Row],[Coluna2]]-1</f>
        <v>-0.18518708768428094</v>
      </c>
    </row>
    <row r="50" spans="1:20" x14ac:dyDescent="0.2">
      <c r="A50" s="1" t="str">
        <f>TRIM(TABELA2567[[#This Row],[PRODUTO]])&amp;TRIM(TABELA2567[[#This Row],[COR]])</f>
        <v>04.13.09260005</v>
      </c>
      <c r="B50" s="17" t="s">
        <v>167</v>
      </c>
      <c r="C50" s="18" t="s">
        <v>168</v>
      </c>
      <c r="D50" s="18" t="s">
        <v>32</v>
      </c>
      <c r="E50" s="18" t="s">
        <v>33</v>
      </c>
      <c r="F50" s="19">
        <v>1480.74</v>
      </c>
      <c r="G50" s="18" t="s">
        <v>31</v>
      </c>
      <c r="H50" s="18"/>
      <c r="I50" s="18"/>
      <c r="J50" s="18"/>
      <c r="K50" s="18"/>
      <c r="L50" s="18"/>
      <c r="M50" s="18"/>
      <c r="N50" s="18"/>
      <c r="O50" s="18">
        <f>SUM(TABELA2567[[#This Row],[T1]:[T7]])</f>
        <v>0</v>
      </c>
      <c r="P50" s="20">
        <f>TABELA2567[[#This Row],[QTDE]]*TABELA2567[[#This Row],[PREÇO]]</f>
        <v>0</v>
      </c>
      <c r="Q50" s="38">
        <f>VLOOKUP($A:$A,[1]Planilha1!$B:$L,7,0)</f>
        <v>3998</v>
      </c>
      <c r="R50" s="38">
        <f>VLOOKUP($A:$A,[1]Planilha1!$B:$L,8,0)</f>
        <v>1817.27</v>
      </c>
      <c r="S50" s="37">
        <f>TABELA2567[[#This Row],[PREÇO]]/TABELA2567[[#This Row],[Coluna1]]-1</f>
        <v>-0.62962981490745373</v>
      </c>
      <c r="T50" s="37">
        <f>TABELA2567[[#This Row],[PREÇO]]/TABELA2567[[#This Row],[Coluna2]]-1</f>
        <v>-0.18518436996153564</v>
      </c>
    </row>
    <row r="51" spans="1:20" x14ac:dyDescent="0.2">
      <c r="A51" s="1" t="str">
        <f>TRIM(TABELA2567[[#This Row],[PRODUTO]])&amp;TRIM(TABELA2567[[#This Row],[COR]])</f>
        <v>04.13.093801026</v>
      </c>
      <c r="B51" s="17" t="s">
        <v>169</v>
      </c>
      <c r="C51" s="18" t="s">
        <v>170</v>
      </c>
      <c r="D51" s="18" t="s">
        <v>151</v>
      </c>
      <c r="E51" s="18" t="s">
        <v>152</v>
      </c>
      <c r="F51" s="19">
        <v>332.59</v>
      </c>
      <c r="G51" s="18" t="s">
        <v>31</v>
      </c>
      <c r="H51" s="18"/>
      <c r="I51" s="18"/>
      <c r="J51" s="18"/>
      <c r="K51" s="18"/>
      <c r="L51" s="18"/>
      <c r="M51" s="18"/>
      <c r="N51" s="18"/>
      <c r="O51" s="18">
        <f>SUM(TABELA2567[[#This Row],[T1]:[T7]])</f>
        <v>0</v>
      </c>
      <c r="P51" s="20">
        <f>TABELA2567[[#This Row],[QTDE]]*TABELA2567[[#This Row],[PREÇO]]</f>
        <v>0</v>
      </c>
      <c r="Q51" s="38">
        <f>VLOOKUP($A:$A,[1]Planilha1!$B:$L,7,0)</f>
        <v>898</v>
      </c>
      <c r="R51" s="38">
        <f>VLOOKUP($A:$A,[1]Planilha1!$B:$L,8,0)</f>
        <v>408.18</v>
      </c>
      <c r="S51" s="37">
        <f>TABELA2567[[#This Row],[PREÇO]]/TABELA2567[[#This Row],[Coluna1]]-1</f>
        <v>-0.62963251670378617</v>
      </c>
      <c r="T51" s="37">
        <f>TABELA2567[[#This Row],[PREÇO]]/TABELA2567[[#This Row],[Coluna2]]-1</f>
        <v>-0.18518790729580092</v>
      </c>
    </row>
    <row r="52" spans="1:20" x14ac:dyDescent="0.2">
      <c r="A52" s="1" t="str">
        <f>TRIM(TABELA2567[[#This Row],[PRODUTO]])&amp;TRIM(TABELA2567[[#This Row],[COR]])</f>
        <v>04.13.094421104</v>
      </c>
      <c r="B52" s="17" t="s">
        <v>171</v>
      </c>
      <c r="C52" s="18" t="s">
        <v>172</v>
      </c>
      <c r="D52" s="18" t="s">
        <v>163</v>
      </c>
      <c r="E52" s="18" t="s">
        <v>164</v>
      </c>
      <c r="F52" s="19">
        <v>369.63</v>
      </c>
      <c r="G52" s="18" t="s">
        <v>31</v>
      </c>
      <c r="H52" s="18"/>
      <c r="I52" s="18"/>
      <c r="J52" s="18"/>
      <c r="K52" s="18"/>
      <c r="L52" s="18"/>
      <c r="M52" s="18"/>
      <c r="N52" s="18"/>
      <c r="O52" s="18">
        <f>SUM(TABELA2567[[#This Row],[T1]:[T7]])</f>
        <v>0</v>
      </c>
      <c r="P52" s="20">
        <f>TABELA2567[[#This Row],[QTDE]]*TABELA2567[[#This Row],[PREÇO]]</f>
        <v>0</v>
      </c>
      <c r="Q52" s="38">
        <f>VLOOKUP($A:$A,[1]Planilha1!$B:$L,7,0)</f>
        <v>998</v>
      </c>
      <c r="R52" s="38">
        <f>VLOOKUP($A:$A,[1]Planilha1!$B:$L,8,0)</f>
        <v>453.64</v>
      </c>
      <c r="S52" s="37">
        <f>TABELA2567[[#This Row],[PREÇO]]/TABELA2567[[#This Row],[Coluna1]]-1</f>
        <v>-0.629629258517034</v>
      </c>
      <c r="T52" s="37">
        <f>TABELA2567[[#This Row],[PREÇO]]/TABELA2567[[#This Row],[Coluna2]]-1</f>
        <v>-0.18519090027334451</v>
      </c>
    </row>
    <row r="53" spans="1:20" x14ac:dyDescent="0.2">
      <c r="A53" s="1" t="str">
        <f>TRIM(TABELA2567[[#This Row],[PRODUTO]])&amp;TRIM(TABELA2567[[#This Row],[COR]])</f>
        <v>04.13.095421376</v>
      </c>
      <c r="B53" s="17" t="s">
        <v>173</v>
      </c>
      <c r="C53" s="18" t="s">
        <v>174</v>
      </c>
      <c r="D53" s="18" t="s">
        <v>175</v>
      </c>
      <c r="E53" s="18" t="s">
        <v>176</v>
      </c>
      <c r="F53" s="19">
        <v>295.56</v>
      </c>
      <c r="G53" s="18" t="s">
        <v>31</v>
      </c>
      <c r="H53" s="18"/>
      <c r="I53" s="18"/>
      <c r="J53" s="18"/>
      <c r="K53" s="18"/>
      <c r="L53" s="18"/>
      <c r="M53" s="18"/>
      <c r="N53" s="18"/>
      <c r="O53" s="18">
        <f>SUM(TABELA2567[[#This Row],[T1]:[T7]])</f>
        <v>0</v>
      </c>
      <c r="P53" s="20">
        <f>TABELA2567[[#This Row],[QTDE]]*TABELA2567[[#This Row],[PREÇO]]</f>
        <v>0</v>
      </c>
      <c r="Q53" s="38">
        <f>VLOOKUP($A:$A,[1]Planilha1!$B:$L,7,0)</f>
        <v>798</v>
      </c>
      <c r="R53" s="38">
        <f>VLOOKUP($A:$A,[1]Planilha1!$B:$L,8,0)</f>
        <v>362.73</v>
      </c>
      <c r="S53" s="37">
        <f>TABELA2567[[#This Row],[PREÇO]]/TABELA2567[[#This Row],[Coluna1]]-1</f>
        <v>-0.62962406015037597</v>
      </c>
      <c r="T53" s="37">
        <f>TABELA2567[[#This Row],[PREÇO]]/TABELA2567[[#This Row],[Coluna2]]-1</f>
        <v>-0.18517905880406915</v>
      </c>
    </row>
    <row r="54" spans="1:20" x14ac:dyDescent="0.2">
      <c r="A54" s="1" t="str">
        <f>TRIM(TABELA2567[[#This Row],[PRODUTO]])&amp;TRIM(TABELA2567[[#This Row],[COR]])</f>
        <v>04.16.02330105</v>
      </c>
      <c r="B54" s="17" t="s">
        <v>177</v>
      </c>
      <c r="C54" s="18" t="s">
        <v>178</v>
      </c>
      <c r="D54" s="18" t="s">
        <v>48</v>
      </c>
      <c r="E54" s="18" t="s">
        <v>49</v>
      </c>
      <c r="F54" s="19">
        <v>147.41</v>
      </c>
      <c r="G54" s="18" t="s">
        <v>31</v>
      </c>
      <c r="H54" s="18"/>
      <c r="I54" s="18"/>
      <c r="J54" s="18"/>
      <c r="K54" s="18"/>
      <c r="L54" s="18"/>
      <c r="M54" s="18"/>
      <c r="N54" s="18"/>
      <c r="O54" s="18">
        <f>SUM(TABELA2567[[#This Row],[T1]:[T7]])</f>
        <v>0</v>
      </c>
      <c r="P54" s="20">
        <f>TABELA2567[[#This Row],[QTDE]]*TABELA2567[[#This Row],[PREÇO]]</f>
        <v>0</v>
      </c>
      <c r="Q54" s="38">
        <f>VLOOKUP($A:$A,[1]Planilha1!$B:$L,7,0)</f>
        <v>398</v>
      </c>
      <c r="R54" s="38">
        <f>VLOOKUP($A:$A,[1]Planilha1!$B:$L,8,0)</f>
        <v>180.91</v>
      </c>
      <c r="S54" s="37">
        <f>TABELA2567[[#This Row],[PREÇO]]/TABELA2567[[#This Row],[Coluna1]]-1</f>
        <v>-0.62962311557788952</v>
      </c>
      <c r="T54" s="37">
        <f>TABELA2567[[#This Row],[PREÇO]]/TABELA2567[[#This Row],[Coluna2]]-1</f>
        <v>-0.18517494886960373</v>
      </c>
    </row>
    <row r="55" spans="1:20" x14ac:dyDescent="0.2">
      <c r="A55" s="1" t="str">
        <f>TRIM(TABELA2567[[#This Row],[PRODUTO]])&amp;TRIM(TABELA2567[[#This Row],[COR]])</f>
        <v>04.16.02342290</v>
      </c>
      <c r="B55" s="17" t="s">
        <v>179</v>
      </c>
      <c r="C55" s="18" t="s">
        <v>180</v>
      </c>
      <c r="D55" s="18" t="s">
        <v>181</v>
      </c>
      <c r="E55" s="18" t="s">
        <v>182</v>
      </c>
      <c r="F55" s="19">
        <v>121.48</v>
      </c>
      <c r="G55" s="18" t="s">
        <v>31</v>
      </c>
      <c r="H55" s="18"/>
      <c r="I55" s="18"/>
      <c r="J55" s="18"/>
      <c r="K55" s="18"/>
      <c r="L55" s="18"/>
      <c r="M55" s="18"/>
      <c r="N55" s="18"/>
      <c r="O55" s="18">
        <f>SUM(TABELA2567[[#This Row],[T1]:[T7]])</f>
        <v>0</v>
      </c>
      <c r="P55" s="20">
        <f>TABELA2567[[#This Row],[QTDE]]*TABELA2567[[#This Row],[PREÇO]]</f>
        <v>0</v>
      </c>
      <c r="Q55" s="38">
        <f>VLOOKUP($A:$A,[1]Planilha1!$B:$L,7,0)</f>
        <v>328</v>
      </c>
      <c r="R55" s="38">
        <f>VLOOKUP($A:$A,[1]Planilha1!$B:$L,8,0)</f>
        <v>149.09</v>
      </c>
      <c r="S55" s="37">
        <f>TABELA2567[[#This Row],[PREÇO]]/TABELA2567[[#This Row],[Coluna1]]-1</f>
        <v>-0.62963414634146342</v>
      </c>
      <c r="T55" s="37">
        <f>TABELA2567[[#This Row],[PREÇO]]/TABELA2567[[#This Row],[Coluna2]]-1</f>
        <v>-0.18519015359849755</v>
      </c>
    </row>
    <row r="56" spans="1:20" x14ac:dyDescent="0.2">
      <c r="A56" s="1" t="str">
        <f>TRIM(TABELA2567[[#This Row],[PRODUTO]])&amp;TRIM(TABELA2567[[#This Row],[COR]])</f>
        <v>04.50.011021060</v>
      </c>
      <c r="B56" s="17" t="s">
        <v>183</v>
      </c>
      <c r="C56" s="18" t="s">
        <v>184</v>
      </c>
      <c r="D56" s="18" t="s">
        <v>185</v>
      </c>
      <c r="E56" s="18" t="s">
        <v>186</v>
      </c>
      <c r="F56" s="19">
        <v>221.48</v>
      </c>
      <c r="G56" s="18" t="s">
        <v>31</v>
      </c>
      <c r="H56" s="18"/>
      <c r="I56" s="18"/>
      <c r="J56" s="18"/>
      <c r="K56" s="18"/>
      <c r="L56" s="18"/>
      <c r="M56" s="18"/>
      <c r="N56" s="18"/>
      <c r="O56" s="18">
        <f>SUM(TABELA2567[[#This Row],[T1]:[T7]])</f>
        <v>0</v>
      </c>
      <c r="P56" s="20">
        <f>TABELA2567[[#This Row],[QTDE]]*TABELA2567[[#This Row],[PREÇO]]</f>
        <v>0</v>
      </c>
      <c r="Q56" s="38">
        <f>VLOOKUP($A:$A,[1]Planilha1!$B:$L,7,0)</f>
        <v>598</v>
      </c>
      <c r="R56" s="38">
        <f>VLOOKUP($A:$A,[1]Planilha1!$B:$L,8,0)</f>
        <v>271.82</v>
      </c>
      <c r="S56" s="37">
        <f>TABELA2567[[#This Row],[PREÇO]]/TABELA2567[[#This Row],[Coluna1]]-1</f>
        <v>-0.62963210702341144</v>
      </c>
      <c r="T56" s="37">
        <f>TABELA2567[[#This Row],[PREÇO]]/TABELA2567[[#This Row],[Coluna2]]-1</f>
        <v>-0.18519608564491208</v>
      </c>
    </row>
    <row r="57" spans="1:20" x14ac:dyDescent="0.2">
      <c r="A57" s="1" t="str">
        <f>TRIM(TABELA2567[[#This Row],[PRODUTO]])&amp;TRIM(TABELA2567[[#This Row],[COR]])</f>
        <v>04.69.17120105</v>
      </c>
      <c r="B57" s="17" t="s">
        <v>187</v>
      </c>
      <c r="C57" s="18" t="s">
        <v>188</v>
      </c>
      <c r="D57" s="18" t="s">
        <v>48</v>
      </c>
      <c r="E57" s="18" t="s">
        <v>49</v>
      </c>
      <c r="F57" s="19">
        <v>121.48</v>
      </c>
      <c r="G57" s="18" t="s">
        <v>31</v>
      </c>
      <c r="H57" s="18"/>
      <c r="I57" s="18"/>
      <c r="J57" s="18"/>
      <c r="K57" s="18"/>
      <c r="L57" s="18"/>
      <c r="M57" s="18"/>
      <c r="N57" s="18"/>
      <c r="O57" s="18">
        <f>SUM(TABELA2567[[#This Row],[T1]:[T7]])</f>
        <v>0</v>
      </c>
      <c r="P57" s="20">
        <f>TABELA2567[[#This Row],[QTDE]]*TABELA2567[[#This Row],[PREÇO]]</f>
        <v>0</v>
      </c>
      <c r="Q57" s="38">
        <f>VLOOKUP($A:$A,[1]Planilha1!$B:$L,7,0)</f>
        <v>328</v>
      </c>
      <c r="R57" s="38">
        <f>VLOOKUP($A:$A,[1]Planilha1!$B:$L,8,0)</f>
        <v>149.09</v>
      </c>
      <c r="S57" s="37">
        <f>TABELA2567[[#This Row],[PREÇO]]/TABELA2567[[#This Row],[Coluna1]]-1</f>
        <v>-0.62963414634146342</v>
      </c>
      <c r="T57" s="37">
        <f>TABELA2567[[#This Row],[PREÇO]]/TABELA2567[[#This Row],[Coluna2]]-1</f>
        <v>-0.18519015359849755</v>
      </c>
    </row>
    <row r="58" spans="1:20" x14ac:dyDescent="0.2">
      <c r="A58" s="1" t="str">
        <f>TRIM(TABELA2567[[#This Row],[PRODUTO]])&amp;TRIM(TABELA2567[[#This Row],[COR]])</f>
        <v>04.69.17130101</v>
      </c>
      <c r="B58" s="17" t="s">
        <v>189</v>
      </c>
      <c r="C58" s="18" t="s">
        <v>190</v>
      </c>
      <c r="D58" s="18" t="s">
        <v>50</v>
      </c>
      <c r="E58" s="18" t="s">
        <v>51</v>
      </c>
      <c r="F58" s="19">
        <v>110.37</v>
      </c>
      <c r="G58" s="18" t="s">
        <v>31</v>
      </c>
      <c r="H58" s="18"/>
      <c r="I58" s="18"/>
      <c r="J58" s="18"/>
      <c r="K58" s="18"/>
      <c r="L58" s="18"/>
      <c r="M58" s="18"/>
      <c r="N58" s="18"/>
      <c r="O58" s="18">
        <f>SUM(TABELA2567[[#This Row],[T1]:[T7]])</f>
        <v>0</v>
      </c>
      <c r="P58" s="20">
        <f>TABELA2567[[#This Row],[QTDE]]*TABELA2567[[#This Row],[PREÇO]]</f>
        <v>0</v>
      </c>
      <c r="Q58" s="38">
        <f>VLOOKUP($A:$A,[1]Planilha1!$B:$L,7,0)</f>
        <v>298</v>
      </c>
      <c r="R58" s="38">
        <f>VLOOKUP($A:$A,[1]Planilha1!$B:$L,8,0)</f>
        <v>135.44999999999999</v>
      </c>
      <c r="S58" s="37">
        <f>TABELA2567[[#This Row],[PREÇO]]/TABELA2567[[#This Row],[Coluna1]]-1</f>
        <v>-0.62963087248322147</v>
      </c>
      <c r="T58" s="37">
        <f>TABELA2567[[#This Row],[PREÇO]]/TABELA2567[[#This Row],[Coluna2]]-1</f>
        <v>-0.18516057585825019</v>
      </c>
    </row>
    <row r="59" spans="1:20" x14ac:dyDescent="0.2">
      <c r="A59" s="1" t="str">
        <f>TRIM(TABELA2567[[#This Row],[PRODUTO]])&amp;TRIM(TABELA2567[[#This Row],[COR]])</f>
        <v>04.69.17140105</v>
      </c>
      <c r="B59" s="17" t="s">
        <v>191</v>
      </c>
      <c r="C59" s="18" t="s">
        <v>192</v>
      </c>
      <c r="D59" s="18" t="s">
        <v>48</v>
      </c>
      <c r="E59" s="18" t="s">
        <v>49</v>
      </c>
      <c r="F59" s="19">
        <v>147.41</v>
      </c>
      <c r="G59" s="18" t="s">
        <v>31</v>
      </c>
      <c r="H59" s="18"/>
      <c r="I59" s="18"/>
      <c r="J59" s="18"/>
      <c r="K59" s="18"/>
      <c r="L59" s="18"/>
      <c r="M59" s="18"/>
      <c r="N59" s="18"/>
      <c r="O59" s="18">
        <f>SUM(TABELA2567[[#This Row],[T1]:[T7]])</f>
        <v>0</v>
      </c>
      <c r="P59" s="20">
        <f>TABELA2567[[#This Row],[QTDE]]*TABELA2567[[#This Row],[PREÇO]]</f>
        <v>0</v>
      </c>
      <c r="Q59" s="38">
        <f>VLOOKUP($A:$A,[1]Planilha1!$B:$L,7,0)</f>
        <v>398</v>
      </c>
      <c r="R59" s="38">
        <f>VLOOKUP($A:$A,[1]Planilha1!$B:$L,8,0)</f>
        <v>180.91</v>
      </c>
      <c r="S59" s="37">
        <f>TABELA2567[[#This Row],[PREÇO]]/TABELA2567[[#This Row],[Coluna1]]-1</f>
        <v>-0.62962311557788952</v>
      </c>
      <c r="T59" s="37">
        <f>TABELA2567[[#This Row],[PREÇO]]/TABELA2567[[#This Row],[Coluna2]]-1</f>
        <v>-0.18517494886960373</v>
      </c>
    </row>
    <row r="60" spans="1:20" x14ac:dyDescent="0.2">
      <c r="A60" s="1" t="str">
        <f>TRIM(TABELA2567[[#This Row],[PRODUTO]])&amp;TRIM(TABELA2567[[#This Row],[COR]])</f>
        <v>04.69.17160105</v>
      </c>
      <c r="B60" s="17" t="s">
        <v>193</v>
      </c>
      <c r="C60" s="18" t="s">
        <v>194</v>
      </c>
      <c r="D60" s="18" t="s">
        <v>48</v>
      </c>
      <c r="E60" s="18" t="s">
        <v>49</v>
      </c>
      <c r="F60" s="19">
        <v>110.37</v>
      </c>
      <c r="G60" s="18" t="s">
        <v>31</v>
      </c>
      <c r="H60" s="18"/>
      <c r="I60" s="18"/>
      <c r="J60" s="18"/>
      <c r="K60" s="18"/>
      <c r="L60" s="18"/>
      <c r="M60" s="18"/>
      <c r="N60" s="18"/>
      <c r="O60" s="18">
        <f>SUM(TABELA2567[[#This Row],[T1]:[T7]])</f>
        <v>0</v>
      </c>
      <c r="P60" s="20">
        <f>TABELA2567[[#This Row],[QTDE]]*TABELA2567[[#This Row],[PREÇO]]</f>
        <v>0</v>
      </c>
      <c r="Q60" s="38">
        <f>VLOOKUP($A:$A,[1]Planilha1!$B:$L,7,0)</f>
        <v>298</v>
      </c>
      <c r="R60" s="38">
        <f>VLOOKUP($A:$A,[1]Planilha1!$B:$L,8,0)</f>
        <v>135.44999999999999</v>
      </c>
      <c r="S60" s="37">
        <f>TABELA2567[[#This Row],[PREÇO]]/TABELA2567[[#This Row],[Coluna1]]-1</f>
        <v>-0.62963087248322147</v>
      </c>
      <c r="T60" s="37">
        <f>TABELA2567[[#This Row],[PREÇO]]/TABELA2567[[#This Row],[Coluna2]]-1</f>
        <v>-0.18516057585825019</v>
      </c>
    </row>
    <row r="61" spans="1:20" x14ac:dyDescent="0.2">
      <c r="A61" s="1" t="str">
        <f>TRIM(TABELA2567[[#This Row],[PRODUTO]])&amp;TRIM(TABELA2567[[#This Row],[COR]])</f>
        <v>04.69.171701035</v>
      </c>
      <c r="B61" s="17" t="s">
        <v>195</v>
      </c>
      <c r="C61" s="18" t="s">
        <v>196</v>
      </c>
      <c r="D61" s="18" t="s">
        <v>89</v>
      </c>
      <c r="E61" s="18" t="s">
        <v>90</v>
      </c>
      <c r="F61" s="19">
        <v>165.93</v>
      </c>
      <c r="G61" s="18" t="s">
        <v>31</v>
      </c>
      <c r="H61" s="18"/>
      <c r="I61" s="18"/>
      <c r="J61" s="18"/>
      <c r="K61" s="18"/>
      <c r="L61" s="18"/>
      <c r="M61" s="18"/>
      <c r="N61" s="18"/>
      <c r="O61" s="18">
        <f>SUM(TABELA2567[[#This Row],[T1]:[T7]])</f>
        <v>0</v>
      </c>
      <c r="P61" s="20">
        <f>TABELA2567[[#This Row],[QTDE]]*TABELA2567[[#This Row],[PREÇO]]</f>
        <v>0</v>
      </c>
      <c r="Q61" s="38">
        <f>VLOOKUP($A:$A,[1]Planilha1!$B:$L,7,0)</f>
        <v>448</v>
      </c>
      <c r="R61" s="38">
        <f>VLOOKUP($A:$A,[1]Planilha1!$B:$L,8,0)</f>
        <v>203.64</v>
      </c>
      <c r="S61" s="37">
        <f>TABELA2567[[#This Row],[PREÇO]]/TABELA2567[[#This Row],[Coluna1]]-1</f>
        <v>-0.62962053571428567</v>
      </c>
      <c r="T61" s="37">
        <f>TABELA2567[[#This Row],[PREÇO]]/TABELA2567[[#This Row],[Coluna2]]-1</f>
        <v>-0.18517972893341184</v>
      </c>
    </row>
    <row r="62" spans="1:20" x14ac:dyDescent="0.2">
      <c r="A62" s="1" t="str">
        <f>TRIM(TABELA2567[[#This Row],[PRODUTO]])&amp;TRIM(TABELA2567[[#This Row],[COR]])</f>
        <v>04.69.17210105</v>
      </c>
      <c r="B62" s="17" t="s">
        <v>197</v>
      </c>
      <c r="C62" s="18" t="s">
        <v>198</v>
      </c>
      <c r="D62" s="18" t="s">
        <v>48</v>
      </c>
      <c r="E62" s="18" t="s">
        <v>49</v>
      </c>
      <c r="F62" s="19">
        <v>147.41</v>
      </c>
      <c r="G62" s="18" t="s">
        <v>31</v>
      </c>
      <c r="H62" s="18"/>
      <c r="I62" s="18"/>
      <c r="J62" s="18"/>
      <c r="K62" s="18"/>
      <c r="L62" s="18"/>
      <c r="M62" s="18"/>
      <c r="N62" s="18"/>
      <c r="O62" s="18">
        <f>SUM(TABELA2567[[#This Row],[T1]:[T7]])</f>
        <v>0</v>
      </c>
      <c r="P62" s="20">
        <f>TABELA2567[[#This Row],[QTDE]]*TABELA2567[[#This Row],[PREÇO]]</f>
        <v>0</v>
      </c>
      <c r="Q62" s="38">
        <f>VLOOKUP($A:$A,[1]Planilha1!$B:$L,7,0)</f>
        <v>398</v>
      </c>
      <c r="R62" s="38">
        <f>VLOOKUP($A:$A,[1]Planilha1!$B:$L,8,0)</f>
        <v>180.91</v>
      </c>
      <c r="S62" s="37">
        <f>TABELA2567[[#This Row],[PREÇO]]/TABELA2567[[#This Row],[Coluna1]]-1</f>
        <v>-0.62962311557788952</v>
      </c>
      <c r="T62" s="37">
        <f>TABELA2567[[#This Row],[PREÇO]]/TABELA2567[[#This Row],[Coluna2]]-1</f>
        <v>-0.18517494886960373</v>
      </c>
    </row>
    <row r="63" spans="1:20" x14ac:dyDescent="0.2">
      <c r="A63" s="1" t="str">
        <f>TRIM(TABELA2567[[#This Row],[PRODUTO]])&amp;TRIM(TABELA2567[[#This Row],[COR]])</f>
        <v>04.69.17250109</v>
      </c>
      <c r="B63" s="17" t="s">
        <v>199</v>
      </c>
      <c r="C63" s="18" t="s">
        <v>200</v>
      </c>
      <c r="D63" s="18" t="s">
        <v>52</v>
      </c>
      <c r="E63" s="18" t="s">
        <v>53</v>
      </c>
      <c r="F63" s="19">
        <v>110.37</v>
      </c>
      <c r="G63" s="18" t="s">
        <v>31</v>
      </c>
      <c r="H63" s="18"/>
      <c r="I63" s="18"/>
      <c r="J63" s="18"/>
      <c r="K63" s="18"/>
      <c r="L63" s="18"/>
      <c r="M63" s="18"/>
      <c r="N63" s="18"/>
      <c r="O63" s="18">
        <f>SUM(TABELA2567[[#This Row],[T1]:[T7]])</f>
        <v>0</v>
      </c>
      <c r="P63" s="20">
        <f>TABELA2567[[#This Row],[QTDE]]*TABELA2567[[#This Row],[PREÇO]]</f>
        <v>0</v>
      </c>
      <c r="Q63" s="38">
        <f>VLOOKUP($A:$A,[1]Planilha1!$B:$L,7,0)</f>
        <v>298</v>
      </c>
      <c r="R63" s="38">
        <f>VLOOKUP($A:$A,[1]Planilha1!$B:$L,8,0)</f>
        <v>135.44999999999999</v>
      </c>
      <c r="S63" s="37">
        <f>TABELA2567[[#This Row],[PREÇO]]/TABELA2567[[#This Row],[Coluna1]]-1</f>
        <v>-0.62963087248322147</v>
      </c>
      <c r="T63" s="37">
        <f>TABELA2567[[#This Row],[PREÇO]]/TABELA2567[[#This Row],[Coluna2]]-1</f>
        <v>-0.18516057585825019</v>
      </c>
    </row>
    <row r="64" spans="1:20" x14ac:dyDescent="0.2">
      <c r="A64" s="1" t="str">
        <f>TRIM(TABELA2567[[#This Row],[PRODUTO]])&amp;TRIM(TABELA2567[[#This Row],[COR]])</f>
        <v>04.69.17280005</v>
      </c>
      <c r="B64" s="17" t="s">
        <v>201</v>
      </c>
      <c r="C64" s="18" t="s">
        <v>202</v>
      </c>
      <c r="D64" s="18" t="s">
        <v>32</v>
      </c>
      <c r="E64" s="18" t="s">
        <v>33</v>
      </c>
      <c r="F64" s="19">
        <v>295.56</v>
      </c>
      <c r="G64" s="18" t="s">
        <v>31</v>
      </c>
      <c r="H64" s="18"/>
      <c r="I64" s="18"/>
      <c r="J64" s="18"/>
      <c r="K64" s="18"/>
      <c r="L64" s="18"/>
      <c r="M64" s="18"/>
      <c r="N64" s="18"/>
      <c r="O64" s="18">
        <f>SUM(TABELA2567[[#This Row],[T1]:[T7]])</f>
        <v>0</v>
      </c>
      <c r="P64" s="20">
        <f>TABELA2567[[#This Row],[QTDE]]*TABELA2567[[#This Row],[PREÇO]]</f>
        <v>0</v>
      </c>
      <c r="Q64" s="38">
        <f>VLOOKUP($A:$A,[1]Planilha1!$B:$L,7,0)</f>
        <v>798</v>
      </c>
      <c r="R64" s="38">
        <f>VLOOKUP($A:$A,[1]Planilha1!$B:$L,8,0)</f>
        <v>362.73</v>
      </c>
      <c r="S64" s="37">
        <f>TABELA2567[[#This Row],[PREÇO]]/TABELA2567[[#This Row],[Coluna1]]-1</f>
        <v>-0.62962406015037597</v>
      </c>
      <c r="T64" s="37">
        <f>TABELA2567[[#This Row],[PREÇO]]/TABELA2567[[#This Row],[Coluna2]]-1</f>
        <v>-0.18517905880406915</v>
      </c>
    </row>
    <row r="65" spans="1:20" x14ac:dyDescent="0.2">
      <c r="A65" s="1" t="str">
        <f>TRIM(TABELA2567[[#This Row],[PRODUTO]])&amp;TRIM(TABELA2567[[#This Row],[COR]])</f>
        <v>04.69.173001026</v>
      </c>
      <c r="B65" s="17" t="s">
        <v>203</v>
      </c>
      <c r="C65" s="18" t="s">
        <v>204</v>
      </c>
      <c r="D65" s="18" t="s">
        <v>151</v>
      </c>
      <c r="E65" s="18" t="s">
        <v>152</v>
      </c>
      <c r="F65" s="19">
        <v>110.37</v>
      </c>
      <c r="G65" s="18" t="s">
        <v>31</v>
      </c>
      <c r="H65" s="18"/>
      <c r="I65" s="18"/>
      <c r="J65" s="18"/>
      <c r="K65" s="18"/>
      <c r="L65" s="18"/>
      <c r="M65" s="18"/>
      <c r="N65" s="18"/>
      <c r="O65" s="18">
        <f>SUM(TABELA2567[[#This Row],[T1]:[T7]])</f>
        <v>0</v>
      </c>
      <c r="P65" s="20">
        <f>TABELA2567[[#This Row],[QTDE]]*TABELA2567[[#This Row],[PREÇO]]</f>
        <v>0</v>
      </c>
      <c r="Q65" s="38">
        <f>VLOOKUP($A:$A,[1]Planilha1!$B:$L,7,0)</f>
        <v>298</v>
      </c>
      <c r="R65" s="38">
        <f>VLOOKUP($A:$A,[1]Planilha1!$B:$L,8,0)</f>
        <v>135.44999999999999</v>
      </c>
      <c r="S65" s="37">
        <f>TABELA2567[[#This Row],[PREÇO]]/TABELA2567[[#This Row],[Coluna1]]-1</f>
        <v>-0.62963087248322147</v>
      </c>
      <c r="T65" s="37">
        <f>TABELA2567[[#This Row],[PREÇO]]/TABELA2567[[#This Row],[Coluna2]]-1</f>
        <v>-0.18516057585825019</v>
      </c>
    </row>
    <row r="66" spans="1:20" x14ac:dyDescent="0.2">
      <c r="A66" s="1" t="str">
        <f>TRIM(TABELA2567[[#This Row],[PRODUTO]])&amp;TRIM(TABELA2567[[#This Row],[COR]])</f>
        <v>04.69.173001032</v>
      </c>
      <c r="B66" s="17" t="s">
        <v>203</v>
      </c>
      <c r="C66" s="18" t="s">
        <v>204</v>
      </c>
      <c r="D66" s="18" t="s">
        <v>205</v>
      </c>
      <c r="E66" s="18" t="s">
        <v>206</v>
      </c>
      <c r="F66" s="19">
        <v>110.37</v>
      </c>
      <c r="G66" s="18" t="s">
        <v>31</v>
      </c>
      <c r="H66" s="18"/>
      <c r="I66" s="18"/>
      <c r="J66" s="18"/>
      <c r="K66" s="18"/>
      <c r="L66" s="18"/>
      <c r="M66" s="18"/>
      <c r="N66" s="18"/>
      <c r="O66" s="18">
        <f>SUM(TABELA2567[[#This Row],[T1]:[T7]])</f>
        <v>0</v>
      </c>
      <c r="P66" s="20">
        <f>TABELA2567[[#This Row],[QTDE]]*TABELA2567[[#This Row],[PREÇO]]</f>
        <v>0</v>
      </c>
      <c r="Q66" s="38">
        <f>VLOOKUP($A:$A,[1]Planilha1!$B:$L,7,0)</f>
        <v>298</v>
      </c>
      <c r="R66" s="38">
        <f>VLOOKUP($A:$A,[1]Planilha1!$B:$L,8,0)</f>
        <v>135.44999999999999</v>
      </c>
      <c r="S66" s="37">
        <f>TABELA2567[[#This Row],[PREÇO]]/TABELA2567[[#This Row],[Coluna1]]-1</f>
        <v>-0.62963087248322147</v>
      </c>
      <c r="T66" s="37">
        <f>TABELA2567[[#This Row],[PREÇO]]/TABELA2567[[#This Row],[Coluna2]]-1</f>
        <v>-0.18516057585825019</v>
      </c>
    </row>
    <row r="67" spans="1:20" x14ac:dyDescent="0.2">
      <c r="A67" s="1" t="str">
        <f>TRIM(TABELA2567[[#This Row],[PRODUTO]])&amp;TRIM(TABELA2567[[#This Row],[COR]])</f>
        <v>04.69.173001035</v>
      </c>
      <c r="B67" s="17" t="s">
        <v>203</v>
      </c>
      <c r="C67" s="18" t="s">
        <v>204</v>
      </c>
      <c r="D67" s="18" t="s">
        <v>89</v>
      </c>
      <c r="E67" s="18" t="s">
        <v>90</v>
      </c>
      <c r="F67" s="19">
        <v>110.37</v>
      </c>
      <c r="G67" s="18" t="s">
        <v>31</v>
      </c>
      <c r="H67" s="18"/>
      <c r="I67" s="18"/>
      <c r="J67" s="18"/>
      <c r="K67" s="18"/>
      <c r="L67" s="18"/>
      <c r="M67" s="18"/>
      <c r="N67" s="18"/>
      <c r="O67" s="18">
        <f>SUM(TABELA2567[[#This Row],[T1]:[T7]])</f>
        <v>0</v>
      </c>
      <c r="P67" s="20">
        <f>TABELA2567[[#This Row],[QTDE]]*TABELA2567[[#This Row],[PREÇO]]</f>
        <v>0</v>
      </c>
      <c r="Q67" s="38">
        <f>VLOOKUP($A:$A,[1]Planilha1!$B:$L,7,0)</f>
        <v>298</v>
      </c>
      <c r="R67" s="38">
        <f>VLOOKUP($A:$A,[1]Planilha1!$B:$L,8,0)</f>
        <v>135.44999999999999</v>
      </c>
      <c r="S67" s="37">
        <f>TABELA2567[[#This Row],[PREÇO]]/TABELA2567[[#This Row],[Coluna1]]-1</f>
        <v>-0.62963087248322147</v>
      </c>
      <c r="T67" s="37">
        <f>TABELA2567[[#This Row],[PREÇO]]/TABELA2567[[#This Row],[Coluna2]]-1</f>
        <v>-0.18516057585825019</v>
      </c>
    </row>
    <row r="68" spans="1:20" x14ac:dyDescent="0.2">
      <c r="A68" s="1" t="str">
        <f>TRIM(TABELA2567[[#This Row],[PRODUTO]])&amp;TRIM(TABELA2567[[#This Row],[COR]])</f>
        <v>04.69.17310005</v>
      </c>
      <c r="B68" s="17" t="s">
        <v>207</v>
      </c>
      <c r="C68" s="18" t="s">
        <v>208</v>
      </c>
      <c r="D68" s="18" t="s">
        <v>32</v>
      </c>
      <c r="E68" s="18" t="s">
        <v>33</v>
      </c>
      <c r="F68" s="19">
        <v>184.44</v>
      </c>
      <c r="G68" s="18" t="s">
        <v>31</v>
      </c>
      <c r="H68" s="18"/>
      <c r="I68" s="18"/>
      <c r="J68" s="18"/>
      <c r="K68" s="18"/>
      <c r="L68" s="18"/>
      <c r="M68" s="18"/>
      <c r="N68" s="18"/>
      <c r="O68" s="18">
        <f>SUM(TABELA2567[[#This Row],[T1]:[T7]])</f>
        <v>0</v>
      </c>
      <c r="P68" s="20">
        <f>TABELA2567[[#This Row],[QTDE]]*TABELA2567[[#This Row],[PREÇO]]</f>
        <v>0</v>
      </c>
      <c r="Q68" s="38">
        <f>VLOOKUP($A:$A,[1]Planilha1!$B:$L,7,0)</f>
        <v>498</v>
      </c>
      <c r="R68" s="38">
        <f>VLOOKUP($A:$A,[1]Planilha1!$B:$L,8,0)</f>
        <v>226.36</v>
      </c>
      <c r="S68" s="37">
        <f>TABELA2567[[#This Row],[PREÇO]]/TABELA2567[[#This Row],[Coluna1]]-1</f>
        <v>-0.62963855421686743</v>
      </c>
      <c r="T68" s="37">
        <f>TABELA2567[[#This Row],[PREÇO]]/TABELA2567[[#This Row],[Coluna2]]-1</f>
        <v>-0.18519172998763034</v>
      </c>
    </row>
    <row r="69" spans="1:20" x14ac:dyDescent="0.2">
      <c r="A69" s="1" t="str">
        <f>TRIM(TABELA2567[[#This Row],[PRODUTO]])&amp;TRIM(TABELA2567[[#This Row],[COR]])</f>
        <v>04.69.173101031</v>
      </c>
      <c r="B69" s="17" t="s">
        <v>207</v>
      </c>
      <c r="C69" s="18" t="s">
        <v>208</v>
      </c>
      <c r="D69" s="18" t="s">
        <v>209</v>
      </c>
      <c r="E69" s="18" t="s">
        <v>210</v>
      </c>
      <c r="F69" s="19">
        <v>184.44</v>
      </c>
      <c r="G69" s="18" t="s">
        <v>31</v>
      </c>
      <c r="H69" s="18"/>
      <c r="I69" s="18"/>
      <c r="J69" s="18"/>
      <c r="K69" s="18"/>
      <c r="L69" s="18"/>
      <c r="M69" s="18"/>
      <c r="N69" s="18"/>
      <c r="O69" s="18">
        <f>SUM(TABELA2567[[#This Row],[T1]:[T7]])</f>
        <v>0</v>
      </c>
      <c r="P69" s="20">
        <f>TABELA2567[[#This Row],[QTDE]]*TABELA2567[[#This Row],[PREÇO]]</f>
        <v>0</v>
      </c>
      <c r="Q69" s="38">
        <f>VLOOKUP($A:$A,[1]Planilha1!$B:$L,7,0)</f>
        <v>498</v>
      </c>
      <c r="R69" s="38">
        <f>VLOOKUP($A:$A,[1]Planilha1!$B:$L,8,0)</f>
        <v>226.36</v>
      </c>
      <c r="S69" s="37">
        <f>TABELA2567[[#This Row],[PREÇO]]/TABELA2567[[#This Row],[Coluna1]]-1</f>
        <v>-0.62963855421686743</v>
      </c>
      <c r="T69" s="37">
        <f>TABELA2567[[#This Row],[PREÇO]]/TABELA2567[[#This Row],[Coluna2]]-1</f>
        <v>-0.18519172998763034</v>
      </c>
    </row>
    <row r="70" spans="1:20" x14ac:dyDescent="0.2">
      <c r="A70" s="1" t="str">
        <f>TRIM(TABELA2567[[#This Row],[PRODUTO]])&amp;TRIM(TABELA2567[[#This Row],[COR]])</f>
        <v>04.69.173201016</v>
      </c>
      <c r="B70" s="17" t="s">
        <v>211</v>
      </c>
      <c r="C70" s="18" t="s">
        <v>212</v>
      </c>
      <c r="D70" s="18" t="s">
        <v>107</v>
      </c>
      <c r="E70" s="18" t="s">
        <v>108</v>
      </c>
      <c r="F70" s="19">
        <v>110.37</v>
      </c>
      <c r="G70" s="18" t="s">
        <v>31</v>
      </c>
      <c r="H70" s="18"/>
      <c r="I70" s="18"/>
      <c r="J70" s="18"/>
      <c r="K70" s="18"/>
      <c r="L70" s="18"/>
      <c r="M70" s="18"/>
      <c r="N70" s="18"/>
      <c r="O70" s="18">
        <f>SUM(TABELA2567[[#This Row],[T1]:[T7]])</f>
        <v>0</v>
      </c>
      <c r="P70" s="20">
        <f>TABELA2567[[#This Row],[QTDE]]*TABELA2567[[#This Row],[PREÇO]]</f>
        <v>0</v>
      </c>
      <c r="Q70" s="38">
        <f>VLOOKUP($A:$A,[1]Planilha1!$B:$L,7,0)</f>
        <v>298</v>
      </c>
      <c r="R70" s="38">
        <f>VLOOKUP($A:$A,[1]Planilha1!$B:$L,8,0)</f>
        <v>135.44999999999999</v>
      </c>
      <c r="S70" s="37">
        <f>TABELA2567[[#This Row],[PREÇO]]/TABELA2567[[#This Row],[Coluna1]]-1</f>
        <v>-0.62963087248322147</v>
      </c>
      <c r="T70" s="37">
        <f>TABELA2567[[#This Row],[PREÇO]]/TABELA2567[[#This Row],[Coluna2]]-1</f>
        <v>-0.18516057585825019</v>
      </c>
    </row>
    <row r="71" spans="1:20" x14ac:dyDescent="0.2">
      <c r="A71" s="1" t="str">
        <f>TRIM(TABELA2567[[#This Row],[PRODUTO]])&amp;TRIM(TABELA2567[[#This Row],[COR]])</f>
        <v>04.69.173201040</v>
      </c>
      <c r="B71" s="17" t="s">
        <v>211</v>
      </c>
      <c r="C71" s="18" t="s">
        <v>212</v>
      </c>
      <c r="D71" s="18" t="s">
        <v>95</v>
      </c>
      <c r="E71" s="18" t="s">
        <v>96</v>
      </c>
      <c r="F71" s="19">
        <v>110.37</v>
      </c>
      <c r="G71" s="18" t="s">
        <v>31</v>
      </c>
      <c r="H71" s="18"/>
      <c r="I71" s="18"/>
      <c r="J71" s="18"/>
      <c r="K71" s="18"/>
      <c r="L71" s="18"/>
      <c r="M71" s="18"/>
      <c r="N71" s="18"/>
      <c r="O71" s="18">
        <f>SUM(TABELA2567[[#This Row],[T1]:[T7]])</f>
        <v>0</v>
      </c>
      <c r="P71" s="20">
        <f>TABELA2567[[#This Row],[QTDE]]*TABELA2567[[#This Row],[PREÇO]]</f>
        <v>0</v>
      </c>
      <c r="Q71" s="38">
        <f>VLOOKUP($A:$A,[1]Planilha1!$B:$L,7,0)</f>
        <v>298</v>
      </c>
      <c r="R71" s="38">
        <f>VLOOKUP($A:$A,[1]Planilha1!$B:$L,8,0)</f>
        <v>135.44999999999999</v>
      </c>
      <c r="S71" s="37">
        <f>TABELA2567[[#This Row],[PREÇO]]/TABELA2567[[#This Row],[Coluna1]]-1</f>
        <v>-0.62963087248322147</v>
      </c>
      <c r="T71" s="37">
        <f>TABELA2567[[#This Row],[PREÇO]]/TABELA2567[[#This Row],[Coluna2]]-1</f>
        <v>-0.18516057585825019</v>
      </c>
    </row>
    <row r="72" spans="1:20" x14ac:dyDescent="0.2">
      <c r="A72" s="1" t="str">
        <f>TRIM(TABELA2567[[#This Row],[PRODUTO]])&amp;TRIM(TABELA2567[[#This Row],[COR]])</f>
        <v>04.69.17340105</v>
      </c>
      <c r="B72" s="17" t="s">
        <v>213</v>
      </c>
      <c r="C72" s="18" t="s">
        <v>214</v>
      </c>
      <c r="D72" s="18" t="s">
        <v>48</v>
      </c>
      <c r="E72" s="18" t="s">
        <v>49</v>
      </c>
      <c r="F72" s="19">
        <v>128.88999999999999</v>
      </c>
      <c r="G72" s="18" t="s">
        <v>31</v>
      </c>
      <c r="H72" s="18"/>
      <c r="I72" s="18"/>
      <c r="J72" s="18"/>
      <c r="K72" s="18"/>
      <c r="L72" s="18"/>
      <c r="M72" s="18"/>
      <c r="N72" s="18"/>
      <c r="O72" s="18">
        <f>SUM(TABELA2567[[#This Row],[T1]:[T7]])</f>
        <v>0</v>
      </c>
      <c r="P72" s="20">
        <f>TABELA2567[[#This Row],[QTDE]]*TABELA2567[[#This Row],[PREÇO]]</f>
        <v>0</v>
      </c>
      <c r="Q72" s="38">
        <f>VLOOKUP($A:$A,[1]Planilha1!$B:$L,7,0)</f>
        <v>348</v>
      </c>
      <c r="R72" s="38">
        <f>VLOOKUP($A:$A,[1]Planilha1!$B:$L,8,0)</f>
        <v>158.18</v>
      </c>
      <c r="S72" s="37">
        <f>TABELA2567[[#This Row],[PREÇO]]/TABELA2567[[#This Row],[Coluna1]]-1</f>
        <v>-0.62962643678160923</v>
      </c>
      <c r="T72" s="37">
        <f>TABELA2567[[#This Row],[PREÇO]]/TABELA2567[[#This Row],[Coluna2]]-1</f>
        <v>-0.18516879504362127</v>
      </c>
    </row>
    <row r="73" spans="1:20" x14ac:dyDescent="0.2">
      <c r="A73" s="1" t="str">
        <f>TRIM(TABELA2567[[#This Row],[PRODUTO]])&amp;TRIM(TABELA2567[[#This Row],[COR]])</f>
        <v>04.69.17350105</v>
      </c>
      <c r="B73" s="17" t="s">
        <v>215</v>
      </c>
      <c r="C73" s="18" t="s">
        <v>216</v>
      </c>
      <c r="D73" s="18" t="s">
        <v>48</v>
      </c>
      <c r="E73" s="18" t="s">
        <v>49</v>
      </c>
      <c r="F73" s="19">
        <v>121.48</v>
      </c>
      <c r="G73" s="18" t="s">
        <v>31</v>
      </c>
      <c r="H73" s="18"/>
      <c r="I73" s="18"/>
      <c r="J73" s="18"/>
      <c r="K73" s="18"/>
      <c r="L73" s="18"/>
      <c r="M73" s="18"/>
      <c r="N73" s="18"/>
      <c r="O73" s="18">
        <f>SUM(TABELA2567[[#This Row],[T1]:[T7]])</f>
        <v>0</v>
      </c>
      <c r="P73" s="20">
        <f>TABELA2567[[#This Row],[QTDE]]*TABELA2567[[#This Row],[PREÇO]]</f>
        <v>0</v>
      </c>
      <c r="Q73" s="38">
        <f>VLOOKUP($A:$A,[1]Planilha1!$B:$L,7,0)</f>
        <v>328</v>
      </c>
      <c r="R73" s="38">
        <f>VLOOKUP($A:$A,[1]Planilha1!$B:$L,8,0)</f>
        <v>149.09</v>
      </c>
      <c r="S73" s="37">
        <f>TABELA2567[[#This Row],[PREÇO]]/TABELA2567[[#This Row],[Coluna1]]-1</f>
        <v>-0.62963414634146342</v>
      </c>
      <c r="T73" s="37">
        <f>TABELA2567[[#This Row],[PREÇO]]/TABELA2567[[#This Row],[Coluna2]]-1</f>
        <v>-0.18519015359849755</v>
      </c>
    </row>
    <row r="74" spans="1:20" x14ac:dyDescent="0.2">
      <c r="A74" s="1" t="str">
        <f>TRIM(TABELA2567[[#This Row],[PRODUTO]])&amp;TRIM(TABELA2567[[#This Row],[COR]])</f>
        <v>04.80.00250109</v>
      </c>
      <c r="B74" s="17" t="s">
        <v>217</v>
      </c>
      <c r="C74" s="18" t="s">
        <v>218</v>
      </c>
      <c r="D74" s="18" t="s">
        <v>52</v>
      </c>
      <c r="E74" s="18" t="s">
        <v>53</v>
      </c>
      <c r="F74" s="19">
        <v>147.41</v>
      </c>
      <c r="G74" s="18" t="s">
        <v>31</v>
      </c>
      <c r="H74" s="18"/>
      <c r="I74" s="18"/>
      <c r="J74" s="18"/>
      <c r="K74" s="18"/>
      <c r="L74" s="18"/>
      <c r="M74" s="18"/>
      <c r="N74" s="18"/>
      <c r="O74" s="18">
        <f>SUM(TABELA2567[[#This Row],[T1]:[T7]])</f>
        <v>0</v>
      </c>
      <c r="P74" s="20">
        <f>TABELA2567[[#This Row],[QTDE]]*TABELA2567[[#This Row],[PREÇO]]</f>
        <v>0</v>
      </c>
      <c r="Q74" s="38">
        <f>VLOOKUP($A:$A,[1]Planilha1!$B:$L,7,0)</f>
        <v>398</v>
      </c>
      <c r="R74" s="38">
        <f>VLOOKUP($A:$A,[1]Planilha1!$B:$L,8,0)</f>
        <v>180.91</v>
      </c>
      <c r="S74" s="37">
        <f>TABELA2567[[#This Row],[PREÇO]]/TABELA2567[[#This Row],[Coluna1]]-1</f>
        <v>-0.62962311557788952</v>
      </c>
      <c r="T74" s="37">
        <f>TABELA2567[[#This Row],[PREÇO]]/TABELA2567[[#This Row],[Coluna2]]-1</f>
        <v>-0.18517494886960373</v>
      </c>
    </row>
    <row r="75" spans="1:20" x14ac:dyDescent="0.2">
      <c r="A75" s="1" t="str">
        <f>TRIM(TABELA2567[[#This Row],[PRODUTO]])&amp;TRIM(TABELA2567[[#This Row],[COR]])</f>
        <v>04.81.007101035</v>
      </c>
      <c r="B75" s="17" t="s">
        <v>219</v>
      </c>
      <c r="C75" s="18" t="s">
        <v>220</v>
      </c>
      <c r="D75" s="18" t="s">
        <v>89</v>
      </c>
      <c r="E75" s="18" t="s">
        <v>90</v>
      </c>
      <c r="F75" s="19">
        <v>147.41</v>
      </c>
      <c r="G75" s="18" t="s">
        <v>31</v>
      </c>
      <c r="H75" s="18"/>
      <c r="I75" s="18"/>
      <c r="J75" s="18"/>
      <c r="K75" s="18"/>
      <c r="L75" s="18"/>
      <c r="M75" s="18"/>
      <c r="N75" s="18"/>
      <c r="O75" s="18">
        <f>SUM(TABELA2567[[#This Row],[T1]:[T7]])</f>
        <v>0</v>
      </c>
      <c r="P75" s="20">
        <f>TABELA2567[[#This Row],[QTDE]]*TABELA2567[[#This Row],[PREÇO]]</f>
        <v>0</v>
      </c>
      <c r="Q75" s="38">
        <f>VLOOKUP($A:$A,[1]Planilha1!$B:$L,7,0)</f>
        <v>398</v>
      </c>
      <c r="R75" s="38">
        <f>VLOOKUP($A:$A,[1]Planilha1!$B:$L,8,0)</f>
        <v>180.91</v>
      </c>
      <c r="S75" s="37">
        <f>TABELA2567[[#This Row],[PREÇO]]/TABELA2567[[#This Row],[Coluna1]]-1</f>
        <v>-0.62962311557788952</v>
      </c>
      <c r="T75" s="37">
        <f>TABELA2567[[#This Row],[PREÇO]]/TABELA2567[[#This Row],[Coluna2]]-1</f>
        <v>-0.18517494886960373</v>
      </c>
    </row>
    <row r="76" spans="1:20" x14ac:dyDescent="0.2">
      <c r="A76" s="1" t="str">
        <f>TRIM(TABELA2567[[#This Row],[PRODUTO]])&amp;TRIM(TABELA2567[[#This Row],[COR]])</f>
        <v>04.81.00760005</v>
      </c>
      <c r="B76" s="17" t="s">
        <v>221</v>
      </c>
      <c r="C76" s="18" t="s">
        <v>222</v>
      </c>
      <c r="D76" s="18" t="s">
        <v>32</v>
      </c>
      <c r="E76" s="18" t="s">
        <v>33</v>
      </c>
      <c r="F76" s="19">
        <v>184.44</v>
      </c>
      <c r="G76" s="18" t="s">
        <v>31</v>
      </c>
      <c r="H76" s="18"/>
      <c r="I76" s="18"/>
      <c r="J76" s="18"/>
      <c r="K76" s="18"/>
      <c r="L76" s="18"/>
      <c r="M76" s="18"/>
      <c r="N76" s="18"/>
      <c r="O76" s="18">
        <f>SUM(TABELA2567[[#This Row],[T1]:[T7]])</f>
        <v>0</v>
      </c>
      <c r="P76" s="20">
        <f>TABELA2567[[#This Row],[QTDE]]*TABELA2567[[#This Row],[PREÇO]]</f>
        <v>0</v>
      </c>
      <c r="Q76" s="38">
        <f>VLOOKUP($A:$A,[1]Planilha1!$B:$L,7,0)</f>
        <v>498</v>
      </c>
      <c r="R76" s="38">
        <f>VLOOKUP($A:$A,[1]Planilha1!$B:$L,8,0)</f>
        <v>226.36</v>
      </c>
      <c r="S76" s="37">
        <f>TABELA2567[[#This Row],[PREÇO]]/TABELA2567[[#This Row],[Coluna1]]-1</f>
        <v>-0.62963855421686743</v>
      </c>
      <c r="T76" s="37">
        <f>TABELA2567[[#This Row],[PREÇO]]/TABELA2567[[#This Row],[Coluna2]]-1</f>
        <v>-0.18519172998763034</v>
      </c>
    </row>
    <row r="77" spans="1:20" x14ac:dyDescent="0.2">
      <c r="A77" s="1" t="str">
        <f>TRIM(TABELA2567[[#This Row],[PRODUTO]])&amp;TRIM(TABELA2567[[#This Row],[COR]])</f>
        <v>07.02.57524612</v>
      </c>
      <c r="B77" s="17" t="s">
        <v>223</v>
      </c>
      <c r="C77" s="18" t="s">
        <v>224</v>
      </c>
      <c r="D77" s="18" t="s">
        <v>225</v>
      </c>
      <c r="E77" s="18" t="s">
        <v>226</v>
      </c>
      <c r="F77" s="19">
        <v>332.59</v>
      </c>
      <c r="G77" s="18" t="s">
        <v>31</v>
      </c>
      <c r="H77" s="18"/>
      <c r="I77" s="18"/>
      <c r="J77" s="18"/>
      <c r="K77" s="18"/>
      <c r="L77" s="18"/>
      <c r="M77" s="18"/>
      <c r="N77" s="18"/>
      <c r="O77" s="18">
        <f>SUM(TABELA2567[[#This Row],[T1]:[T7]])</f>
        <v>0</v>
      </c>
      <c r="P77" s="20">
        <f>TABELA2567[[#This Row],[QTDE]]*TABELA2567[[#This Row],[PREÇO]]</f>
        <v>0</v>
      </c>
      <c r="Q77" s="38">
        <f>VLOOKUP($A:$A,[1]Planilha1!$B:$L,7,0)</f>
        <v>898</v>
      </c>
      <c r="R77" s="38">
        <f>VLOOKUP($A:$A,[1]Planilha1!$B:$L,8,0)</f>
        <v>408.18</v>
      </c>
      <c r="S77" s="37">
        <f>TABELA2567[[#This Row],[PREÇO]]/TABELA2567[[#This Row],[Coluna1]]-1</f>
        <v>-0.62963251670378617</v>
      </c>
      <c r="T77" s="37">
        <f>TABELA2567[[#This Row],[PREÇO]]/TABELA2567[[#This Row],[Coluna2]]-1</f>
        <v>-0.18518790729580092</v>
      </c>
    </row>
    <row r="78" spans="1:20" x14ac:dyDescent="0.2">
      <c r="A78" s="1" t="str">
        <f>TRIM(TABELA2567[[#This Row],[PRODUTO]])&amp;TRIM(TABELA2567[[#This Row],[COR]])</f>
        <v>07.02.57576216</v>
      </c>
      <c r="B78" s="17" t="s">
        <v>227</v>
      </c>
      <c r="C78" s="18" t="s">
        <v>228</v>
      </c>
      <c r="D78" s="18" t="s">
        <v>47</v>
      </c>
      <c r="E78" s="18" t="s">
        <v>60</v>
      </c>
      <c r="F78" s="19">
        <v>369.63</v>
      </c>
      <c r="G78" s="18" t="s">
        <v>31</v>
      </c>
      <c r="H78" s="18"/>
      <c r="I78" s="18"/>
      <c r="J78" s="18"/>
      <c r="K78" s="18"/>
      <c r="L78" s="18"/>
      <c r="M78" s="18"/>
      <c r="N78" s="18"/>
      <c r="O78" s="18">
        <f>SUM(TABELA2567[[#This Row],[T1]:[T7]])</f>
        <v>0</v>
      </c>
      <c r="P78" s="20">
        <f>TABELA2567[[#This Row],[QTDE]]*TABELA2567[[#This Row],[PREÇO]]</f>
        <v>0</v>
      </c>
      <c r="Q78" s="38">
        <f>VLOOKUP($A:$A,[1]Planilha1!$B:$L,7,0)</f>
        <v>998</v>
      </c>
      <c r="R78" s="38">
        <f>VLOOKUP($A:$A,[1]Planilha1!$B:$L,8,0)</f>
        <v>453.64</v>
      </c>
      <c r="S78" s="37">
        <f>TABELA2567[[#This Row],[PREÇO]]/TABELA2567[[#This Row],[Coluna1]]-1</f>
        <v>-0.629629258517034</v>
      </c>
      <c r="T78" s="37">
        <f>TABELA2567[[#This Row],[PREÇO]]/TABELA2567[[#This Row],[Coluna2]]-1</f>
        <v>-0.18519090027334451</v>
      </c>
    </row>
    <row r="79" spans="1:20" x14ac:dyDescent="0.2">
      <c r="A79" s="1" t="str">
        <f>TRIM(TABELA2567[[#This Row],[PRODUTO]])&amp;TRIM(TABELA2567[[#This Row],[COR]])</f>
        <v>07.02.57946216</v>
      </c>
      <c r="B79" s="17" t="s">
        <v>59</v>
      </c>
      <c r="C79" s="18" t="s">
        <v>78</v>
      </c>
      <c r="D79" s="18" t="s">
        <v>47</v>
      </c>
      <c r="E79" s="18" t="s">
        <v>60</v>
      </c>
      <c r="F79" s="19">
        <v>295.56</v>
      </c>
      <c r="G79" s="18" t="s">
        <v>31</v>
      </c>
      <c r="H79" s="18"/>
      <c r="I79" s="18"/>
      <c r="J79" s="18"/>
      <c r="K79" s="18"/>
      <c r="L79" s="18"/>
      <c r="M79" s="18"/>
      <c r="N79" s="18"/>
      <c r="O79" s="18">
        <f>SUM(TABELA2567[[#This Row],[T1]:[T7]])</f>
        <v>0</v>
      </c>
      <c r="P79" s="20">
        <f>TABELA2567[[#This Row],[QTDE]]*TABELA2567[[#This Row],[PREÇO]]</f>
        <v>0</v>
      </c>
      <c r="Q79" s="38">
        <f>VLOOKUP($A:$A,[1]Planilha1!$B:$L,7,0)</f>
        <v>798</v>
      </c>
      <c r="R79" s="38">
        <f>VLOOKUP($A:$A,[1]Planilha1!$B:$L,8,0)</f>
        <v>362.73</v>
      </c>
      <c r="S79" s="37">
        <f>TABELA2567[[#This Row],[PREÇO]]/TABELA2567[[#This Row],[Coluna1]]-1</f>
        <v>-0.62962406015037597</v>
      </c>
      <c r="T79" s="37">
        <f>TABELA2567[[#This Row],[PREÇO]]/TABELA2567[[#This Row],[Coluna2]]-1</f>
        <v>-0.18517905880406915</v>
      </c>
    </row>
    <row r="80" spans="1:20" x14ac:dyDescent="0.2">
      <c r="A80" s="1" t="str">
        <f>TRIM(TABELA2567[[#This Row],[PRODUTO]])&amp;TRIM(TABELA2567[[#This Row],[COR]])</f>
        <v>07.02.583121060</v>
      </c>
      <c r="B80" s="17" t="s">
        <v>229</v>
      </c>
      <c r="C80" s="18" t="s">
        <v>230</v>
      </c>
      <c r="D80" s="18" t="s">
        <v>185</v>
      </c>
      <c r="E80" s="18" t="s">
        <v>186</v>
      </c>
      <c r="F80" s="19">
        <v>221.48</v>
      </c>
      <c r="G80" s="18" t="s">
        <v>31</v>
      </c>
      <c r="H80" s="18"/>
      <c r="I80" s="18"/>
      <c r="J80" s="18"/>
      <c r="K80" s="18"/>
      <c r="L80" s="18"/>
      <c r="M80" s="18"/>
      <c r="N80" s="18"/>
      <c r="O80" s="18">
        <f>SUM(TABELA2567[[#This Row],[T1]:[T7]])</f>
        <v>0</v>
      </c>
      <c r="P80" s="20">
        <f>TABELA2567[[#This Row],[QTDE]]*TABELA2567[[#This Row],[PREÇO]]</f>
        <v>0</v>
      </c>
      <c r="Q80" s="38">
        <f>VLOOKUP($A:$A,[1]Planilha1!$B:$L,7,0)</f>
        <v>598</v>
      </c>
      <c r="R80" s="38">
        <f>VLOOKUP($A:$A,[1]Planilha1!$B:$L,8,0)</f>
        <v>271.82</v>
      </c>
      <c r="S80" s="37">
        <f>TABELA2567[[#This Row],[PREÇO]]/TABELA2567[[#This Row],[Coluna1]]-1</f>
        <v>-0.62963210702341144</v>
      </c>
      <c r="T80" s="37">
        <f>TABELA2567[[#This Row],[PREÇO]]/TABELA2567[[#This Row],[Coluna2]]-1</f>
        <v>-0.18519608564491208</v>
      </c>
    </row>
    <row r="81" spans="1:20" x14ac:dyDescent="0.2">
      <c r="A81" s="1" t="str">
        <f>TRIM(TABELA2567[[#This Row],[PRODUTO]])&amp;TRIM(TABELA2567[[#This Row],[COR]])</f>
        <v>07.02.583721092</v>
      </c>
      <c r="B81" s="17" t="s">
        <v>231</v>
      </c>
      <c r="C81" s="18" t="s">
        <v>232</v>
      </c>
      <c r="D81" s="18" t="s">
        <v>119</v>
      </c>
      <c r="E81" s="18" t="s">
        <v>120</v>
      </c>
      <c r="F81" s="19">
        <v>202.96</v>
      </c>
      <c r="G81" s="18" t="s">
        <v>31</v>
      </c>
      <c r="H81" s="18"/>
      <c r="I81" s="18"/>
      <c r="J81" s="18"/>
      <c r="K81" s="18"/>
      <c r="L81" s="18"/>
      <c r="M81" s="18"/>
      <c r="N81" s="18"/>
      <c r="O81" s="18">
        <f>SUM(TABELA2567[[#This Row],[T1]:[T7]])</f>
        <v>0</v>
      </c>
      <c r="P81" s="20">
        <f>TABELA2567[[#This Row],[QTDE]]*TABELA2567[[#This Row],[PREÇO]]</f>
        <v>0</v>
      </c>
      <c r="Q81" s="38">
        <f>VLOOKUP($A:$A,[1]Planilha1!$B:$L,7,0)</f>
        <v>548</v>
      </c>
      <c r="R81" s="38">
        <f>VLOOKUP($A:$A,[1]Planilha1!$B:$L,8,0)</f>
        <v>249.09</v>
      </c>
      <c r="S81" s="37">
        <f>TABELA2567[[#This Row],[PREÇO]]/TABELA2567[[#This Row],[Coluna1]]-1</f>
        <v>-0.62963503649635033</v>
      </c>
      <c r="T81" s="37">
        <f>TABELA2567[[#This Row],[PREÇO]]/TABELA2567[[#This Row],[Coluna2]]-1</f>
        <v>-0.18519410654783408</v>
      </c>
    </row>
    <row r="82" spans="1:20" x14ac:dyDescent="0.2">
      <c r="A82" s="1" t="str">
        <f>TRIM(TABELA2567[[#This Row],[PRODUTO]])&amp;TRIM(TABELA2567[[#This Row],[COR]])</f>
        <v>07.02.584121042</v>
      </c>
      <c r="B82" s="17" t="s">
        <v>233</v>
      </c>
      <c r="C82" s="18" t="s">
        <v>234</v>
      </c>
      <c r="D82" s="18" t="s">
        <v>235</v>
      </c>
      <c r="E82" s="18" t="s">
        <v>236</v>
      </c>
      <c r="F82" s="19">
        <v>258.52</v>
      </c>
      <c r="G82" s="18" t="s">
        <v>31</v>
      </c>
      <c r="H82" s="18"/>
      <c r="I82" s="18"/>
      <c r="J82" s="18"/>
      <c r="K82" s="18"/>
      <c r="L82" s="18"/>
      <c r="M82" s="18"/>
      <c r="N82" s="18"/>
      <c r="O82" s="18">
        <f>SUM(TABELA2567[[#This Row],[T1]:[T7]])</f>
        <v>0</v>
      </c>
      <c r="P82" s="20">
        <f>TABELA2567[[#This Row],[QTDE]]*TABELA2567[[#This Row],[PREÇO]]</f>
        <v>0</v>
      </c>
      <c r="Q82" s="38">
        <f>VLOOKUP($A:$A,[1]Planilha1!$B:$L,7,0)</f>
        <v>698</v>
      </c>
      <c r="R82" s="38">
        <f>VLOOKUP($A:$A,[1]Planilha1!$B:$L,8,0)</f>
        <v>317.27</v>
      </c>
      <c r="S82" s="37">
        <f>TABELA2567[[#This Row],[PREÇO]]/TABELA2567[[#This Row],[Coluna1]]-1</f>
        <v>-0.62962750716332383</v>
      </c>
      <c r="T82" s="37">
        <f>TABELA2567[[#This Row],[PREÇO]]/TABELA2567[[#This Row],[Coluna2]]-1</f>
        <v>-0.18517351152015638</v>
      </c>
    </row>
    <row r="83" spans="1:20" x14ac:dyDescent="0.2">
      <c r="A83" s="1" t="str">
        <f>TRIM(TABELA2567[[#This Row],[PRODUTO]])&amp;TRIM(TABELA2567[[#This Row],[COR]])</f>
        <v>07.02.584821096</v>
      </c>
      <c r="B83" s="17" t="s">
        <v>237</v>
      </c>
      <c r="C83" s="18" t="s">
        <v>238</v>
      </c>
      <c r="D83" s="18" t="s">
        <v>123</v>
      </c>
      <c r="E83" s="18" t="s">
        <v>124</v>
      </c>
      <c r="F83" s="19">
        <v>369.63</v>
      </c>
      <c r="G83" s="18" t="s">
        <v>31</v>
      </c>
      <c r="H83" s="18"/>
      <c r="I83" s="18"/>
      <c r="J83" s="18"/>
      <c r="K83" s="18"/>
      <c r="L83" s="18"/>
      <c r="M83" s="18"/>
      <c r="N83" s="18"/>
      <c r="O83" s="18">
        <f>SUM(TABELA2567[[#This Row],[T1]:[T7]])</f>
        <v>0</v>
      </c>
      <c r="P83" s="20">
        <f>TABELA2567[[#This Row],[QTDE]]*TABELA2567[[#This Row],[PREÇO]]</f>
        <v>0</v>
      </c>
      <c r="Q83" s="38">
        <f>VLOOKUP($A:$A,[1]Planilha1!$B:$L,7,0)</f>
        <v>998</v>
      </c>
      <c r="R83" s="38">
        <f>VLOOKUP($A:$A,[1]Planilha1!$B:$L,8,0)</f>
        <v>453.64</v>
      </c>
      <c r="S83" s="37">
        <f>TABELA2567[[#This Row],[PREÇO]]/TABELA2567[[#This Row],[Coluna1]]-1</f>
        <v>-0.629629258517034</v>
      </c>
      <c r="T83" s="37">
        <f>TABELA2567[[#This Row],[PREÇO]]/TABELA2567[[#This Row],[Coluna2]]-1</f>
        <v>-0.18519090027334451</v>
      </c>
    </row>
    <row r="84" spans="1:20" x14ac:dyDescent="0.2">
      <c r="A84" s="1" t="str">
        <f>TRIM(TABELA2567[[#This Row],[PRODUTO]])&amp;TRIM(TABELA2567[[#This Row],[COR]])</f>
        <v>07.02.584901035</v>
      </c>
      <c r="B84" s="17" t="s">
        <v>239</v>
      </c>
      <c r="C84" s="18" t="s">
        <v>240</v>
      </c>
      <c r="D84" s="18" t="s">
        <v>89</v>
      </c>
      <c r="E84" s="18" t="s">
        <v>90</v>
      </c>
      <c r="F84" s="19">
        <v>554.80999999999995</v>
      </c>
      <c r="G84" s="18" t="s">
        <v>41</v>
      </c>
      <c r="H84" s="18"/>
      <c r="I84" s="18"/>
      <c r="J84" s="18"/>
      <c r="K84" s="18"/>
      <c r="L84" s="18"/>
      <c r="M84" s="18"/>
      <c r="N84" s="18"/>
      <c r="O84" s="18">
        <f>SUM(TABELA2567[[#This Row],[T1]:[T7]])</f>
        <v>0</v>
      </c>
      <c r="P84" s="20">
        <f>TABELA2567[[#This Row],[QTDE]]*TABELA2567[[#This Row],[PREÇO]]</f>
        <v>0</v>
      </c>
      <c r="Q84" s="38">
        <f>VLOOKUP($A:$A,[1]Planilha1!$B:$L,7,0)</f>
        <v>1498</v>
      </c>
      <c r="R84" s="38">
        <f>VLOOKUP($A:$A,[1]Planilha1!$B:$L,8,0)</f>
        <v>680.91</v>
      </c>
      <c r="S84" s="37">
        <f>TABELA2567[[#This Row],[PREÇO]]/TABELA2567[[#This Row],[Coluna1]]-1</f>
        <v>-0.62963284379172235</v>
      </c>
      <c r="T84" s="37">
        <f>TABELA2567[[#This Row],[PREÇO]]/TABELA2567[[#This Row],[Coluna2]]-1</f>
        <v>-0.18519334420114264</v>
      </c>
    </row>
    <row r="85" spans="1:20" x14ac:dyDescent="0.2">
      <c r="A85" s="1" t="str">
        <f>TRIM(TABELA2567[[#This Row],[PRODUTO]])&amp;TRIM(TABELA2567[[#This Row],[COR]])</f>
        <v>07.02.585021046</v>
      </c>
      <c r="B85" s="17" t="s">
        <v>241</v>
      </c>
      <c r="C85" s="18" t="s">
        <v>242</v>
      </c>
      <c r="D85" s="18" t="s">
        <v>243</v>
      </c>
      <c r="E85" s="18" t="s">
        <v>244</v>
      </c>
      <c r="F85" s="19">
        <v>332.59</v>
      </c>
      <c r="G85" s="18" t="s">
        <v>31</v>
      </c>
      <c r="H85" s="18"/>
      <c r="I85" s="18"/>
      <c r="J85" s="18"/>
      <c r="K85" s="18"/>
      <c r="L85" s="18"/>
      <c r="M85" s="18"/>
      <c r="N85" s="18"/>
      <c r="O85" s="18">
        <f>SUM(TABELA2567[[#This Row],[T1]:[T7]])</f>
        <v>0</v>
      </c>
      <c r="P85" s="20">
        <f>TABELA2567[[#This Row],[QTDE]]*TABELA2567[[#This Row],[PREÇO]]</f>
        <v>0</v>
      </c>
      <c r="Q85" s="38">
        <f>VLOOKUP($A:$A,[1]Planilha1!$B:$L,7,0)</f>
        <v>898</v>
      </c>
      <c r="R85" s="38">
        <f>VLOOKUP($A:$A,[1]Planilha1!$B:$L,8,0)</f>
        <v>408.18</v>
      </c>
      <c r="S85" s="37">
        <f>TABELA2567[[#This Row],[PREÇO]]/TABELA2567[[#This Row],[Coluna1]]-1</f>
        <v>-0.62963251670378617</v>
      </c>
      <c r="T85" s="37">
        <f>TABELA2567[[#This Row],[PREÇO]]/TABELA2567[[#This Row],[Coluna2]]-1</f>
        <v>-0.18518790729580092</v>
      </c>
    </row>
    <row r="86" spans="1:20" x14ac:dyDescent="0.2">
      <c r="A86" s="1" t="str">
        <f>TRIM(TABELA2567[[#This Row],[PRODUTO]])&amp;TRIM(TABELA2567[[#This Row],[COR]])</f>
        <v>07.02.586021015</v>
      </c>
      <c r="B86" s="17" t="s">
        <v>245</v>
      </c>
      <c r="C86" s="18" t="s">
        <v>246</v>
      </c>
      <c r="D86" s="18" t="s">
        <v>142</v>
      </c>
      <c r="E86" s="18" t="s">
        <v>143</v>
      </c>
      <c r="F86" s="19">
        <v>369.63</v>
      </c>
      <c r="G86" s="18" t="s">
        <v>31</v>
      </c>
      <c r="H86" s="18"/>
      <c r="I86" s="18"/>
      <c r="J86" s="18"/>
      <c r="K86" s="18"/>
      <c r="L86" s="18"/>
      <c r="M86" s="18"/>
      <c r="N86" s="18"/>
      <c r="O86" s="18">
        <f>SUM(TABELA2567[[#This Row],[T1]:[T7]])</f>
        <v>0</v>
      </c>
      <c r="P86" s="20">
        <f>TABELA2567[[#This Row],[QTDE]]*TABELA2567[[#This Row],[PREÇO]]</f>
        <v>0</v>
      </c>
      <c r="Q86" s="38">
        <f>VLOOKUP($A:$A,[1]Planilha1!$B:$L,7,0)</f>
        <v>998</v>
      </c>
      <c r="R86" s="38">
        <f>VLOOKUP($A:$A,[1]Planilha1!$B:$L,8,0)</f>
        <v>453.64</v>
      </c>
      <c r="S86" s="37">
        <f>TABELA2567[[#This Row],[PREÇO]]/TABELA2567[[#This Row],[Coluna1]]-1</f>
        <v>-0.629629258517034</v>
      </c>
      <c r="T86" s="37">
        <f>TABELA2567[[#This Row],[PREÇO]]/TABELA2567[[#This Row],[Coluna2]]-1</f>
        <v>-0.18519090027334451</v>
      </c>
    </row>
    <row r="87" spans="1:20" x14ac:dyDescent="0.2">
      <c r="A87" s="1" t="str">
        <f>TRIM(TABELA2567[[#This Row],[PRODUTO]])&amp;TRIM(TABELA2567[[#This Row],[COR]])</f>
        <v>07.02.586121102</v>
      </c>
      <c r="B87" s="17" t="s">
        <v>247</v>
      </c>
      <c r="C87" s="18" t="s">
        <v>248</v>
      </c>
      <c r="D87" s="18" t="s">
        <v>249</v>
      </c>
      <c r="E87" s="18" t="s">
        <v>250</v>
      </c>
      <c r="F87" s="19">
        <v>258.52</v>
      </c>
      <c r="G87" s="18" t="s">
        <v>31</v>
      </c>
      <c r="H87" s="18"/>
      <c r="I87" s="18"/>
      <c r="J87" s="18"/>
      <c r="K87" s="18"/>
      <c r="L87" s="18"/>
      <c r="M87" s="18"/>
      <c r="N87" s="18"/>
      <c r="O87" s="18">
        <f>SUM(TABELA2567[[#This Row],[T1]:[T7]])</f>
        <v>0</v>
      </c>
      <c r="P87" s="20">
        <f>TABELA2567[[#This Row],[QTDE]]*TABELA2567[[#This Row],[PREÇO]]</f>
        <v>0</v>
      </c>
      <c r="Q87" s="38">
        <f>VLOOKUP($A:$A,[1]Planilha1!$B:$L,7,0)</f>
        <v>698</v>
      </c>
      <c r="R87" s="38">
        <f>VLOOKUP($A:$A,[1]Planilha1!$B:$L,8,0)</f>
        <v>317.27</v>
      </c>
      <c r="S87" s="37">
        <f>TABELA2567[[#This Row],[PREÇO]]/TABELA2567[[#This Row],[Coluna1]]-1</f>
        <v>-0.62962750716332383</v>
      </c>
      <c r="T87" s="37">
        <f>TABELA2567[[#This Row],[PREÇO]]/TABELA2567[[#This Row],[Coluna2]]-1</f>
        <v>-0.18517351152015638</v>
      </c>
    </row>
    <row r="88" spans="1:20" x14ac:dyDescent="0.2">
      <c r="A88" s="1" t="str">
        <f>TRIM(TABELA2567[[#This Row],[PRODUTO]])&amp;TRIM(TABELA2567[[#This Row],[COR]])</f>
        <v>07.02.586421011</v>
      </c>
      <c r="B88" s="17" t="s">
        <v>251</v>
      </c>
      <c r="C88" s="18" t="s">
        <v>252</v>
      </c>
      <c r="D88" s="18" t="s">
        <v>135</v>
      </c>
      <c r="E88" s="18" t="s">
        <v>136</v>
      </c>
      <c r="F88" s="19">
        <v>184.44</v>
      </c>
      <c r="G88" s="18" t="s">
        <v>31</v>
      </c>
      <c r="H88" s="18"/>
      <c r="I88" s="18"/>
      <c r="J88" s="18"/>
      <c r="K88" s="18"/>
      <c r="L88" s="18"/>
      <c r="M88" s="18"/>
      <c r="N88" s="18"/>
      <c r="O88" s="18">
        <f>SUM(TABELA2567[[#This Row],[T1]:[T7]])</f>
        <v>0</v>
      </c>
      <c r="P88" s="20">
        <f>TABELA2567[[#This Row],[QTDE]]*TABELA2567[[#This Row],[PREÇO]]</f>
        <v>0</v>
      </c>
      <c r="Q88" s="38">
        <f>VLOOKUP($A:$A,[1]Planilha1!$B:$L,7,0)</f>
        <v>498</v>
      </c>
      <c r="R88" s="38">
        <f>VLOOKUP($A:$A,[1]Planilha1!$B:$L,8,0)</f>
        <v>226.36</v>
      </c>
      <c r="S88" s="37">
        <f>TABELA2567[[#This Row],[PREÇO]]/TABELA2567[[#This Row],[Coluna1]]-1</f>
        <v>-0.62963855421686743</v>
      </c>
      <c r="T88" s="37">
        <f>TABELA2567[[#This Row],[PREÇO]]/TABELA2567[[#This Row],[Coluna2]]-1</f>
        <v>-0.18519172998763034</v>
      </c>
    </row>
    <row r="89" spans="1:20" x14ac:dyDescent="0.2">
      <c r="A89" s="1" t="str">
        <f>TRIM(TABELA2567[[#This Row],[PRODUTO]])&amp;TRIM(TABELA2567[[#This Row],[COR]])</f>
        <v>07.02.586621104</v>
      </c>
      <c r="B89" s="17" t="s">
        <v>253</v>
      </c>
      <c r="C89" s="18" t="s">
        <v>254</v>
      </c>
      <c r="D89" s="18" t="s">
        <v>163</v>
      </c>
      <c r="E89" s="18" t="s">
        <v>164</v>
      </c>
      <c r="F89" s="19">
        <v>332.59</v>
      </c>
      <c r="G89" s="18" t="s">
        <v>31</v>
      </c>
      <c r="H89" s="18"/>
      <c r="I89" s="18"/>
      <c r="J89" s="18"/>
      <c r="K89" s="18"/>
      <c r="L89" s="18"/>
      <c r="M89" s="18"/>
      <c r="N89" s="18"/>
      <c r="O89" s="18">
        <f>SUM(TABELA2567[[#This Row],[T1]:[T7]])</f>
        <v>0</v>
      </c>
      <c r="P89" s="20">
        <f>TABELA2567[[#This Row],[QTDE]]*TABELA2567[[#This Row],[PREÇO]]</f>
        <v>0</v>
      </c>
      <c r="Q89" s="38">
        <f>VLOOKUP($A:$A,[1]Planilha1!$B:$L,7,0)</f>
        <v>898</v>
      </c>
      <c r="R89" s="38">
        <f>VLOOKUP($A:$A,[1]Planilha1!$B:$L,8,0)</f>
        <v>408.18</v>
      </c>
      <c r="S89" s="37">
        <f>TABELA2567[[#This Row],[PREÇO]]/TABELA2567[[#This Row],[Coluna1]]-1</f>
        <v>-0.62963251670378617</v>
      </c>
      <c r="T89" s="37">
        <f>TABELA2567[[#This Row],[PREÇO]]/TABELA2567[[#This Row],[Coluna2]]-1</f>
        <v>-0.18518790729580092</v>
      </c>
    </row>
    <row r="90" spans="1:20" x14ac:dyDescent="0.2">
      <c r="A90" s="1" t="str">
        <f>TRIM(TABELA2567[[#This Row],[PRODUTO]])&amp;TRIM(TABELA2567[[#This Row],[COR]])</f>
        <v>07.02.58810005</v>
      </c>
      <c r="B90" s="17" t="s">
        <v>255</v>
      </c>
      <c r="C90" s="18" t="s">
        <v>256</v>
      </c>
      <c r="D90" s="18" t="s">
        <v>32</v>
      </c>
      <c r="E90" s="18" t="s">
        <v>257</v>
      </c>
      <c r="F90" s="19">
        <v>258.52</v>
      </c>
      <c r="G90" s="18" t="s">
        <v>56</v>
      </c>
      <c r="H90" s="18"/>
      <c r="I90" s="18"/>
      <c r="J90" s="18"/>
      <c r="K90" s="18"/>
      <c r="L90" s="18"/>
      <c r="M90" s="18"/>
      <c r="N90" s="18"/>
      <c r="O90" s="18">
        <f>SUM(TABELA2567[[#This Row],[T1]:[T7]])</f>
        <v>0</v>
      </c>
      <c r="P90" s="20">
        <f>TABELA2567[[#This Row],[QTDE]]*TABELA2567[[#This Row],[PREÇO]]</f>
        <v>0</v>
      </c>
      <c r="Q90" s="38">
        <f>VLOOKUP($A:$A,[1]Planilha1!$B:$L,7,0)</f>
        <v>698</v>
      </c>
      <c r="R90" s="38">
        <f>VLOOKUP($A:$A,[1]Planilha1!$B:$L,8,0)</f>
        <v>317.27</v>
      </c>
      <c r="S90" s="37">
        <f>TABELA2567[[#This Row],[PREÇO]]/TABELA2567[[#This Row],[Coluna1]]-1</f>
        <v>-0.62962750716332383</v>
      </c>
      <c r="T90" s="37">
        <f>TABELA2567[[#This Row],[PREÇO]]/TABELA2567[[#This Row],[Coluna2]]-1</f>
        <v>-0.18517351152015638</v>
      </c>
    </row>
    <row r="91" spans="1:20" x14ac:dyDescent="0.2">
      <c r="A91" s="1" t="str">
        <f>TRIM(TABELA2567[[#This Row],[PRODUTO]])&amp;TRIM(TABELA2567[[#This Row],[COR]])</f>
        <v>07.02.588101020</v>
      </c>
      <c r="B91" s="17" t="s">
        <v>255</v>
      </c>
      <c r="C91" s="18" t="s">
        <v>256</v>
      </c>
      <c r="D91" s="18" t="s">
        <v>258</v>
      </c>
      <c r="E91" s="18" t="s">
        <v>259</v>
      </c>
      <c r="F91" s="19">
        <v>258.52</v>
      </c>
      <c r="G91" s="18" t="s">
        <v>56</v>
      </c>
      <c r="H91" s="18"/>
      <c r="I91" s="18"/>
      <c r="J91" s="18"/>
      <c r="K91" s="18"/>
      <c r="L91" s="18"/>
      <c r="M91" s="18"/>
      <c r="N91" s="18"/>
      <c r="O91" s="18">
        <f>SUM(TABELA2567[[#This Row],[T1]:[T7]])</f>
        <v>0</v>
      </c>
      <c r="P91" s="20">
        <f>TABELA2567[[#This Row],[QTDE]]*TABELA2567[[#This Row],[PREÇO]]</f>
        <v>0</v>
      </c>
      <c r="Q91" s="38">
        <f>VLOOKUP($A:$A,[1]Planilha1!$B:$L,7,0)</f>
        <v>698</v>
      </c>
      <c r="R91" s="38">
        <f>VLOOKUP($A:$A,[1]Planilha1!$B:$L,8,0)</f>
        <v>317.27</v>
      </c>
      <c r="S91" s="37">
        <f>TABELA2567[[#This Row],[PREÇO]]/TABELA2567[[#This Row],[Coluna1]]-1</f>
        <v>-0.62962750716332383</v>
      </c>
      <c r="T91" s="37">
        <f>TABELA2567[[#This Row],[PREÇO]]/TABELA2567[[#This Row],[Coluna2]]-1</f>
        <v>-0.18517351152015638</v>
      </c>
    </row>
    <row r="92" spans="1:20" x14ac:dyDescent="0.2">
      <c r="A92" s="1" t="str">
        <f>TRIM(TABELA2567[[#This Row],[PRODUTO]])&amp;TRIM(TABELA2567[[#This Row],[COR]])</f>
        <v>07.02.588321048</v>
      </c>
      <c r="B92" s="17" t="s">
        <v>260</v>
      </c>
      <c r="C92" s="18" t="s">
        <v>261</v>
      </c>
      <c r="D92" s="18" t="s">
        <v>159</v>
      </c>
      <c r="E92" s="18" t="s">
        <v>160</v>
      </c>
      <c r="F92" s="19">
        <v>184.44</v>
      </c>
      <c r="G92" s="18" t="s">
        <v>31</v>
      </c>
      <c r="H92" s="18"/>
      <c r="I92" s="18"/>
      <c r="J92" s="18"/>
      <c r="K92" s="18"/>
      <c r="L92" s="18"/>
      <c r="M92" s="18"/>
      <c r="N92" s="18"/>
      <c r="O92" s="18">
        <f>SUM(TABELA2567[[#This Row],[T1]:[T7]])</f>
        <v>0</v>
      </c>
      <c r="P92" s="20">
        <f>TABELA2567[[#This Row],[QTDE]]*TABELA2567[[#This Row],[PREÇO]]</f>
        <v>0</v>
      </c>
      <c r="Q92" s="38">
        <f>VLOOKUP($A:$A,[1]Planilha1!$B:$L,7,0)</f>
        <v>498</v>
      </c>
      <c r="R92" s="38">
        <f>VLOOKUP($A:$A,[1]Planilha1!$B:$L,8,0)</f>
        <v>226.36</v>
      </c>
      <c r="S92" s="37">
        <f>TABELA2567[[#This Row],[PREÇO]]/TABELA2567[[#This Row],[Coluna1]]-1</f>
        <v>-0.62963855421686743</v>
      </c>
      <c r="T92" s="37">
        <f>TABELA2567[[#This Row],[PREÇO]]/TABELA2567[[#This Row],[Coluna2]]-1</f>
        <v>-0.18519172998763034</v>
      </c>
    </row>
    <row r="93" spans="1:20" x14ac:dyDescent="0.2">
      <c r="A93" s="1" t="str">
        <f>TRIM(TABELA2567[[#This Row],[PRODUTO]])&amp;TRIM(TABELA2567[[#This Row],[COR]])</f>
        <v>07.03.031521046</v>
      </c>
      <c r="B93" s="17" t="s">
        <v>262</v>
      </c>
      <c r="C93" s="18" t="s">
        <v>263</v>
      </c>
      <c r="D93" s="18" t="s">
        <v>243</v>
      </c>
      <c r="E93" s="18" t="s">
        <v>244</v>
      </c>
      <c r="F93" s="19">
        <v>332.59</v>
      </c>
      <c r="G93" s="18" t="s">
        <v>31</v>
      </c>
      <c r="H93" s="18"/>
      <c r="I93" s="18"/>
      <c r="J93" s="18"/>
      <c r="K93" s="18"/>
      <c r="L93" s="18"/>
      <c r="M93" s="18"/>
      <c r="N93" s="18"/>
      <c r="O93" s="18">
        <f>SUM(TABELA2567[[#This Row],[T1]:[T7]])</f>
        <v>0</v>
      </c>
      <c r="P93" s="20">
        <f>TABELA2567[[#This Row],[QTDE]]*TABELA2567[[#This Row],[PREÇO]]</f>
        <v>0</v>
      </c>
      <c r="Q93" s="38">
        <f>VLOOKUP($A:$A,[1]Planilha1!$B:$L,7,0)</f>
        <v>898</v>
      </c>
      <c r="R93" s="38">
        <f>VLOOKUP($A:$A,[1]Planilha1!$B:$L,8,0)</f>
        <v>408.18</v>
      </c>
      <c r="S93" s="37">
        <f>TABELA2567[[#This Row],[PREÇO]]/TABELA2567[[#This Row],[Coluna1]]-1</f>
        <v>-0.62963251670378617</v>
      </c>
      <c r="T93" s="37">
        <f>TABELA2567[[#This Row],[PREÇO]]/TABELA2567[[#This Row],[Coluna2]]-1</f>
        <v>-0.18518790729580092</v>
      </c>
    </row>
    <row r="94" spans="1:20" x14ac:dyDescent="0.2">
      <c r="A94" s="1" t="str">
        <f>TRIM(TABELA2567[[#This Row],[PRODUTO]])&amp;TRIM(TABELA2567[[#This Row],[COR]])</f>
        <v>07.04.064120127</v>
      </c>
      <c r="B94" s="17" t="s">
        <v>264</v>
      </c>
      <c r="C94" s="18" t="s">
        <v>265</v>
      </c>
      <c r="D94" s="18" t="s">
        <v>266</v>
      </c>
      <c r="E94" s="18" t="s">
        <v>267</v>
      </c>
      <c r="F94" s="19">
        <v>740</v>
      </c>
      <c r="G94" s="18" t="s">
        <v>31</v>
      </c>
      <c r="H94" s="18"/>
      <c r="I94" s="18"/>
      <c r="J94" s="18"/>
      <c r="K94" s="18"/>
      <c r="L94" s="18"/>
      <c r="M94" s="18"/>
      <c r="N94" s="18"/>
      <c r="O94" s="18">
        <f>SUM(TABELA2567[[#This Row],[T1]:[T7]])</f>
        <v>0</v>
      </c>
      <c r="P94" s="20">
        <f>TABELA2567[[#This Row],[QTDE]]*TABELA2567[[#This Row],[PREÇO]]</f>
        <v>0</v>
      </c>
      <c r="Q94" s="38">
        <f>VLOOKUP($A:$A,[1]Planilha1!$B:$L,7,0)</f>
        <v>1998</v>
      </c>
      <c r="R94" s="38">
        <f>VLOOKUP($A:$A,[1]Planilha1!$B:$L,8,0)</f>
        <v>908.18</v>
      </c>
      <c r="S94" s="37">
        <f>TABELA2567[[#This Row],[PREÇO]]/TABELA2567[[#This Row],[Coluna1]]-1</f>
        <v>-0.62962962962962965</v>
      </c>
      <c r="T94" s="37">
        <f>TABELA2567[[#This Row],[PREÇO]]/TABELA2567[[#This Row],[Coluna2]]-1</f>
        <v>-0.18518355392102881</v>
      </c>
    </row>
    <row r="95" spans="1:20" x14ac:dyDescent="0.2">
      <c r="A95" s="1" t="str">
        <f>TRIM(TABELA2567[[#This Row],[PRODUTO]])&amp;TRIM(TABELA2567[[#This Row],[COR]])</f>
        <v>07.04.06454612</v>
      </c>
      <c r="B95" s="17" t="s">
        <v>268</v>
      </c>
      <c r="C95" s="18" t="s">
        <v>269</v>
      </c>
      <c r="D95" s="18" t="s">
        <v>225</v>
      </c>
      <c r="E95" s="18" t="s">
        <v>226</v>
      </c>
      <c r="F95" s="19">
        <v>443.7</v>
      </c>
      <c r="G95" s="18" t="s">
        <v>31</v>
      </c>
      <c r="H95" s="18"/>
      <c r="I95" s="18"/>
      <c r="J95" s="18"/>
      <c r="K95" s="18"/>
      <c r="L95" s="18"/>
      <c r="M95" s="18"/>
      <c r="N95" s="18"/>
      <c r="O95" s="18">
        <f>SUM(TABELA2567[[#This Row],[T1]:[T7]])</f>
        <v>0</v>
      </c>
      <c r="P95" s="20">
        <f>TABELA2567[[#This Row],[QTDE]]*TABELA2567[[#This Row],[PREÇO]]</f>
        <v>0</v>
      </c>
      <c r="Q95" s="38">
        <f>VLOOKUP($A:$A,[1]Planilha1!$B:$L,7,0)</f>
        <v>1198</v>
      </c>
      <c r="R95" s="38">
        <f>VLOOKUP($A:$A,[1]Planilha1!$B:$L,8,0)</f>
        <v>544.54999999999995</v>
      </c>
      <c r="S95" s="37">
        <f>TABELA2567[[#This Row],[PREÇO]]/TABELA2567[[#This Row],[Coluna1]]-1</f>
        <v>-0.62963272120200342</v>
      </c>
      <c r="T95" s="37">
        <f>TABELA2567[[#This Row],[PREÇO]]/TABELA2567[[#This Row],[Coluna2]]-1</f>
        <v>-0.18519878799008349</v>
      </c>
    </row>
    <row r="96" spans="1:20" x14ac:dyDescent="0.2">
      <c r="A96" s="1" t="str">
        <f>TRIM(TABELA2567[[#This Row],[PRODUTO]])&amp;TRIM(TABELA2567[[#This Row],[COR]])</f>
        <v>07.04.06530005</v>
      </c>
      <c r="B96" s="17" t="s">
        <v>270</v>
      </c>
      <c r="C96" s="18" t="s">
        <v>271</v>
      </c>
      <c r="D96" s="18" t="s">
        <v>32</v>
      </c>
      <c r="E96" s="18" t="s">
        <v>33</v>
      </c>
      <c r="F96" s="19">
        <v>554.80999999999995</v>
      </c>
      <c r="G96" s="18" t="s">
        <v>272</v>
      </c>
      <c r="H96" s="18"/>
      <c r="I96" s="18"/>
      <c r="J96" s="18"/>
      <c r="K96" s="18"/>
      <c r="L96" s="18"/>
      <c r="M96" s="18"/>
      <c r="N96" s="18"/>
      <c r="O96" s="18">
        <f>SUM(TABELA2567[[#This Row],[T1]:[T7]])</f>
        <v>0</v>
      </c>
      <c r="P96" s="20">
        <f>TABELA2567[[#This Row],[QTDE]]*TABELA2567[[#This Row],[PREÇO]]</f>
        <v>0</v>
      </c>
      <c r="Q96" s="38">
        <f>VLOOKUP($A:$A,[1]Planilha1!$B:$L,7,0)</f>
        <v>1498</v>
      </c>
      <c r="R96" s="38">
        <f>VLOOKUP($A:$A,[1]Planilha1!$B:$L,8,0)</f>
        <v>680.91</v>
      </c>
      <c r="S96" s="37">
        <f>TABELA2567[[#This Row],[PREÇO]]/TABELA2567[[#This Row],[Coluna1]]-1</f>
        <v>-0.62963284379172235</v>
      </c>
      <c r="T96" s="37">
        <f>TABELA2567[[#This Row],[PREÇO]]/TABELA2567[[#This Row],[Coluna2]]-1</f>
        <v>-0.18519334420114264</v>
      </c>
    </row>
    <row r="97" spans="1:20" x14ac:dyDescent="0.2">
      <c r="A97" s="1" t="str">
        <f>TRIM(TABELA2567[[#This Row],[PRODUTO]])&amp;TRIM(TABELA2567[[#This Row],[COR]])</f>
        <v>07.04.068720110</v>
      </c>
      <c r="B97" s="17" t="s">
        <v>273</v>
      </c>
      <c r="C97" s="18" t="s">
        <v>274</v>
      </c>
      <c r="D97" s="18" t="s">
        <v>275</v>
      </c>
      <c r="E97" s="18" t="s">
        <v>276</v>
      </c>
      <c r="F97" s="19">
        <v>443.7</v>
      </c>
      <c r="G97" s="18" t="s">
        <v>41</v>
      </c>
      <c r="H97" s="18"/>
      <c r="I97" s="18"/>
      <c r="J97" s="18"/>
      <c r="K97" s="18"/>
      <c r="L97" s="18"/>
      <c r="M97" s="18"/>
      <c r="N97" s="18"/>
      <c r="O97" s="18">
        <f>SUM(TABELA2567[[#This Row],[T1]:[T7]])</f>
        <v>0</v>
      </c>
      <c r="P97" s="20">
        <f>TABELA2567[[#This Row],[QTDE]]*TABELA2567[[#This Row],[PREÇO]]</f>
        <v>0</v>
      </c>
      <c r="Q97" s="38">
        <f>VLOOKUP($A:$A,[1]Planilha1!$B:$L,7,0)</f>
        <v>1198</v>
      </c>
      <c r="R97" s="38">
        <f>VLOOKUP($A:$A,[1]Planilha1!$B:$L,8,0)</f>
        <v>544.54999999999995</v>
      </c>
      <c r="S97" s="37">
        <f>TABELA2567[[#This Row],[PREÇO]]/TABELA2567[[#This Row],[Coluna1]]-1</f>
        <v>-0.62963272120200342</v>
      </c>
      <c r="T97" s="37">
        <f>TABELA2567[[#This Row],[PREÇO]]/TABELA2567[[#This Row],[Coluna2]]-1</f>
        <v>-0.18519878799008349</v>
      </c>
    </row>
    <row r="98" spans="1:20" x14ac:dyDescent="0.2">
      <c r="A98" s="1" t="str">
        <f>TRIM(TABELA2567[[#This Row],[PRODUTO]])&amp;TRIM(TABELA2567[[#This Row],[COR]])</f>
        <v>07.04.087021060</v>
      </c>
      <c r="B98" s="17" t="s">
        <v>277</v>
      </c>
      <c r="C98" s="18" t="s">
        <v>278</v>
      </c>
      <c r="D98" s="18" t="s">
        <v>185</v>
      </c>
      <c r="E98" s="18" t="s">
        <v>186</v>
      </c>
      <c r="F98" s="19">
        <v>184.44</v>
      </c>
      <c r="G98" s="18" t="s">
        <v>31</v>
      </c>
      <c r="H98" s="18"/>
      <c r="I98" s="18"/>
      <c r="J98" s="18"/>
      <c r="K98" s="18"/>
      <c r="L98" s="18"/>
      <c r="M98" s="18"/>
      <c r="N98" s="18"/>
      <c r="O98" s="18">
        <f>SUM(TABELA2567[[#This Row],[T1]:[T7]])</f>
        <v>0</v>
      </c>
      <c r="P98" s="20">
        <f>TABELA2567[[#This Row],[QTDE]]*TABELA2567[[#This Row],[PREÇO]]</f>
        <v>0</v>
      </c>
      <c r="Q98" s="38">
        <f>VLOOKUP($A:$A,[1]Planilha1!$B:$L,7,0)</f>
        <v>498</v>
      </c>
      <c r="R98" s="38">
        <f>VLOOKUP($A:$A,[1]Planilha1!$B:$L,8,0)</f>
        <v>226.36</v>
      </c>
      <c r="S98" s="37">
        <f>TABELA2567[[#This Row],[PREÇO]]/TABELA2567[[#This Row],[Coluna1]]-1</f>
        <v>-0.62963855421686743</v>
      </c>
      <c r="T98" s="37">
        <f>TABELA2567[[#This Row],[PREÇO]]/TABELA2567[[#This Row],[Coluna2]]-1</f>
        <v>-0.18519172998763034</v>
      </c>
    </row>
    <row r="99" spans="1:20" x14ac:dyDescent="0.2">
      <c r="A99" s="1" t="str">
        <f>TRIM(TABELA2567[[#This Row],[PRODUTO]])&amp;TRIM(TABELA2567[[#This Row],[COR]])</f>
        <v>07.04.087521060</v>
      </c>
      <c r="B99" s="17" t="s">
        <v>279</v>
      </c>
      <c r="C99" s="18" t="s">
        <v>280</v>
      </c>
      <c r="D99" s="18" t="s">
        <v>185</v>
      </c>
      <c r="E99" s="18" t="s">
        <v>186</v>
      </c>
      <c r="F99" s="19">
        <v>258.52</v>
      </c>
      <c r="G99" s="18" t="s">
        <v>31</v>
      </c>
      <c r="H99" s="18"/>
      <c r="I99" s="18"/>
      <c r="J99" s="18"/>
      <c r="K99" s="18"/>
      <c r="L99" s="18"/>
      <c r="M99" s="18"/>
      <c r="N99" s="18"/>
      <c r="O99" s="18">
        <f>SUM(TABELA2567[[#This Row],[T1]:[T7]])</f>
        <v>0</v>
      </c>
      <c r="P99" s="20">
        <f>TABELA2567[[#This Row],[QTDE]]*TABELA2567[[#This Row],[PREÇO]]</f>
        <v>0</v>
      </c>
      <c r="Q99" s="38">
        <f>VLOOKUP($A:$A,[1]Planilha1!$B:$L,7,0)</f>
        <v>698</v>
      </c>
      <c r="R99" s="38">
        <f>VLOOKUP($A:$A,[1]Planilha1!$B:$L,8,0)</f>
        <v>317.27</v>
      </c>
      <c r="S99" s="37">
        <f>TABELA2567[[#This Row],[PREÇO]]/TABELA2567[[#This Row],[Coluna1]]-1</f>
        <v>-0.62962750716332383</v>
      </c>
      <c r="T99" s="37">
        <f>TABELA2567[[#This Row],[PREÇO]]/TABELA2567[[#This Row],[Coluna2]]-1</f>
        <v>-0.18517351152015638</v>
      </c>
    </row>
    <row r="100" spans="1:20" x14ac:dyDescent="0.2">
      <c r="A100" s="1" t="str">
        <f>TRIM(TABELA2567[[#This Row],[PRODUTO]])&amp;TRIM(TABELA2567[[#This Row],[COR]])</f>
        <v>07.04.087621011</v>
      </c>
      <c r="B100" s="17" t="s">
        <v>281</v>
      </c>
      <c r="C100" s="18" t="s">
        <v>282</v>
      </c>
      <c r="D100" s="18" t="s">
        <v>135</v>
      </c>
      <c r="E100" s="18" t="s">
        <v>136</v>
      </c>
      <c r="F100" s="19">
        <v>221.48</v>
      </c>
      <c r="G100" s="18" t="s">
        <v>31</v>
      </c>
      <c r="H100" s="18"/>
      <c r="I100" s="18"/>
      <c r="J100" s="18"/>
      <c r="K100" s="18"/>
      <c r="L100" s="18"/>
      <c r="M100" s="18"/>
      <c r="N100" s="18"/>
      <c r="O100" s="18">
        <f>SUM(TABELA2567[[#This Row],[T1]:[T7]])</f>
        <v>0</v>
      </c>
      <c r="P100" s="20">
        <f>TABELA2567[[#This Row],[QTDE]]*TABELA2567[[#This Row],[PREÇO]]</f>
        <v>0</v>
      </c>
      <c r="Q100" s="38">
        <f>VLOOKUP($A:$A,[1]Planilha1!$B:$L,7,0)</f>
        <v>598</v>
      </c>
      <c r="R100" s="38">
        <f>VLOOKUP($A:$A,[1]Planilha1!$B:$L,8,0)</f>
        <v>271.82</v>
      </c>
      <c r="S100" s="37">
        <f>TABELA2567[[#This Row],[PREÇO]]/TABELA2567[[#This Row],[Coluna1]]-1</f>
        <v>-0.62963210702341144</v>
      </c>
      <c r="T100" s="37">
        <f>TABELA2567[[#This Row],[PREÇO]]/TABELA2567[[#This Row],[Coluna2]]-1</f>
        <v>-0.18519608564491208</v>
      </c>
    </row>
    <row r="101" spans="1:20" x14ac:dyDescent="0.2">
      <c r="A101" s="1" t="str">
        <f>TRIM(TABELA2567[[#This Row],[PRODUTO]])&amp;TRIM(TABELA2567[[#This Row],[COR]])</f>
        <v>07.04.088121048</v>
      </c>
      <c r="B101" s="17" t="s">
        <v>283</v>
      </c>
      <c r="C101" s="18" t="s">
        <v>284</v>
      </c>
      <c r="D101" s="18" t="s">
        <v>159</v>
      </c>
      <c r="E101" s="18" t="s">
        <v>160</v>
      </c>
      <c r="F101" s="19">
        <v>221.48</v>
      </c>
      <c r="G101" s="18" t="s">
        <v>31</v>
      </c>
      <c r="H101" s="18"/>
      <c r="I101" s="18"/>
      <c r="J101" s="18"/>
      <c r="K101" s="18"/>
      <c r="L101" s="18"/>
      <c r="M101" s="18"/>
      <c r="N101" s="18"/>
      <c r="O101" s="18">
        <f>SUM(TABELA2567[[#This Row],[T1]:[T7]])</f>
        <v>0</v>
      </c>
      <c r="P101" s="20">
        <f>TABELA2567[[#This Row],[QTDE]]*TABELA2567[[#This Row],[PREÇO]]</f>
        <v>0</v>
      </c>
      <c r="Q101" s="38">
        <f>VLOOKUP($A:$A,[1]Planilha1!$B:$L,7,0)</f>
        <v>598</v>
      </c>
      <c r="R101" s="38">
        <f>VLOOKUP($A:$A,[1]Planilha1!$B:$L,8,0)</f>
        <v>271.82</v>
      </c>
      <c r="S101" s="37">
        <f>TABELA2567[[#This Row],[PREÇO]]/TABELA2567[[#This Row],[Coluna1]]-1</f>
        <v>-0.62963210702341144</v>
      </c>
      <c r="T101" s="37">
        <f>TABELA2567[[#This Row],[PREÇO]]/TABELA2567[[#This Row],[Coluna2]]-1</f>
        <v>-0.18519608564491208</v>
      </c>
    </row>
    <row r="102" spans="1:20" x14ac:dyDescent="0.2">
      <c r="A102" s="1" t="str">
        <f>TRIM(TABELA2567[[#This Row],[PRODUTO]])&amp;TRIM(TABELA2567[[#This Row],[COR]])</f>
        <v>07.04.089721011</v>
      </c>
      <c r="B102" s="17" t="s">
        <v>285</v>
      </c>
      <c r="C102" s="18" t="s">
        <v>286</v>
      </c>
      <c r="D102" s="18" t="s">
        <v>135</v>
      </c>
      <c r="E102" s="18" t="s">
        <v>136</v>
      </c>
      <c r="F102" s="19">
        <v>184.44</v>
      </c>
      <c r="G102" s="18" t="s">
        <v>31</v>
      </c>
      <c r="H102" s="18"/>
      <c r="I102" s="18"/>
      <c r="J102" s="18"/>
      <c r="K102" s="18"/>
      <c r="L102" s="18"/>
      <c r="M102" s="18"/>
      <c r="N102" s="18"/>
      <c r="O102" s="18">
        <f>SUM(TABELA2567[[#This Row],[T1]:[T7]])</f>
        <v>0</v>
      </c>
      <c r="P102" s="20">
        <f>TABELA2567[[#This Row],[QTDE]]*TABELA2567[[#This Row],[PREÇO]]</f>
        <v>0</v>
      </c>
      <c r="Q102" s="38">
        <f>VLOOKUP($A:$A,[1]Planilha1!$B:$L,7,0)</f>
        <v>498</v>
      </c>
      <c r="R102" s="38">
        <f>VLOOKUP($A:$A,[1]Planilha1!$B:$L,8,0)</f>
        <v>226.36</v>
      </c>
      <c r="S102" s="37">
        <f>TABELA2567[[#This Row],[PREÇO]]/TABELA2567[[#This Row],[Coluna1]]-1</f>
        <v>-0.62963855421686743</v>
      </c>
      <c r="T102" s="37">
        <f>TABELA2567[[#This Row],[PREÇO]]/TABELA2567[[#This Row],[Coluna2]]-1</f>
        <v>-0.18519172998763034</v>
      </c>
    </row>
    <row r="103" spans="1:20" x14ac:dyDescent="0.2">
      <c r="A103" s="1" t="str">
        <f>TRIM(TABELA2567[[#This Row],[PRODUTO]])&amp;TRIM(TABELA2567[[#This Row],[COR]])</f>
        <v>07.04.090321092</v>
      </c>
      <c r="B103" s="17" t="s">
        <v>287</v>
      </c>
      <c r="C103" s="18" t="s">
        <v>288</v>
      </c>
      <c r="D103" s="18" t="s">
        <v>119</v>
      </c>
      <c r="E103" s="18" t="s">
        <v>120</v>
      </c>
      <c r="F103" s="19">
        <v>184.44</v>
      </c>
      <c r="G103" s="18" t="s">
        <v>31</v>
      </c>
      <c r="H103" s="18"/>
      <c r="I103" s="18"/>
      <c r="J103" s="18"/>
      <c r="K103" s="18"/>
      <c r="L103" s="18"/>
      <c r="M103" s="18"/>
      <c r="N103" s="18"/>
      <c r="O103" s="18">
        <f>SUM(TABELA2567[[#This Row],[T1]:[T7]])</f>
        <v>0</v>
      </c>
      <c r="P103" s="20">
        <f>TABELA2567[[#This Row],[QTDE]]*TABELA2567[[#This Row],[PREÇO]]</f>
        <v>0</v>
      </c>
      <c r="Q103" s="38">
        <f>VLOOKUP($A:$A,[1]Planilha1!$B:$L,7,0)</f>
        <v>498</v>
      </c>
      <c r="R103" s="38">
        <f>VLOOKUP($A:$A,[1]Planilha1!$B:$L,8,0)</f>
        <v>226.36</v>
      </c>
      <c r="S103" s="37">
        <f>TABELA2567[[#This Row],[PREÇO]]/TABELA2567[[#This Row],[Coluna1]]-1</f>
        <v>-0.62963855421686743</v>
      </c>
      <c r="T103" s="37">
        <f>TABELA2567[[#This Row],[PREÇO]]/TABELA2567[[#This Row],[Coluna2]]-1</f>
        <v>-0.18519172998763034</v>
      </c>
    </row>
    <row r="104" spans="1:20" x14ac:dyDescent="0.2">
      <c r="A104" s="1" t="str">
        <f>TRIM(TABELA2567[[#This Row],[PRODUTO]])&amp;TRIM(TABELA2567[[#This Row],[COR]])</f>
        <v>07.04.090421092</v>
      </c>
      <c r="B104" s="17" t="s">
        <v>289</v>
      </c>
      <c r="C104" s="18" t="s">
        <v>290</v>
      </c>
      <c r="D104" s="18" t="s">
        <v>119</v>
      </c>
      <c r="E104" s="18" t="s">
        <v>120</v>
      </c>
      <c r="F104" s="19">
        <v>258.52</v>
      </c>
      <c r="G104" s="18" t="s">
        <v>31</v>
      </c>
      <c r="H104" s="18"/>
      <c r="I104" s="18"/>
      <c r="J104" s="18"/>
      <c r="K104" s="18"/>
      <c r="L104" s="18"/>
      <c r="M104" s="18"/>
      <c r="N104" s="18"/>
      <c r="O104" s="18">
        <f>SUM(TABELA2567[[#This Row],[T1]:[T7]])</f>
        <v>0</v>
      </c>
      <c r="P104" s="20">
        <f>TABELA2567[[#This Row],[QTDE]]*TABELA2567[[#This Row],[PREÇO]]</f>
        <v>0</v>
      </c>
      <c r="Q104" s="38">
        <f>VLOOKUP($A:$A,[1]Planilha1!$B:$L,7,0)</f>
        <v>698</v>
      </c>
      <c r="R104" s="38">
        <f>VLOOKUP($A:$A,[1]Planilha1!$B:$L,8,0)</f>
        <v>317.27</v>
      </c>
      <c r="S104" s="37">
        <f>TABELA2567[[#This Row],[PREÇO]]/TABELA2567[[#This Row],[Coluna1]]-1</f>
        <v>-0.62962750716332383</v>
      </c>
      <c r="T104" s="37">
        <f>TABELA2567[[#This Row],[PREÇO]]/TABELA2567[[#This Row],[Coluna2]]-1</f>
        <v>-0.18517351152015638</v>
      </c>
    </row>
    <row r="105" spans="1:20" x14ac:dyDescent="0.2">
      <c r="A105" s="1" t="str">
        <f>TRIM(TABELA2567[[#This Row],[PRODUTO]])&amp;TRIM(TABELA2567[[#This Row],[COR]])</f>
        <v>07.04.091101032</v>
      </c>
      <c r="B105" s="17" t="s">
        <v>291</v>
      </c>
      <c r="C105" s="18" t="s">
        <v>292</v>
      </c>
      <c r="D105" s="18" t="s">
        <v>205</v>
      </c>
      <c r="E105" s="18" t="s">
        <v>206</v>
      </c>
      <c r="F105" s="19">
        <v>295.56</v>
      </c>
      <c r="G105" s="18" t="s">
        <v>31</v>
      </c>
      <c r="H105" s="18"/>
      <c r="I105" s="18"/>
      <c r="J105" s="18"/>
      <c r="K105" s="18"/>
      <c r="L105" s="18"/>
      <c r="M105" s="18"/>
      <c r="N105" s="18"/>
      <c r="O105" s="18">
        <f>SUM(TABELA2567[[#This Row],[T1]:[T7]])</f>
        <v>0</v>
      </c>
      <c r="P105" s="20">
        <f>TABELA2567[[#This Row],[QTDE]]*TABELA2567[[#This Row],[PREÇO]]</f>
        <v>0</v>
      </c>
      <c r="Q105" s="38">
        <f>VLOOKUP($A:$A,[1]Planilha1!$B:$L,7,0)</f>
        <v>798</v>
      </c>
      <c r="R105" s="38">
        <f>VLOOKUP($A:$A,[1]Planilha1!$B:$L,8,0)</f>
        <v>362.73</v>
      </c>
      <c r="S105" s="37">
        <f>TABELA2567[[#This Row],[PREÇO]]/TABELA2567[[#This Row],[Coluna1]]-1</f>
        <v>-0.62962406015037597</v>
      </c>
      <c r="T105" s="37">
        <f>TABELA2567[[#This Row],[PREÇO]]/TABELA2567[[#This Row],[Coluna2]]-1</f>
        <v>-0.18517905880406915</v>
      </c>
    </row>
    <row r="106" spans="1:20" x14ac:dyDescent="0.2">
      <c r="A106" s="1" t="str">
        <f>TRIM(TABELA2567[[#This Row],[PRODUTO]])&amp;TRIM(TABELA2567[[#This Row],[COR]])</f>
        <v>07.04.091721103</v>
      </c>
      <c r="B106" s="17" t="s">
        <v>293</v>
      </c>
      <c r="C106" s="18" t="s">
        <v>294</v>
      </c>
      <c r="D106" s="18" t="s">
        <v>295</v>
      </c>
      <c r="E106" s="18" t="s">
        <v>296</v>
      </c>
      <c r="F106" s="19">
        <v>332.59</v>
      </c>
      <c r="G106" s="18" t="s">
        <v>31</v>
      </c>
      <c r="H106" s="18"/>
      <c r="I106" s="18"/>
      <c r="J106" s="18"/>
      <c r="K106" s="18"/>
      <c r="L106" s="18"/>
      <c r="M106" s="18"/>
      <c r="N106" s="18"/>
      <c r="O106" s="18">
        <f>SUM(TABELA2567[[#This Row],[T1]:[T7]])</f>
        <v>0</v>
      </c>
      <c r="P106" s="20">
        <f>TABELA2567[[#This Row],[QTDE]]*TABELA2567[[#This Row],[PREÇO]]</f>
        <v>0</v>
      </c>
      <c r="Q106" s="38">
        <f>VLOOKUP($A:$A,[1]Planilha1!$B:$L,7,0)</f>
        <v>898</v>
      </c>
      <c r="R106" s="38">
        <f>VLOOKUP($A:$A,[1]Planilha1!$B:$L,8,0)</f>
        <v>408.18</v>
      </c>
      <c r="S106" s="37">
        <f>TABELA2567[[#This Row],[PREÇO]]/TABELA2567[[#This Row],[Coluna1]]-1</f>
        <v>-0.62963251670378617</v>
      </c>
      <c r="T106" s="37">
        <f>TABELA2567[[#This Row],[PREÇO]]/TABELA2567[[#This Row],[Coluna2]]-1</f>
        <v>-0.18518790729580092</v>
      </c>
    </row>
    <row r="107" spans="1:20" x14ac:dyDescent="0.2">
      <c r="A107" s="1" t="str">
        <f>TRIM(TABELA2567[[#This Row],[PRODUTO]])&amp;TRIM(TABELA2567[[#This Row],[COR]])</f>
        <v>07.04.091821103</v>
      </c>
      <c r="B107" s="17" t="s">
        <v>297</v>
      </c>
      <c r="C107" s="18" t="s">
        <v>298</v>
      </c>
      <c r="D107" s="18" t="s">
        <v>295</v>
      </c>
      <c r="E107" s="18" t="s">
        <v>296</v>
      </c>
      <c r="F107" s="19">
        <v>443.7</v>
      </c>
      <c r="G107" s="18" t="s">
        <v>41</v>
      </c>
      <c r="H107" s="18"/>
      <c r="I107" s="18"/>
      <c r="J107" s="18"/>
      <c r="K107" s="18"/>
      <c r="L107" s="18"/>
      <c r="M107" s="18"/>
      <c r="N107" s="18"/>
      <c r="O107" s="18">
        <f>SUM(TABELA2567[[#This Row],[T1]:[T7]])</f>
        <v>0</v>
      </c>
      <c r="P107" s="20">
        <f>TABELA2567[[#This Row],[QTDE]]*TABELA2567[[#This Row],[PREÇO]]</f>
        <v>0</v>
      </c>
      <c r="Q107" s="38">
        <f>VLOOKUP($A:$A,[1]Planilha1!$B:$L,7,0)</f>
        <v>1198</v>
      </c>
      <c r="R107" s="38">
        <f>VLOOKUP($A:$A,[1]Planilha1!$B:$L,8,0)</f>
        <v>544.54999999999995</v>
      </c>
      <c r="S107" s="37">
        <f>TABELA2567[[#This Row],[PREÇO]]/TABELA2567[[#This Row],[Coluna1]]-1</f>
        <v>-0.62963272120200342</v>
      </c>
      <c r="T107" s="37">
        <f>TABELA2567[[#This Row],[PREÇO]]/TABELA2567[[#This Row],[Coluna2]]-1</f>
        <v>-0.18519878799008349</v>
      </c>
    </row>
    <row r="108" spans="1:20" x14ac:dyDescent="0.2">
      <c r="A108" s="1" t="str">
        <f>TRIM(TABELA2567[[#This Row],[PRODUTO]])&amp;TRIM(TABELA2567[[#This Row],[COR]])</f>
        <v>07.04.092921102</v>
      </c>
      <c r="B108" s="17" t="s">
        <v>299</v>
      </c>
      <c r="C108" s="18" t="s">
        <v>300</v>
      </c>
      <c r="D108" s="18" t="s">
        <v>249</v>
      </c>
      <c r="E108" s="18" t="s">
        <v>250</v>
      </c>
      <c r="F108" s="19">
        <v>443.7</v>
      </c>
      <c r="G108" s="18" t="s">
        <v>31</v>
      </c>
      <c r="H108" s="18"/>
      <c r="I108" s="18"/>
      <c r="J108" s="18"/>
      <c r="K108" s="18"/>
      <c r="L108" s="18"/>
      <c r="M108" s="18"/>
      <c r="N108" s="18"/>
      <c r="O108" s="18">
        <f>SUM(TABELA2567[[#This Row],[T1]:[T7]])</f>
        <v>0</v>
      </c>
      <c r="P108" s="20">
        <f>TABELA2567[[#This Row],[QTDE]]*TABELA2567[[#This Row],[PREÇO]]</f>
        <v>0</v>
      </c>
      <c r="Q108" s="38">
        <f>VLOOKUP($A:$A,[1]Planilha1!$B:$L,7,0)</f>
        <v>1198</v>
      </c>
      <c r="R108" s="38">
        <f>VLOOKUP($A:$A,[1]Planilha1!$B:$L,8,0)</f>
        <v>544.54999999999995</v>
      </c>
      <c r="S108" s="37">
        <f>TABELA2567[[#This Row],[PREÇO]]/TABELA2567[[#This Row],[Coluna1]]-1</f>
        <v>-0.62963272120200342</v>
      </c>
      <c r="T108" s="37">
        <f>TABELA2567[[#This Row],[PREÇO]]/TABELA2567[[#This Row],[Coluna2]]-1</f>
        <v>-0.18519878799008349</v>
      </c>
    </row>
    <row r="109" spans="1:20" x14ac:dyDescent="0.2">
      <c r="A109" s="1" t="str">
        <f>TRIM(TABELA2567[[#This Row],[PRODUTO]])&amp;TRIM(TABELA2567[[#This Row],[COR]])</f>
        <v>07.04.093221015</v>
      </c>
      <c r="B109" s="17" t="s">
        <v>301</v>
      </c>
      <c r="C109" s="18" t="s">
        <v>302</v>
      </c>
      <c r="D109" s="18" t="s">
        <v>142</v>
      </c>
      <c r="E109" s="18" t="s">
        <v>143</v>
      </c>
      <c r="F109" s="19">
        <v>332.59</v>
      </c>
      <c r="G109" s="18" t="s">
        <v>31</v>
      </c>
      <c r="H109" s="18"/>
      <c r="I109" s="18"/>
      <c r="J109" s="18"/>
      <c r="K109" s="18"/>
      <c r="L109" s="18"/>
      <c r="M109" s="18"/>
      <c r="N109" s="18"/>
      <c r="O109" s="18">
        <f>SUM(TABELA2567[[#This Row],[T1]:[T7]])</f>
        <v>0</v>
      </c>
      <c r="P109" s="20">
        <f>TABELA2567[[#This Row],[QTDE]]*TABELA2567[[#This Row],[PREÇO]]</f>
        <v>0</v>
      </c>
      <c r="Q109" s="38">
        <f>VLOOKUP($A:$A,[1]Planilha1!$B:$L,7,0)</f>
        <v>898</v>
      </c>
      <c r="R109" s="38">
        <f>VLOOKUP($A:$A,[1]Planilha1!$B:$L,8,0)</f>
        <v>408.18</v>
      </c>
      <c r="S109" s="37">
        <f>TABELA2567[[#This Row],[PREÇO]]/TABELA2567[[#This Row],[Coluna1]]-1</f>
        <v>-0.62963251670378617</v>
      </c>
      <c r="T109" s="37">
        <f>TABELA2567[[#This Row],[PREÇO]]/TABELA2567[[#This Row],[Coluna2]]-1</f>
        <v>-0.18518790729580092</v>
      </c>
    </row>
    <row r="110" spans="1:20" x14ac:dyDescent="0.2">
      <c r="A110" s="1" t="str">
        <f>TRIM(TABELA2567[[#This Row],[PRODUTO]])&amp;TRIM(TABELA2567[[#This Row],[COR]])</f>
        <v>07.04.093420127</v>
      </c>
      <c r="B110" s="17" t="s">
        <v>303</v>
      </c>
      <c r="C110" s="18" t="s">
        <v>304</v>
      </c>
      <c r="D110" s="18" t="s">
        <v>266</v>
      </c>
      <c r="E110" s="18" t="s">
        <v>267</v>
      </c>
      <c r="F110" s="19">
        <v>332.59</v>
      </c>
      <c r="G110" s="18" t="s">
        <v>31</v>
      </c>
      <c r="H110" s="18"/>
      <c r="I110" s="18"/>
      <c r="J110" s="18"/>
      <c r="K110" s="18"/>
      <c r="L110" s="18"/>
      <c r="M110" s="18"/>
      <c r="N110" s="18"/>
      <c r="O110" s="18">
        <f>SUM(TABELA2567[[#This Row],[T1]:[T7]])</f>
        <v>0</v>
      </c>
      <c r="P110" s="20">
        <f>TABELA2567[[#This Row],[QTDE]]*TABELA2567[[#This Row],[PREÇO]]</f>
        <v>0</v>
      </c>
      <c r="Q110" s="38">
        <f>VLOOKUP($A:$A,[1]Planilha1!$B:$L,7,0)</f>
        <v>898</v>
      </c>
      <c r="R110" s="38">
        <f>VLOOKUP($A:$A,[1]Planilha1!$B:$L,8,0)</f>
        <v>408.18</v>
      </c>
      <c r="S110" s="37">
        <f>TABELA2567[[#This Row],[PREÇO]]/TABELA2567[[#This Row],[Coluna1]]-1</f>
        <v>-0.62963251670378617</v>
      </c>
      <c r="T110" s="37">
        <f>TABELA2567[[#This Row],[PREÇO]]/TABELA2567[[#This Row],[Coluna2]]-1</f>
        <v>-0.18518790729580092</v>
      </c>
    </row>
    <row r="111" spans="1:20" x14ac:dyDescent="0.2">
      <c r="A111" s="1" t="str">
        <f>TRIM(TABELA2567[[#This Row],[PRODUTO]])&amp;TRIM(TABELA2567[[#This Row],[COR]])</f>
        <v>07.04.093521361</v>
      </c>
      <c r="B111" s="17" t="s">
        <v>305</v>
      </c>
      <c r="C111" s="18" t="s">
        <v>306</v>
      </c>
      <c r="D111" s="18" t="s">
        <v>307</v>
      </c>
      <c r="E111" s="18" t="s">
        <v>308</v>
      </c>
      <c r="F111" s="19">
        <v>369.63</v>
      </c>
      <c r="G111" s="18" t="s">
        <v>31</v>
      </c>
      <c r="H111" s="18"/>
      <c r="I111" s="18"/>
      <c r="J111" s="18"/>
      <c r="K111" s="18"/>
      <c r="L111" s="18"/>
      <c r="M111" s="18"/>
      <c r="N111" s="18"/>
      <c r="O111" s="18">
        <f>SUM(TABELA2567[[#This Row],[T1]:[T7]])</f>
        <v>0</v>
      </c>
      <c r="P111" s="20">
        <f>TABELA2567[[#This Row],[QTDE]]*TABELA2567[[#This Row],[PREÇO]]</f>
        <v>0</v>
      </c>
      <c r="Q111" s="38">
        <f>VLOOKUP($A:$A,[1]Planilha1!$B:$L,7,0)</f>
        <v>998</v>
      </c>
      <c r="R111" s="38">
        <f>VLOOKUP($A:$A,[1]Planilha1!$B:$L,8,0)</f>
        <v>453.64</v>
      </c>
      <c r="S111" s="37">
        <f>TABELA2567[[#This Row],[PREÇO]]/TABELA2567[[#This Row],[Coluna1]]-1</f>
        <v>-0.629629258517034</v>
      </c>
      <c r="T111" s="37">
        <f>TABELA2567[[#This Row],[PREÇO]]/TABELA2567[[#This Row],[Coluna2]]-1</f>
        <v>-0.18519090027334451</v>
      </c>
    </row>
    <row r="112" spans="1:20" x14ac:dyDescent="0.2">
      <c r="A112" s="1" t="str">
        <f>TRIM(TABELA2567[[#This Row],[PRODUTO]])&amp;TRIM(TABELA2567[[#This Row],[COR]])</f>
        <v>07.04.093621361</v>
      </c>
      <c r="B112" s="17" t="s">
        <v>309</v>
      </c>
      <c r="C112" s="18" t="s">
        <v>310</v>
      </c>
      <c r="D112" s="18" t="s">
        <v>307</v>
      </c>
      <c r="E112" s="18" t="s">
        <v>308</v>
      </c>
      <c r="F112" s="19">
        <v>369.63</v>
      </c>
      <c r="G112" s="18" t="s">
        <v>31</v>
      </c>
      <c r="H112" s="18"/>
      <c r="I112" s="18"/>
      <c r="J112" s="18"/>
      <c r="K112" s="18"/>
      <c r="L112" s="18"/>
      <c r="M112" s="18"/>
      <c r="N112" s="18"/>
      <c r="O112" s="18">
        <f>SUM(TABELA2567[[#This Row],[T1]:[T7]])</f>
        <v>0</v>
      </c>
      <c r="P112" s="20">
        <f>TABELA2567[[#This Row],[QTDE]]*TABELA2567[[#This Row],[PREÇO]]</f>
        <v>0</v>
      </c>
      <c r="Q112" s="38">
        <f>VLOOKUP($A:$A,[1]Planilha1!$B:$L,7,0)</f>
        <v>998</v>
      </c>
      <c r="R112" s="38">
        <f>VLOOKUP($A:$A,[1]Planilha1!$B:$L,8,0)</f>
        <v>453.64</v>
      </c>
      <c r="S112" s="37">
        <f>TABELA2567[[#This Row],[PREÇO]]/TABELA2567[[#This Row],[Coluna1]]-1</f>
        <v>-0.629629258517034</v>
      </c>
      <c r="T112" s="37">
        <f>TABELA2567[[#This Row],[PREÇO]]/TABELA2567[[#This Row],[Coluna2]]-1</f>
        <v>-0.18519090027334451</v>
      </c>
    </row>
    <row r="113" spans="1:20" x14ac:dyDescent="0.2">
      <c r="A113" s="1" t="str">
        <f>TRIM(TABELA2567[[#This Row],[PRODUTO]])&amp;TRIM(TABELA2567[[#This Row],[COR]])</f>
        <v>07.04.093801032</v>
      </c>
      <c r="B113" s="17" t="s">
        <v>311</v>
      </c>
      <c r="C113" s="18" t="s">
        <v>312</v>
      </c>
      <c r="D113" s="18" t="s">
        <v>205</v>
      </c>
      <c r="E113" s="18" t="s">
        <v>206</v>
      </c>
      <c r="F113" s="19">
        <v>332.59</v>
      </c>
      <c r="G113" s="18" t="s">
        <v>31</v>
      </c>
      <c r="H113" s="18"/>
      <c r="I113" s="18"/>
      <c r="J113" s="18"/>
      <c r="K113" s="18"/>
      <c r="L113" s="18"/>
      <c r="M113" s="18"/>
      <c r="N113" s="18"/>
      <c r="O113" s="18">
        <f>SUM(TABELA2567[[#This Row],[T1]:[T7]])</f>
        <v>0</v>
      </c>
      <c r="P113" s="20">
        <f>TABELA2567[[#This Row],[QTDE]]*TABELA2567[[#This Row],[PREÇO]]</f>
        <v>0</v>
      </c>
      <c r="Q113" s="38">
        <f>VLOOKUP($A:$A,[1]Planilha1!$B:$L,7,0)</f>
        <v>898</v>
      </c>
      <c r="R113" s="38">
        <f>VLOOKUP($A:$A,[1]Planilha1!$B:$L,8,0)</f>
        <v>408.18</v>
      </c>
      <c r="S113" s="37">
        <f>TABELA2567[[#This Row],[PREÇO]]/TABELA2567[[#This Row],[Coluna1]]-1</f>
        <v>-0.62963251670378617</v>
      </c>
      <c r="T113" s="37">
        <f>TABELA2567[[#This Row],[PREÇO]]/TABELA2567[[#This Row],[Coluna2]]-1</f>
        <v>-0.18518790729580092</v>
      </c>
    </row>
    <row r="114" spans="1:20" x14ac:dyDescent="0.2">
      <c r="A114" s="1" t="str">
        <f>TRIM(TABELA2567[[#This Row],[PRODUTO]])&amp;TRIM(TABELA2567[[#This Row],[COR]])</f>
        <v>07.04.095421104</v>
      </c>
      <c r="B114" s="17" t="s">
        <v>313</v>
      </c>
      <c r="C114" s="18" t="s">
        <v>314</v>
      </c>
      <c r="D114" s="18" t="s">
        <v>163</v>
      </c>
      <c r="E114" s="18" t="s">
        <v>164</v>
      </c>
      <c r="F114" s="19">
        <v>443.7</v>
      </c>
      <c r="G114" s="18" t="s">
        <v>31</v>
      </c>
      <c r="H114" s="18"/>
      <c r="I114" s="18"/>
      <c r="J114" s="18"/>
      <c r="K114" s="18"/>
      <c r="L114" s="18"/>
      <c r="M114" s="18"/>
      <c r="N114" s="18"/>
      <c r="O114" s="18">
        <f>SUM(TABELA2567[[#This Row],[T1]:[T7]])</f>
        <v>0</v>
      </c>
      <c r="P114" s="20">
        <f>TABELA2567[[#This Row],[QTDE]]*TABELA2567[[#This Row],[PREÇO]]</f>
        <v>0</v>
      </c>
      <c r="Q114" s="38">
        <f>VLOOKUP($A:$A,[1]Planilha1!$B:$L,7,0)</f>
        <v>1198</v>
      </c>
      <c r="R114" s="38">
        <f>VLOOKUP($A:$A,[1]Planilha1!$B:$L,8,0)</f>
        <v>544.54999999999995</v>
      </c>
      <c r="S114" s="37">
        <f>TABELA2567[[#This Row],[PREÇO]]/TABELA2567[[#This Row],[Coluna1]]-1</f>
        <v>-0.62963272120200342</v>
      </c>
      <c r="T114" s="37">
        <f>TABELA2567[[#This Row],[PREÇO]]/TABELA2567[[#This Row],[Coluna2]]-1</f>
        <v>-0.18519878799008349</v>
      </c>
    </row>
    <row r="115" spans="1:20" x14ac:dyDescent="0.2">
      <c r="A115" s="1" t="str">
        <f>TRIM(TABELA2567[[#This Row],[PRODUTO]])&amp;TRIM(TABELA2567[[#This Row],[COR]])</f>
        <v>07.09.07870005</v>
      </c>
      <c r="B115" s="17" t="s">
        <v>315</v>
      </c>
      <c r="C115" s="18" t="s">
        <v>316</v>
      </c>
      <c r="D115" s="18" t="s">
        <v>32</v>
      </c>
      <c r="E115" s="18" t="s">
        <v>33</v>
      </c>
      <c r="F115" s="19">
        <v>295.56</v>
      </c>
      <c r="G115" s="18" t="s">
        <v>56</v>
      </c>
      <c r="H115" s="18"/>
      <c r="I115" s="18"/>
      <c r="J115" s="18"/>
      <c r="K115" s="18"/>
      <c r="L115" s="18"/>
      <c r="M115" s="18"/>
      <c r="N115" s="18"/>
      <c r="O115" s="18">
        <f>SUM(TABELA2567[[#This Row],[T1]:[T7]])</f>
        <v>0</v>
      </c>
      <c r="P115" s="20">
        <f>TABELA2567[[#This Row],[QTDE]]*TABELA2567[[#This Row],[PREÇO]]</f>
        <v>0</v>
      </c>
      <c r="Q115" s="38">
        <f>VLOOKUP($A:$A,[1]Planilha1!$B:$L,7,0)</f>
        <v>798</v>
      </c>
      <c r="R115" s="38">
        <f>VLOOKUP($A:$A,[1]Planilha1!$B:$L,8,0)</f>
        <v>362.73</v>
      </c>
      <c r="S115" s="37">
        <f>TABELA2567[[#This Row],[PREÇO]]/TABELA2567[[#This Row],[Coluna1]]-1</f>
        <v>-0.62962406015037597</v>
      </c>
      <c r="T115" s="37">
        <f>TABELA2567[[#This Row],[PREÇO]]/TABELA2567[[#This Row],[Coluna2]]-1</f>
        <v>-0.18517905880406915</v>
      </c>
    </row>
    <row r="116" spans="1:20" x14ac:dyDescent="0.2">
      <c r="A116" s="1" t="str">
        <f>TRIM(TABELA2567[[#This Row],[PRODUTO]])&amp;TRIM(TABELA2567[[#This Row],[COR]])</f>
        <v>07.09.08040005</v>
      </c>
      <c r="B116" s="17" t="s">
        <v>317</v>
      </c>
      <c r="C116" s="18" t="s">
        <v>318</v>
      </c>
      <c r="D116" s="18" t="s">
        <v>32</v>
      </c>
      <c r="E116" s="18" t="s">
        <v>33</v>
      </c>
      <c r="F116" s="19">
        <v>332.59</v>
      </c>
      <c r="G116" s="18" t="s">
        <v>56</v>
      </c>
      <c r="H116" s="18"/>
      <c r="I116" s="18"/>
      <c r="J116" s="18"/>
      <c r="K116" s="18"/>
      <c r="L116" s="18"/>
      <c r="M116" s="18"/>
      <c r="N116" s="18"/>
      <c r="O116" s="18">
        <f>SUM(TABELA2567[[#This Row],[T1]:[T7]])</f>
        <v>0</v>
      </c>
      <c r="P116" s="20">
        <f>TABELA2567[[#This Row],[QTDE]]*TABELA2567[[#This Row],[PREÇO]]</f>
        <v>0</v>
      </c>
      <c r="Q116" s="38">
        <f>VLOOKUP($A:$A,[1]Planilha1!$B:$L,7,0)</f>
        <v>898</v>
      </c>
      <c r="R116" s="38">
        <f>VLOOKUP($A:$A,[1]Planilha1!$B:$L,8,0)</f>
        <v>408.18</v>
      </c>
      <c r="S116" s="37">
        <f>TABELA2567[[#This Row],[PREÇO]]/TABELA2567[[#This Row],[Coluna1]]-1</f>
        <v>-0.62963251670378617</v>
      </c>
      <c r="T116" s="37">
        <f>TABELA2567[[#This Row],[PREÇO]]/TABELA2567[[#This Row],[Coluna2]]-1</f>
        <v>-0.18518790729580092</v>
      </c>
    </row>
    <row r="117" spans="1:20" x14ac:dyDescent="0.2">
      <c r="A117" s="1" t="str">
        <f>TRIM(TABELA2567[[#This Row],[PRODUTO]])&amp;TRIM(TABELA2567[[#This Row],[COR]])</f>
        <v>07.09.085420127</v>
      </c>
      <c r="B117" s="17" t="s">
        <v>319</v>
      </c>
      <c r="C117" s="18" t="s">
        <v>320</v>
      </c>
      <c r="D117" s="18" t="s">
        <v>266</v>
      </c>
      <c r="E117" s="18" t="s">
        <v>267</v>
      </c>
      <c r="F117" s="19">
        <v>591.85</v>
      </c>
      <c r="G117" s="18" t="s">
        <v>31</v>
      </c>
      <c r="H117" s="18"/>
      <c r="I117" s="18"/>
      <c r="J117" s="18"/>
      <c r="K117" s="18"/>
      <c r="L117" s="18"/>
      <c r="M117" s="18"/>
      <c r="N117" s="18"/>
      <c r="O117" s="18">
        <f>SUM(TABELA2567[[#This Row],[T1]:[T7]])</f>
        <v>0</v>
      </c>
      <c r="P117" s="20">
        <f>TABELA2567[[#This Row],[QTDE]]*TABELA2567[[#This Row],[PREÇO]]</f>
        <v>0</v>
      </c>
      <c r="Q117" s="38">
        <f>VLOOKUP($A:$A,[1]Planilha1!$B:$L,7,0)</f>
        <v>1598</v>
      </c>
      <c r="R117" s="38">
        <f>VLOOKUP($A:$A,[1]Planilha1!$B:$L,8,0)</f>
        <v>726.36</v>
      </c>
      <c r="S117" s="37">
        <f>TABELA2567[[#This Row],[PREÇO]]/TABELA2567[[#This Row],[Coluna1]]-1</f>
        <v>-0.62963078848560694</v>
      </c>
      <c r="T117" s="37">
        <f>TABELA2567[[#This Row],[PREÇO]]/TABELA2567[[#This Row],[Coluna2]]-1</f>
        <v>-0.18518365548763693</v>
      </c>
    </row>
    <row r="118" spans="1:20" x14ac:dyDescent="0.2">
      <c r="A118" s="1" t="str">
        <f>TRIM(TABELA2567[[#This Row],[PRODUTO]])&amp;TRIM(TABELA2567[[#This Row],[COR]])</f>
        <v>07.09.090721060</v>
      </c>
      <c r="B118" s="17" t="s">
        <v>321</v>
      </c>
      <c r="C118" s="18" t="s">
        <v>322</v>
      </c>
      <c r="D118" s="18" t="s">
        <v>185</v>
      </c>
      <c r="E118" s="18" t="s">
        <v>186</v>
      </c>
      <c r="F118" s="19">
        <v>258.52</v>
      </c>
      <c r="G118" s="18" t="s">
        <v>31</v>
      </c>
      <c r="H118" s="18"/>
      <c r="I118" s="18"/>
      <c r="J118" s="18"/>
      <c r="K118" s="18"/>
      <c r="L118" s="18"/>
      <c r="M118" s="18"/>
      <c r="N118" s="18"/>
      <c r="O118" s="18">
        <f>SUM(TABELA2567[[#This Row],[T1]:[T7]])</f>
        <v>0</v>
      </c>
      <c r="P118" s="20">
        <f>TABELA2567[[#This Row],[QTDE]]*TABELA2567[[#This Row],[PREÇO]]</f>
        <v>0</v>
      </c>
      <c r="Q118" s="38">
        <f>VLOOKUP($A:$A,[1]Planilha1!$B:$L,7,0)</f>
        <v>698</v>
      </c>
      <c r="R118" s="38">
        <f>VLOOKUP($A:$A,[1]Planilha1!$B:$L,8,0)</f>
        <v>317.27</v>
      </c>
      <c r="S118" s="37">
        <f>TABELA2567[[#This Row],[PREÇO]]/TABELA2567[[#This Row],[Coluna1]]-1</f>
        <v>-0.62962750716332383</v>
      </c>
      <c r="T118" s="37">
        <f>TABELA2567[[#This Row],[PREÇO]]/TABELA2567[[#This Row],[Coluna2]]-1</f>
        <v>-0.18517351152015638</v>
      </c>
    </row>
    <row r="119" spans="1:20" x14ac:dyDescent="0.2">
      <c r="A119" s="1" t="str">
        <f>TRIM(TABELA2567[[#This Row],[PRODUTO]])&amp;TRIM(TABELA2567[[#This Row],[COR]])</f>
        <v>07.09.091121048</v>
      </c>
      <c r="B119" s="17" t="s">
        <v>323</v>
      </c>
      <c r="C119" s="18" t="s">
        <v>324</v>
      </c>
      <c r="D119" s="18" t="s">
        <v>159</v>
      </c>
      <c r="E119" s="18" t="s">
        <v>160</v>
      </c>
      <c r="F119" s="19">
        <v>202.96</v>
      </c>
      <c r="G119" s="18" t="s">
        <v>31</v>
      </c>
      <c r="H119" s="18"/>
      <c r="I119" s="18"/>
      <c r="J119" s="18"/>
      <c r="K119" s="18"/>
      <c r="L119" s="18"/>
      <c r="M119" s="18"/>
      <c r="N119" s="18"/>
      <c r="O119" s="18">
        <f>SUM(TABELA2567[[#This Row],[T1]:[T7]])</f>
        <v>0</v>
      </c>
      <c r="P119" s="20">
        <f>TABELA2567[[#This Row],[QTDE]]*TABELA2567[[#This Row],[PREÇO]]</f>
        <v>0</v>
      </c>
      <c r="Q119" s="38">
        <f>VLOOKUP($A:$A,[1]Planilha1!$B:$L,7,0)</f>
        <v>548</v>
      </c>
      <c r="R119" s="38">
        <f>VLOOKUP($A:$A,[1]Planilha1!$B:$L,8,0)</f>
        <v>249.09</v>
      </c>
      <c r="S119" s="37">
        <f>TABELA2567[[#This Row],[PREÇO]]/TABELA2567[[#This Row],[Coluna1]]-1</f>
        <v>-0.62963503649635033</v>
      </c>
      <c r="T119" s="37">
        <f>TABELA2567[[#This Row],[PREÇO]]/TABELA2567[[#This Row],[Coluna2]]-1</f>
        <v>-0.18519410654783408</v>
      </c>
    </row>
    <row r="120" spans="1:20" x14ac:dyDescent="0.2">
      <c r="A120" s="1" t="str">
        <f>TRIM(TABELA2567[[#This Row],[PRODUTO]])&amp;TRIM(TABELA2567[[#This Row],[COR]])</f>
        <v>07.09.091521042</v>
      </c>
      <c r="B120" s="17" t="s">
        <v>325</v>
      </c>
      <c r="C120" s="18" t="s">
        <v>326</v>
      </c>
      <c r="D120" s="18" t="s">
        <v>235</v>
      </c>
      <c r="E120" s="18" t="s">
        <v>236</v>
      </c>
      <c r="F120" s="19">
        <v>221.48</v>
      </c>
      <c r="G120" s="18" t="s">
        <v>31</v>
      </c>
      <c r="H120" s="18"/>
      <c r="I120" s="18"/>
      <c r="J120" s="18"/>
      <c r="K120" s="18"/>
      <c r="L120" s="18"/>
      <c r="M120" s="18"/>
      <c r="N120" s="18"/>
      <c r="O120" s="18">
        <f>SUM(TABELA2567[[#This Row],[T1]:[T7]])</f>
        <v>0</v>
      </c>
      <c r="P120" s="20">
        <f>TABELA2567[[#This Row],[QTDE]]*TABELA2567[[#This Row],[PREÇO]]</f>
        <v>0</v>
      </c>
      <c r="Q120" s="38">
        <f>VLOOKUP($A:$A,[1]Planilha1!$B:$L,7,0)</f>
        <v>598</v>
      </c>
      <c r="R120" s="38">
        <f>VLOOKUP($A:$A,[1]Planilha1!$B:$L,8,0)</f>
        <v>271.82</v>
      </c>
      <c r="S120" s="37">
        <f>TABELA2567[[#This Row],[PREÇO]]/TABELA2567[[#This Row],[Coluna1]]-1</f>
        <v>-0.62963210702341144</v>
      </c>
      <c r="T120" s="37">
        <f>TABELA2567[[#This Row],[PREÇO]]/TABELA2567[[#This Row],[Coluna2]]-1</f>
        <v>-0.18519608564491208</v>
      </c>
    </row>
    <row r="121" spans="1:20" x14ac:dyDescent="0.2">
      <c r="A121" s="1" t="str">
        <f>TRIM(TABELA2567[[#This Row],[PRODUTO]])&amp;TRIM(TABELA2567[[#This Row],[COR]])</f>
        <v>07.09.091901032</v>
      </c>
      <c r="B121" s="17" t="s">
        <v>327</v>
      </c>
      <c r="C121" s="18" t="s">
        <v>328</v>
      </c>
      <c r="D121" s="18" t="s">
        <v>205</v>
      </c>
      <c r="E121" s="18" t="s">
        <v>206</v>
      </c>
      <c r="F121" s="19">
        <v>332.59</v>
      </c>
      <c r="G121" s="18" t="s">
        <v>31</v>
      </c>
      <c r="H121" s="18"/>
      <c r="I121" s="18"/>
      <c r="J121" s="18"/>
      <c r="K121" s="18"/>
      <c r="L121" s="18"/>
      <c r="M121" s="18"/>
      <c r="N121" s="18"/>
      <c r="O121" s="18">
        <f>SUM(TABELA2567[[#This Row],[T1]:[T7]])</f>
        <v>0</v>
      </c>
      <c r="P121" s="20">
        <f>TABELA2567[[#This Row],[QTDE]]*TABELA2567[[#This Row],[PREÇO]]</f>
        <v>0</v>
      </c>
      <c r="Q121" s="38">
        <f>VLOOKUP($A:$A,[1]Planilha1!$B:$L,7,0)</f>
        <v>898</v>
      </c>
      <c r="R121" s="38">
        <f>VLOOKUP($A:$A,[1]Planilha1!$B:$L,8,0)</f>
        <v>408.18</v>
      </c>
      <c r="S121" s="37">
        <f>TABELA2567[[#This Row],[PREÇO]]/TABELA2567[[#This Row],[Coluna1]]-1</f>
        <v>-0.62963251670378617</v>
      </c>
      <c r="T121" s="37">
        <f>TABELA2567[[#This Row],[PREÇO]]/TABELA2567[[#This Row],[Coluna2]]-1</f>
        <v>-0.18518790729580092</v>
      </c>
    </row>
    <row r="122" spans="1:20" x14ac:dyDescent="0.2">
      <c r="A122" s="1" t="str">
        <f>TRIM(TABELA2567[[#This Row],[PRODUTO]])&amp;TRIM(TABELA2567[[#This Row],[COR]])</f>
        <v>07.09.092221103</v>
      </c>
      <c r="B122" s="17" t="s">
        <v>329</v>
      </c>
      <c r="C122" s="18" t="s">
        <v>330</v>
      </c>
      <c r="D122" s="18" t="s">
        <v>295</v>
      </c>
      <c r="E122" s="18" t="s">
        <v>296</v>
      </c>
      <c r="F122" s="19">
        <v>554.80999999999995</v>
      </c>
      <c r="G122" s="18" t="s">
        <v>41</v>
      </c>
      <c r="H122" s="18"/>
      <c r="I122" s="18"/>
      <c r="J122" s="18"/>
      <c r="K122" s="18"/>
      <c r="L122" s="18"/>
      <c r="M122" s="18"/>
      <c r="N122" s="18"/>
      <c r="O122" s="18">
        <f>SUM(TABELA2567[[#This Row],[T1]:[T7]])</f>
        <v>0</v>
      </c>
      <c r="P122" s="20">
        <f>TABELA2567[[#This Row],[QTDE]]*TABELA2567[[#This Row],[PREÇO]]</f>
        <v>0</v>
      </c>
      <c r="Q122" s="38">
        <f>VLOOKUP($A:$A,[1]Planilha1!$B:$L,7,0)</f>
        <v>1498</v>
      </c>
      <c r="R122" s="38">
        <f>VLOOKUP($A:$A,[1]Planilha1!$B:$L,8,0)</f>
        <v>680.91</v>
      </c>
      <c r="S122" s="37">
        <f>TABELA2567[[#This Row],[PREÇO]]/TABELA2567[[#This Row],[Coluna1]]-1</f>
        <v>-0.62963284379172235</v>
      </c>
      <c r="T122" s="37">
        <f>TABELA2567[[#This Row],[PREÇO]]/TABELA2567[[#This Row],[Coluna2]]-1</f>
        <v>-0.18519334420114264</v>
      </c>
    </row>
    <row r="123" spans="1:20" x14ac:dyDescent="0.2">
      <c r="A123" s="1" t="str">
        <f>TRIM(TABELA2567[[#This Row],[PRODUTO]])&amp;TRIM(TABELA2567[[#This Row],[COR]])</f>
        <v>07.09.092421096</v>
      </c>
      <c r="B123" s="17" t="s">
        <v>331</v>
      </c>
      <c r="C123" s="18" t="s">
        <v>332</v>
      </c>
      <c r="D123" s="18" t="s">
        <v>123</v>
      </c>
      <c r="E123" s="18" t="s">
        <v>124</v>
      </c>
      <c r="F123" s="19">
        <v>369.63</v>
      </c>
      <c r="G123" s="18" t="s">
        <v>41</v>
      </c>
      <c r="H123" s="18"/>
      <c r="I123" s="18"/>
      <c r="J123" s="18"/>
      <c r="K123" s="18"/>
      <c r="L123" s="18"/>
      <c r="M123" s="18"/>
      <c r="N123" s="18"/>
      <c r="O123" s="18">
        <f>SUM(TABELA2567[[#This Row],[T1]:[T7]])</f>
        <v>0</v>
      </c>
      <c r="P123" s="20">
        <f>TABELA2567[[#This Row],[QTDE]]*TABELA2567[[#This Row],[PREÇO]]</f>
        <v>0</v>
      </c>
      <c r="Q123" s="38">
        <f>VLOOKUP($A:$A,[1]Planilha1!$B:$L,7,0)</f>
        <v>998</v>
      </c>
      <c r="R123" s="38">
        <f>VLOOKUP($A:$A,[1]Planilha1!$B:$L,8,0)</f>
        <v>453.64</v>
      </c>
      <c r="S123" s="37">
        <f>TABELA2567[[#This Row],[PREÇO]]/TABELA2567[[#This Row],[Coluna1]]-1</f>
        <v>-0.629629258517034</v>
      </c>
      <c r="T123" s="37">
        <f>TABELA2567[[#This Row],[PREÇO]]/TABELA2567[[#This Row],[Coluna2]]-1</f>
        <v>-0.18519090027334451</v>
      </c>
    </row>
    <row r="124" spans="1:20" x14ac:dyDescent="0.2">
      <c r="A124" s="1" t="str">
        <f>TRIM(TABELA2567[[#This Row],[PRODUTO]])&amp;TRIM(TABELA2567[[#This Row],[COR]])</f>
        <v>07.09.092521096</v>
      </c>
      <c r="B124" s="17" t="s">
        <v>333</v>
      </c>
      <c r="C124" s="18" t="s">
        <v>334</v>
      </c>
      <c r="D124" s="18" t="s">
        <v>123</v>
      </c>
      <c r="E124" s="18" t="s">
        <v>124</v>
      </c>
      <c r="F124" s="19">
        <v>480.74</v>
      </c>
      <c r="G124" s="18" t="s">
        <v>31</v>
      </c>
      <c r="H124" s="18"/>
      <c r="I124" s="18"/>
      <c r="J124" s="18"/>
      <c r="K124" s="18"/>
      <c r="L124" s="18"/>
      <c r="M124" s="18"/>
      <c r="N124" s="18"/>
      <c r="O124" s="18">
        <f>SUM(TABELA2567[[#This Row],[T1]:[T7]])</f>
        <v>0</v>
      </c>
      <c r="P124" s="20">
        <f>TABELA2567[[#This Row],[QTDE]]*TABELA2567[[#This Row],[PREÇO]]</f>
        <v>0</v>
      </c>
      <c r="Q124" s="38">
        <f>VLOOKUP($A:$A,[1]Planilha1!$B:$L,7,0)</f>
        <v>1298</v>
      </c>
      <c r="R124" s="38">
        <f>VLOOKUP($A:$A,[1]Planilha1!$B:$L,8,0)</f>
        <v>590</v>
      </c>
      <c r="S124" s="37">
        <f>TABELA2567[[#This Row],[PREÇO]]/TABELA2567[[#This Row],[Coluna1]]-1</f>
        <v>-0.62963020030816641</v>
      </c>
      <c r="T124" s="37">
        <f>TABELA2567[[#This Row],[PREÇO]]/TABELA2567[[#This Row],[Coluna2]]-1</f>
        <v>-0.18518644067796608</v>
      </c>
    </row>
    <row r="125" spans="1:20" x14ac:dyDescent="0.2">
      <c r="A125" s="1" t="str">
        <f>TRIM(TABELA2567[[#This Row],[PRODUTO]])&amp;TRIM(TABELA2567[[#This Row],[COR]])</f>
        <v>07.20.44146202</v>
      </c>
      <c r="B125" s="17" t="s">
        <v>335</v>
      </c>
      <c r="C125" s="18" t="s">
        <v>336</v>
      </c>
      <c r="D125" s="18" t="s">
        <v>70</v>
      </c>
      <c r="E125" s="18" t="s">
        <v>71</v>
      </c>
      <c r="F125" s="19">
        <v>221.48</v>
      </c>
      <c r="G125" s="18" t="s">
        <v>31</v>
      </c>
      <c r="H125" s="18"/>
      <c r="I125" s="18"/>
      <c r="J125" s="18"/>
      <c r="K125" s="18"/>
      <c r="L125" s="18"/>
      <c r="M125" s="18"/>
      <c r="N125" s="18"/>
      <c r="O125" s="18">
        <f>SUM(TABELA2567[[#This Row],[T1]:[T7]])</f>
        <v>0</v>
      </c>
      <c r="P125" s="20">
        <f>TABELA2567[[#This Row],[QTDE]]*TABELA2567[[#This Row],[PREÇO]]</f>
        <v>0</v>
      </c>
      <c r="Q125" s="38">
        <f>VLOOKUP($A:$A,[1]Planilha1!$B:$L,7,0)</f>
        <v>598</v>
      </c>
      <c r="R125" s="38">
        <f>VLOOKUP($A:$A,[1]Planilha1!$B:$L,8,0)</f>
        <v>271.82</v>
      </c>
      <c r="S125" s="37">
        <f>TABELA2567[[#This Row],[PREÇO]]/TABELA2567[[#This Row],[Coluna1]]-1</f>
        <v>-0.62963210702341144</v>
      </c>
      <c r="T125" s="37">
        <f>TABELA2567[[#This Row],[PREÇO]]/TABELA2567[[#This Row],[Coluna2]]-1</f>
        <v>-0.18519608564491208</v>
      </c>
    </row>
    <row r="126" spans="1:20" x14ac:dyDescent="0.2">
      <c r="A126" s="1" t="str">
        <f>TRIM(TABELA2567[[#This Row],[PRODUTO]])&amp;TRIM(TABELA2567[[#This Row],[COR]])</f>
        <v>07.20.449801040</v>
      </c>
      <c r="B126" s="17" t="s">
        <v>337</v>
      </c>
      <c r="C126" s="18" t="s">
        <v>338</v>
      </c>
      <c r="D126" s="18" t="s">
        <v>95</v>
      </c>
      <c r="E126" s="18" t="s">
        <v>96</v>
      </c>
      <c r="F126" s="19">
        <v>1110.3699999999999</v>
      </c>
      <c r="G126" s="18" t="s">
        <v>31</v>
      </c>
      <c r="H126" s="18"/>
      <c r="I126" s="18"/>
      <c r="J126" s="18"/>
      <c r="K126" s="18"/>
      <c r="L126" s="18"/>
      <c r="M126" s="18"/>
      <c r="N126" s="18"/>
      <c r="O126" s="18">
        <f>SUM(TABELA2567[[#This Row],[T1]:[T7]])</f>
        <v>0</v>
      </c>
      <c r="P126" s="20">
        <f>TABELA2567[[#This Row],[QTDE]]*TABELA2567[[#This Row],[PREÇO]]</f>
        <v>0</v>
      </c>
      <c r="Q126" s="38">
        <f>VLOOKUP($A:$A,[1]Planilha1!$B:$L,7,0)</f>
        <v>2998</v>
      </c>
      <c r="R126" s="38">
        <f>VLOOKUP($A:$A,[1]Planilha1!$B:$L,8,0)</f>
        <v>1362.73</v>
      </c>
      <c r="S126" s="37">
        <f>TABELA2567[[#This Row],[PREÇO]]/TABELA2567[[#This Row],[Coluna1]]-1</f>
        <v>-0.62962975316877923</v>
      </c>
      <c r="T126" s="37">
        <f>TABELA2567[[#This Row],[PREÇO]]/TABELA2567[[#This Row],[Coluna2]]-1</f>
        <v>-0.18518708768428094</v>
      </c>
    </row>
    <row r="127" spans="1:20" x14ac:dyDescent="0.2">
      <c r="A127" s="1" t="str">
        <f>TRIM(TABELA2567[[#This Row],[PRODUTO]])&amp;TRIM(TABELA2567[[#This Row],[COR]])</f>
        <v>07.20.45040005</v>
      </c>
      <c r="B127" s="17" t="s">
        <v>339</v>
      </c>
      <c r="C127" s="18" t="s">
        <v>340</v>
      </c>
      <c r="D127" s="18" t="s">
        <v>32</v>
      </c>
      <c r="E127" s="18" t="s">
        <v>33</v>
      </c>
      <c r="F127" s="19">
        <v>1480.74</v>
      </c>
      <c r="G127" s="18" t="s">
        <v>56</v>
      </c>
      <c r="H127" s="18"/>
      <c r="I127" s="18"/>
      <c r="J127" s="18"/>
      <c r="K127" s="18"/>
      <c r="L127" s="18"/>
      <c r="M127" s="18"/>
      <c r="N127" s="18"/>
      <c r="O127" s="18">
        <f>SUM(TABELA2567[[#This Row],[T1]:[T7]])</f>
        <v>0</v>
      </c>
      <c r="P127" s="20">
        <f>TABELA2567[[#This Row],[QTDE]]*TABELA2567[[#This Row],[PREÇO]]</f>
        <v>0</v>
      </c>
      <c r="Q127" s="38">
        <f>VLOOKUP($A:$A,[1]Planilha1!$B:$L,7,0)</f>
        <v>3998</v>
      </c>
      <c r="R127" s="38">
        <f>VLOOKUP($A:$A,[1]Planilha1!$B:$L,8,0)</f>
        <v>1817.27</v>
      </c>
      <c r="S127" s="37">
        <f>TABELA2567[[#This Row],[PREÇO]]/TABELA2567[[#This Row],[Coluna1]]-1</f>
        <v>-0.62962981490745373</v>
      </c>
      <c r="T127" s="37">
        <f>TABELA2567[[#This Row],[PREÇO]]/TABELA2567[[#This Row],[Coluna2]]-1</f>
        <v>-0.18518436996153564</v>
      </c>
    </row>
    <row r="128" spans="1:20" x14ac:dyDescent="0.2">
      <c r="A128" s="1" t="str">
        <f>TRIM(TABELA2567[[#This Row],[PRODUTO]])&amp;TRIM(TABELA2567[[#This Row],[COR]])</f>
        <v>07.20.450801040</v>
      </c>
      <c r="B128" s="17" t="s">
        <v>341</v>
      </c>
      <c r="C128" s="18" t="s">
        <v>342</v>
      </c>
      <c r="D128" s="18" t="s">
        <v>95</v>
      </c>
      <c r="E128" s="18" t="s">
        <v>96</v>
      </c>
      <c r="F128" s="19">
        <v>295.56</v>
      </c>
      <c r="G128" s="18" t="s">
        <v>56</v>
      </c>
      <c r="H128" s="18"/>
      <c r="I128" s="18"/>
      <c r="J128" s="18"/>
      <c r="K128" s="18"/>
      <c r="L128" s="18"/>
      <c r="M128" s="18"/>
      <c r="N128" s="18"/>
      <c r="O128" s="18">
        <f>SUM(TABELA2567[[#This Row],[T1]:[T7]])</f>
        <v>0</v>
      </c>
      <c r="P128" s="20">
        <f>TABELA2567[[#This Row],[QTDE]]*TABELA2567[[#This Row],[PREÇO]]</f>
        <v>0</v>
      </c>
      <c r="Q128" s="38">
        <f>VLOOKUP($A:$A,[1]Planilha1!$B:$L,7,0)</f>
        <v>798</v>
      </c>
      <c r="R128" s="38">
        <f>VLOOKUP($A:$A,[1]Planilha1!$B:$L,8,0)</f>
        <v>362.73</v>
      </c>
      <c r="S128" s="37">
        <f>TABELA2567[[#This Row],[PREÇO]]/TABELA2567[[#This Row],[Coluna1]]-1</f>
        <v>-0.62962406015037597</v>
      </c>
      <c r="T128" s="37">
        <f>TABELA2567[[#This Row],[PREÇO]]/TABELA2567[[#This Row],[Coluna2]]-1</f>
        <v>-0.18517905880406915</v>
      </c>
    </row>
    <row r="129" spans="1:20" x14ac:dyDescent="0.2">
      <c r="A129" s="1" t="str">
        <f>TRIM(TABELA2567[[#This Row],[PRODUTO]])&amp;TRIM(TABELA2567[[#This Row],[COR]])</f>
        <v>07.20.45131531</v>
      </c>
      <c r="B129" s="17" t="s">
        <v>343</v>
      </c>
      <c r="C129" s="18" t="s">
        <v>344</v>
      </c>
      <c r="D129" s="18" t="s">
        <v>345</v>
      </c>
      <c r="E129" s="18" t="s">
        <v>53</v>
      </c>
      <c r="F129" s="19">
        <v>295.56</v>
      </c>
      <c r="G129" s="18" t="s">
        <v>56</v>
      </c>
      <c r="H129" s="18"/>
      <c r="I129" s="18"/>
      <c r="J129" s="18"/>
      <c r="K129" s="18"/>
      <c r="L129" s="18"/>
      <c r="M129" s="18"/>
      <c r="N129" s="18"/>
      <c r="O129" s="18">
        <f>SUM(TABELA2567[[#This Row],[T1]:[T7]])</f>
        <v>0</v>
      </c>
      <c r="P129" s="20">
        <f>TABELA2567[[#This Row],[QTDE]]*TABELA2567[[#This Row],[PREÇO]]</f>
        <v>0</v>
      </c>
      <c r="Q129" s="38">
        <f>VLOOKUP($A:$A,[1]Planilha1!$B:$L,7,0)</f>
        <v>798</v>
      </c>
      <c r="R129" s="38">
        <f>VLOOKUP($A:$A,[1]Planilha1!$B:$L,8,0)</f>
        <v>362.73</v>
      </c>
      <c r="S129" s="37">
        <f>TABELA2567[[#This Row],[PREÇO]]/TABELA2567[[#This Row],[Coluna1]]-1</f>
        <v>-0.62962406015037597</v>
      </c>
      <c r="T129" s="37">
        <f>TABELA2567[[#This Row],[PREÇO]]/TABELA2567[[#This Row],[Coluna2]]-1</f>
        <v>-0.18517905880406915</v>
      </c>
    </row>
    <row r="130" spans="1:20" x14ac:dyDescent="0.2">
      <c r="A130" s="1" t="str">
        <f>TRIM(TABELA2567[[#This Row],[PRODUTO]])&amp;TRIM(TABELA2567[[#This Row],[COR]])</f>
        <v>07.21.07666216</v>
      </c>
      <c r="B130" s="17" t="s">
        <v>346</v>
      </c>
      <c r="C130" s="18" t="s">
        <v>347</v>
      </c>
      <c r="D130" s="18" t="s">
        <v>47</v>
      </c>
      <c r="E130" s="18" t="s">
        <v>60</v>
      </c>
      <c r="F130" s="19">
        <v>480.74</v>
      </c>
      <c r="G130" s="18" t="s">
        <v>31</v>
      </c>
      <c r="H130" s="18"/>
      <c r="I130" s="18"/>
      <c r="J130" s="18"/>
      <c r="K130" s="18"/>
      <c r="L130" s="18"/>
      <c r="M130" s="18"/>
      <c r="N130" s="18"/>
      <c r="O130" s="18">
        <f>SUM(TABELA2567[[#This Row],[T1]:[T7]])</f>
        <v>0</v>
      </c>
      <c r="P130" s="20">
        <f>TABELA2567[[#This Row],[QTDE]]*TABELA2567[[#This Row],[PREÇO]]</f>
        <v>0</v>
      </c>
      <c r="Q130" s="38">
        <f>VLOOKUP($A:$A,[1]Planilha1!$B:$L,7,0)</f>
        <v>1298</v>
      </c>
      <c r="R130" s="38">
        <f>VLOOKUP($A:$A,[1]Planilha1!$B:$L,8,0)</f>
        <v>590</v>
      </c>
      <c r="S130" s="37">
        <f>TABELA2567[[#This Row],[PREÇO]]/TABELA2567[[#This Row],[Coluna1]]-1</f>
        <v>-0.62963020030816641</v>
      </c>
      <c r="T130" s="37">
        <f>TABELA2567[[#This Row],[PREÇO]]/TABELA2567[[#This Row],[Coluna2]]-1</f>
        <v>-0.18518644067796608</v>
      </c>
    </row>
    <row r="131" spans="1:20" x14ac:dyDescent="0.2">
      <c r="A131" s="1" t="str">
        <f>TRIM(TABELA2567[[#This Row],[PRODUTO]])&amp;TRIM(TABELA2567[[#This Row],[COR]])</f>
        <v>07.21.078720109</v>
      </c>
      <c r="B131" s="17" t="s">
        <v>348</v>
      </c>
      <c r="C131" s="18" t="s">
        <v>349</v>
      </c>
      <c r="D131" s="18" t="s">
        <v>350</v>
      </c>
      <c r="E131" s="18" t="s">
        <v>276</v>
      </c>
      <c r="F131" s="19">
        <v>332.59</v>
      </c>
      <c r="G131" s="18" t="s">
        <v>41</v>
      </c>
      <c r="H131" s="18"/>
      <c r="I131" s="18"/>
      <c r="J131" s="18"/>
      <c r="K131" s="18"/>
      <c r="L131" s="18"/>
      <c r="M131" s="18"/>
      <c r="N131" s="18"/>
      <c r="O131" s="18">
        <f>SUM(TABELA2567[[#This Row],[T1]:[T7]])</f>
        <v>0</v>
      </c>
      <c r="P131" s="20">
        <f>TABELA2567[[#This Row],[QTDE]]*TABELA2567[[#This Row],[PREÇO]]</f>
        <v>0</v>
      </c>
      <c r="Q131" s="38">
        <f>VLOOKUP($A:$A,[1]Planilha1!$B:$L,7,0)</f>
        <v>898</v>
      </c>
      <c r="R131" s="38">
        <f>VLOOKUP($A:$A,[1]Planilha1!$B:$L,8,0)</f>
        <v>408.18</v>
      </c>
      <c r="S131" s="37">
        <f>TABELA2567[[#This Row],[PREÇO]]/TABELA2567[[#This Row],[Coluna1]]-1</f>
        <v>-0.62963251670378617</v>
      </c>
      <c r="T131" s="37">
        <f>TABELA2567[[#This Row],[PREÇO]]/TABELA2567[[#This Row],[Coluna2]]-1</f>
        <v>-0.18518790729580092</v>
      </c>
    </row>
    <row r="132" spans="1:20" x14ac:dyDescent="0.2">
      <c r="A132" s="1" t="str">
        <f>TRIM(TABELA2567[[#This Row],[PRODUTO]])&amp;TRIM(TABELA2567[[#This Row],[COR]])</f>
        <v>07.47.03910005</v>
      </c>
      <c r="B132" s="17" t="s">
        <v>351</v>
      </c>
      <c r="C132" s="18" t="s">
        <v>352</v>
      </c>
      <c r="D132" s="18" t="s">
        <v>32</v>
      </c>
      <c r="E132" s="18" t="s">
        <v>33</v>
      </c>
      <c r="F132" s="19">
        <v>1702.96</v>
      </c>
      <c r="G132" s="18" t="s">
        <v>34</v>
      </c>
      <c r="H132" s="18"/>
      <c r="I132" s="18"/>
      <c r="J132" s="18"/>
      <c r="K132" s="18"/>
      <c r="L132" s="18"/>
      <c r="M132" s="18"/>
      <c r="N132" s="18"/>
      <c r="O132" s="18">
        <f>SUM(TABELA2567[[#This Row],[T1]:[T7]])</f>
        <v>0</v>
      </c>
      <c r="P132" s="20">
        <f>TABELA2567[[#This Row],[QTDE]]*TABELA2567[[#This Row],[PREÇO]]</f>
        <v>0</v>
      </c>
      <c r="Q132" s="38">
        <f>VLOOKUP($A:$A,[1]Planilha1!$B:$L,7,0)</f>
        <v>4598</v>
      </c>
      <c r="R132" s="38">
        <f>VLOOKUP($A:$A,[1]Planilha1!$B:$L,8,0)</f>
        <v>2090</v>
      </c>
      <c r="S132" s="37">
        <f>TABELA2567[[#This Row],[PREÇO]]/TABELA2567[[#This Row],[Coluna1]]-1</f>
        <v>-0.62963027403218796</v>
      </c>
      <c r="T132" s="37">
        <f>TABELA2567[[#This Row],[PREÇO]]/TABELA2567[[#This Row],[Coluna2]]-1</f>
        <v>-0.18518660287081334</v>
      </c>
    </row>
    <row r="133" spans="1:20" x14ac:dyDescent="0.2">
      <c r="A133" s="1" t="str">
        <f>TRIM(TABELA2567[[#This Row],[PRODUTO]])&amp;TRIM(TABELA2567[[#This Row],[COR]])</f>
        <v>07.72.00200005</v>
      </c>
      <c r="B133" s="17" t="s">
        <v>353</v>
      </c>
      <c r="C133" s="18" t="s">
        <v>354</v>
      </c>
      <c r="D133" s="18" t="s">
        <v>32</v>
      </c>
      <c r="E133" s="18" t="s">
        <v>33</v>
      </c>
      <c r="F133" s="19">
        <v>221.48</v>
      </c>
      <c r="G133" s="18" t="s">
        <v>56</v>
      </c>
      <c r="H133" s="18"/>
      <c r="I133" s="18"/>
      <c r="J133" s="18"/>
      <c r="K133" s="18"/>
      <c r="L133" s="18"/>
      <c r="M133" s="18"/>
      <c r="N133" s="18"/>
      <c r="O133" s="18">
        <f>SUM(TABELA2567[[#This Row],[T1]:[T7]])</f>
        <v>0</v>
      </c>
      <c r="P133" s="20">
        <f>TABELA2567[[#This Row],[QTDE]]*TABELA2567[[#This Row],[PREÇO]]</f>
        <v>0</v>
      </c>
      <c r="Q133" s="38">
        <f>VLOOKUP($A:$A,[1]Planilha1!$B:$L,7,0)</f>
        <v>598</v>
      </c>
      <c r="R133" s="38">
        <f>VLOOKUP($A:$A,[1]Planilha1!$B:$L,8,0)</f>
        <v>271.82</v>
      </c>
      <c r="S133" s="37">
        <f>TABELA2567[[#This Row],[PREÇO]]/TABELA2567[[#This Row],[Coluna1]]-1</f>
        <v>-0.62963210702341144</v>
      </c>
      <c r="T133" s="37">
        <f>TABELA2567[[#This Row],[PREÇO]]/TABELA2567[[#This Row],[Coluna2]]-1</f>
        <v>-0.18519608564491208</v>
      </c>
    </row>
    <row r="134" spans="1:20" x14ac:dyDescent="0.2">
      <c r="A134" s="1" t="str">
        <f>TRIM(TABELA2567[[#This Row],[PRODUTO]])&amp;TRIM(TABELA2567[[#This Row],[COR]])</f>
        <v>07.74.003521312</v>
      </c>
      <c r="B134" s="17" t="s">
        <v>355</v>
      </c>
      <c r="C134" s="18" t="s">
        <v>356</v>
      </c>
      <c r="D134" s="18" t="s">
        <v>357</v>
      </c>
      <c r="E134" s="18" t="s">
        <v>358</v>
      </c>
      <c r="F134" s="19">
        <v>184.44</v>
      </c>
      <c r="G134" s="18" t="s">
        <v>56</v>
      </c>
      <c r="H134" s="18"/>
      <c r="I134" s="18"/>
      <c r="J134" s="18"/>
      <c r="K134" s="18"/>
      <c r="L134" s="18"/>
      <c r="M134" s="18"/>
      <c r="N134" s="18"/>
      <c r="O134" s="18">
        <f>SUM(TABELA2567[[#This Row],[T1]:[T7]])</f>
        <v>0</v>
      </c>
      <c r="P134" s="20">
        <f>TABELA2567[[#This Row],[QTDE]]*TABELA2567[[#This Row],[PREÇO]]</f>
        <v>0</v>
      </c>
      <c r="Q134" s="38">
        <f>VLOOKUP($A:$A,[1]Planilha1!$B:$L,7,0)</f>
        <v>498</v>
      </c>
      <c r="R134" s="38">
        <f>VLOOKUP($A:$A,[1]Planilha1!$B:$L,8,0)</f>
        <v>226.36</v>
      </c>
      <c r="S134" s="37">
        <f>TABELA2567[[#This Row],[PREÇO]]/TABELA2567[[#This Row],[Coluna1]]-1</f>
        <v>-0.62963855421686743</v>
      </c>
      <c r="T134" s="37">
        <f>TABELA2567[[#This Row],[PREÇO]]/TABELA2567[[#This Row],[Coluna2]]-1</f>
        <v>-0.18519172998763034</v>
      </c>
    </row>
    <row r="135" spans="1:20" x14ac:dyDescent="0.2">
      <c r="A135" s="1" t="str">
        <f>TRIM(TABELA2567[[#This Row],[PRODUTO]])&amp;TRIM(TABELA2567[[#This Row],[COR]])</f>
        <v>07.74.003720011</v>
      </c>
      <c r="B135" s="17" t="s">
        <v>359</v>
      </c>
      <c r="C135" s="18" t="s">
        <v>360</v>
      </c>
      <c r="D135" s="18" t="s">
        <v>361</v>
      </c>
      <c r="E135" s="18" t="s">
        <v>362</v>
      </c>
      <c r="F135" s="19">
        <v>184.44</v>
      </c>
      <c r="G135" s="18" t="s">
        <v>56</v>
      </c>
      <c r="H135" s="18"/>
      <c r="I135" s="18"/>
      <c r="J135" s="18"/>
      <c r="K135" s="18"/>
      <c r="L135" s="18"/>
      <c r="M135" s="18"/>
      <c r="N135" s="18"/>
      <c r="O135" s="18">
        <f>SUM(TABELA2567[[#This Row],[T1]:[T7]])</f>
        <v>0</v>
      </c>
      <c r="P135" s="20">
        <f>TABELA2567[[#This Row],[QTDE]]*TABELA2567[[#This Row],[PREÇO]]</f>
        <v>0</v>
      </c>
      <c r="Q135" s="38">
        <f>VLOOKUP($A:$A,[1]Planilha1!$B:$L,7,0)</f>
        <v>498</v>
      </c>
      <c r="R135" s="38">
        <f>VLOOKUP($A:$A,[1]Planilha1!$B:$L,8,0)</f>
        <v>226.36</v>
      </c>
      <c r="S135" s="37">
        <f>TABELA2567[[#This Row],[PREÇO]]/TABELA2567[[#This Row],[Coluna1]]-1</f>
        <v>-0.62963855421686743</v>
      </c>
      <c r="T135" s="37">
        <f>TABELA2567[[#This Row],[PREÇO]]/TABELA2567[[#This Row],[Coluna2]]-1</f>
        <v>-0.18519172998763034</v>
      </c>
    </row>
    <row r="136" spans="1:20" x14ac:dyDescent="0.2">
      <c r="A136" s="1" t="str">
        <f>TRIM(TABELA2567[[#This Row],[PRODUTO]])&amp;TRIM(TABELA2567[[#This Row],[COR]])</f>
        <v>07.74.003921309</v>
      </c>
      <c r="B136" s="17" t="s">
        <v>363</v>
      </c>
      <c r="C136" s="18" t="s">
        <v>364</v>
      </c>
      <c r="D136" s="18" t="s">
        <v>365</v>
      </c>
      <c r="E136" s="18" t="s">
        <v>366</v>
      </c>
      <c r="F136" s="19">
        <v>184.44</v>
      </c>
      <c r="G136" s="18" t="s">
        <v>56</v>
      </c>
      <c r="H136" s="18"/>
      <c r="I136" s="18"/>
      <c r="J136" s="18"/>
      <c r="K136" s="18"/>
      <c r="L136" s="18"/>
      <c r="M136" s="18"/>
      <c r="N136" s="18"/>
      <c r="O136" s="18">
        <f>SUM(TABELA2567[[#This Row],[T1]:[T7]])</f>
        <v>0</v>
      </c>
      <c r="P136" s="20">
        <f>TABELA2567[[#This Row],[QTDE]]*TABELA2567[[#This Row],[PREÇO]]</f>
        <v>0</v>
      </c>
      <c r="Q136" s="38">
        <f>VLOOKUP($A:$A,[1]Planilha1!$B:$L,7,0)</f>
        <v>498</v>
      </c>
      <c r="R136" s="38">
        <f>VLOOKUP($A:$A,[1]Planilha1!$B:$L,8,0)</f>
        <v>226.36</v>
      </c>
      <c r="S136" s="37">
        <f>TABELA2567[[#This Row],[PREÇO]]/TABELA2567[[#This Row],[Coluna1]]-1</f>
        <v>-0.62963855421686743</v>
      </c>
      <c r="T136" s="37">
        <f>TABELA2567[[#This Row],[PREÇO]]/TABELA2567[[#This Row],[Coluna2]]-1</f>
        <v>-0.18519172998763034</v>
      </c>
    </row>
    <row r="137" spans="1:20" x14ac:dyDescent="0.2">
      <c r="A137" s="1" t="str">
        <f>TRIM(TABELA2567[[#This Row],[PRODUTO]])&amp;TRIM(TABELA2567[[#This Row],[COR]])</f>
        <v>07.76.000321013</v>
      </c>
      <c r="B137" s="17" t="s">
        <v>367</v>
      </c>
      <c r="C137" s="18" t="s">
        <v>368</v>
      </c>
      <c r="D137" s="18" t="s">
        <v>369</v>
      </c>
      <c r="E137" s="18" t="s">
        <v>370</v>
      </c>
      <c r="F137" s="19">
        <v>221.48</v>
      </c>
      <c r="G137" s="18" t="s">
        <v>56</v>
      </c>
      <c r="H137" s="18"/>
      <c r="I137" s="18"/>
      <c r="J137" s="18"/>
      <c r="K137" s="18"/>
      <c r="L137" s="18"/>
      <c r="M137" s="18"/>
      <c r="N137" s="18"/>
      <c r="O137" s="18">
        <f>SUM(TABELA2567[[#This Row],[T1]:[T7]])</f>
        <v>0</v>
      </c>
      <c r="P137" s="20">
        <f>TABELA2567[[#This Row],[QTDE]]*TABELA2567[[#This Row],[PREÇO]]</f>
        <v>0</v>
      </c>
      <c r="Q137" s="38">
        <f>VLOOKUP($A:$A,[1]Planilha1!$B:$L,7,0)</f>
        <v>598</v>
      </c>
      <c r="R137" s="38">
        <f>VLOOKUP($A:$A,[1]Planilha1!$B:$L,8,0)</f>
        <v>271.82</v>
      </c>
      <c r="S137" s="37">
        <f>TABELA2567[[#This Row],[PREÇO]]/TABELA2567[[#This Row],[Coluna1]]-1</f>
        <v>-0.62963210702341144</v>
      </c>
      <c r="T137" s="37">
        <f>TABELA2567[[#This Row],[PREÇO]]/TABELA2567[[#This Row],[Coluna2]]-1</f>
        <v>-0.18519608564491208</v>
      </c>
    </row>
    <row r="138" spans="1:20" x14ac:dyDescent="0.2">
      <c r="A138" s="1" t="str">
        <f>TRIM(TABELA2567[[#This Row],[PRODUTO]])&amp;TRIM(TABELA2567[[#This Row],[COR]])</f>
        <v>07.78.018201040</v>
      </c>
      <c r="B138" s="17" t="s">
        <v>371</v>
      </c>
      <c r="C138" s="18" t="s">
        <v>372</v>
      </c>
      <c r="D138" s="18" t="s">
        <v>95</v>
      </c>
      <c r="E138" s="18" t="s">
        <v>96</v>
      </c>
      <c r="F138" s="19">
        <v>295.56</v>
      </c>
      <c r="G138" s="18" t="s">
        <v>56</v>
      </c>
      <c r="H138" s="18"/>
      <c r="I138" s="18"/>
      <c r="J138" s="18"/>
      <c r="K138" s="18"/>
      <c r="L138" s="18"/>
      <c r="M138" s="18"/>
      <c r="N138" s="18"/>
      <c r="O138" s="18">
        <f>SUM(TABELA2567[[#This Row],[T1]:[T7]])</f>
        <v>0</v>
      </c>
      <c r="P138" s="20">
        <f>TABELA2567[[#This Row],[QTDE]]*TABELA2567[[#This Row],[PREÇO]]</f>
        <v>0</v>
      </c>
      <c r="Q138" s="38">
        <f>VLOOKUP($A:$A,[1]Planilha1!$B:$L,7,0)</f>
        <v>798</v>
      </c>
      <c r="R138" s="38">
        <f>VLOOKUP($A:$A,[1]Planilha1!$B:$L,8,0)</f>
        <v>362.73</v>
      </c>
      <c r="S138" s="37">
        <f>TABELA2567[[#This Row],[PREÇO]]/TABELA2567[[#This Row],[Coluna1]]-1</f>
        <v>-0.62962406015037597</v>
      </c>
      <c r="T138" s="37">
        <f>TABELA2567[[#This Row],[PREÇO]]/TABELA2567[[#This Row],[Coluna2]]-1</f>
        <v>-0.18517905880406915</v>
      </c>
    </row>
    <row r="139" spans="1:20" x14ac:dyDescent="0.2">
      <c r="A139" s="1" t="str">
        <f>TRIM(TABELA2567[[#This Row],[PRODUTO]])&amp;TRIM(TABELA2567[[#This Row],[COR]])</f>
        <v>07.78.01830005</v>
      </c>
      <c r="B139" s="17" t="s">
        <v>373</v>
      </c>
      <c r="C139" s="18" t="s">
        <v>374</v>
      </c>
      <c r="D139" s="18" t="s">
        <v>32</v>
      </c>
      <c r="E139" s="18" t="s">
        <v>33</v>
      </c>
      <c r="F139" s="19">
        <v>295.56</v>
      </c>
      <c r="G139" s="18" t="s">
        <v>56</v>
      </c>
      <c r="H139" s="18"/>
      <c r="I139" s="18"/>
      <c r="J139" s="18"/>
      <c r="K139" s="18"/>
      <c r="L139" s="18"/>
      <c r="M139" s="18"/>
      <c r="N139" s="18"/>
      <c r="O139" s="18">
        <f>SUM(TABELA2567[[#This Row],[T1]:[T7]])</f>
        <v>0</v>
      </c>
      <c r="P139" s="20">
        <f>TABELA2567[[#This Row],[QTDE]]*TABELA2567[[#This Row],[PREÇO]]</f>
        <v>0</v>
      </c>
      <c r="Q139" s="38">
        <f>VLOOKUP($A:$A,[1]Planilha1!$B:$L,7,0)</f>
        <v>798</v>
      </c>
      <c r="R139" s="38">
        <f>VLOOKUP($A:$A,[1]Planilha1!$B:$L,8,0)</f>
        <v>362.73</v>
      </c>
      <c r="S139" s="37">
        <f>TABELA2567[[#This Row],[PREÇO]]/TABELA2567[[#This Row],[Coluna1]]-1</f>
        <v>-0.62962406015037597</v>
      </c>
      <c r="T139" s="37">
        <f>TABELA2567[[#This Row],[PREÇO]]/TABELA2567[[#This Row],[Coluna2]]-1</f>
        <v>-0.18517905880406915</v>
      </c>
    </row>
    <row r="140" spans="1:20" x14ac:dyDescent="0.2">
      <c r="A140" s="1" t="str">
        <f>TRIM(TABELA2567[[#This Row],[PRODUTO]])&amp;TRIM(TABELA2567[[#This Row],[COR]])</f>
        <v>07.78.019521011</v>
      </c>
      <c r="B140" s="17" t="s">
        <v>375</v>
      </c>
      <c r="C140" s="18" t="s">
        <v>376</v>
      </c>
      <c r="D140" s="18" t="s">
        <v>135</v>
      </c>
      <c r="E140" s="18" t="s">
        <v>362</v>
      </c>
      <c r="F140" s="19">
        <v>132.59</v>
      </c>
      <c r="G140" s="18" t="s">
        <v>56</v>
      </c>
      <c r="H140" s="18"/>
      <c r="I140" s="18"/>
      <c r="J140" s="18"/>
      <c r="K140" s="18"/>
      <c r="L140" s="18"/>
      <c r="M140" s="18"/>
      <c r="N140" s="18"/>
      <c r="O140" s="18">
        <f>SUM(TABELA2567[[#This Row],[T1]:[T7]])</f>
        <v>0</v>
      </c>
      <c r="P140" s="20">
        <f>TABELA2567[[#This Row],[QTDE]]*TABELA2567[[#This Row],[PREÇO]]</f>
        <v>0</v>
      </c>
      <c r="Q140" s="38">
        <f>VLOOKUP($A:$A,[1]Planilha1!$B:$L,7,0)</f>
        <v>358</v>
      </c>
      <c r="R140" s="38">
        <f>VLOOKUP($A:$A,[1]Planilha1!$B:$L,8,0)</f>
        <v>162.72999999999999</v>
      </c>
      <c r="S140" s="37">
        <f>TABELA2567[[#This Row],[PREÇO]]/TABELA2567[[#This Row],[Coluna1]]-1</f>
        <v>-0.62963687150837988</v>
      </c>
      <c r="T140" s="37">
        <f>TABELA2567[[#This Row],[PREÇO]]/TABELA2567[[#This Row],[Coluna2]]-1</f>
        <v>-0.18521477293676636</v>
      </c>
    </row>
    <row r="141" spans="1:20" x14ac:dyDescent="0.2">
      <c r="A141" s="1" t="str">
        <f>TRIM(TABELA2567[[#This Row],[PRODUTO]])&amp;TRIM(TABELA2567[[#This Row],[COR]])</f>
        <v>07.78.019621014</v>
      </c>
      <c r="B141" s="17" t="s">
        <v>377</v>
      </c>
      <c r="C141" s="18" t="s">
        <v>378</v>
      </c>
      <c r="D141" s="18" t="s">
        <v>379</v>
      </c>
      <c r="E141" s="18" t="s">
        <v>370</v>
      </c>
      <c r="F141" s="19">
        <v>147.41</v>
      </c>
      <c r="G141" s="18" t="s">
        <v>56</v>
      </c>
      <c r="H141" s="18"/>
      <c r="I141" s="18"/>
      <c r="J141" s="18"/>
      <c r="K141" s="18"/>
      <c r="L141" s="18"/>
      <c r="M141" s="18"/>
      <c r="N141" s="18"/>
      <c r="O141" s="18">
        <f>SUM(TABELA2567[[#This Row],[T1]:[T7]])</f>
        <v>0</v>
      </c>
      <c r="P141" s="20">
        <f>TABELA2567[[#This Row],[QTDE]]*TABELA2567[[#This Row],[PREÇO]]</f>
        <v>0</v>
      </c>
      <c r="Q141" s="38">
        <f>VLOOKUP($A:$A,[1]Planilha1!$B:$L,7,0)</f>
        <v>398</v>
      </c>
      <c r="R141" s="38">
        <f>VLOOKUP($A:$A,[1]Planilha1!$B:$L,8,0)</f>
        <v>180.91</v>
      </c>
      <c r="S141" s="37">
        <f>TABELA2567[[#This Row],[PREÇO]]/TABELA2567[[#This Row],[Coluna1]]-1</f>
        <v>-0.62962311557788952</v>
      </c>
      <c r="T141" s="37">
        <f>TABELA2567[[#This Row],[PREÇO]]/TABELA2567[[#This Row],[Coluna2]]-1</f>
        <v>-0.18517494886960373</v>
      </c>
    </row>
    <row r="142" spans="1:20" x14ac:dyDescent="0.2">
      <c r="A142" s="1" t="str">
        <f>TRIM(TABELA2567[[#This Row],[PRODUTO]])&amp;TRIM(TABELA2567[[#This Row],[COR]])</f>
        <v>07.78.02030005</v>
      </c>
      <c r="B142" s="17" t="s">
        <v>380</v>
      </c>
      <c r="C142" s="18" t="s">
        <v>381</v>
      </c>
      <c r="D142" s="18" t="s">
        <v>32</v>
      </c>
      <c r="E142" s="18" t="s">
        <v>33</v>
      </c>
      <c r="F142" s="19">
        <v>110.37</v>
      </c>
      <c r="G142" s="18" t="s">
        <v>56</v>
      </c>
      <c r="H142" s="18"/>
      <c r="I142" s="18"/>
      <c r="J142" s="18"/>
      <c r="K142" s="18"/>
      <c r="L142" s="18"/>
      <c r="M142" s="18"/>
      <c r="N142" s="18"/>
      <c r="O142" s="18">
        <f>SUM(TABELA2567[[#This Row],[T1]:[T7]])</f>
        <v>0</v>
      </c>
      <c r="P142" s="20">
        <f>TABELA2567[[#This Row],[QTDE]]*TABELA2567[[#This Row],[PREÇO]]</f>
        <v>0</v>
      </c>
      <c r="Q142" s="38">
        <f>VLOOKUP($A:$A,[1]Planilha1!$B:$L,7,0)</f>
        <v>298</v>
      </c>
      <c r="R142" s="38">
        <f>VLOOKUP($A:$A,[1]Planilha1!$B:$L,8,0)</f>
        <v>135.44999999999999</v>
      </c>
      <c r="S142" s="37">
        <f>TABELA2567[[#This Row],[PREÇO]]/TABELA2567[[#This Row],[Coluna1]]-1</f>
        <v>-0.62963087248322147</v>
      </c>
      <c r="T142" s="37">
        <f>TABELA2567[[#This Row],[PREÇO]]/TABELA2567[[#This Row],[Coluna2]]-1</f>
        <v>-0.18516057585825019</v>
      </c>
    </row>
    <row r="143" spans="1:20" x14ac:dyDescent="0.2">
      <c r="A143" s="1" t="str">
        <f>TRIM(TABELA2567[[#This Row],[PRODUTO]])&amp;TRIM(TABELA2567[[#This Row],[COR]])</f>
        <v>07.78.020521302</v>
      </c>
      <c r="B143" s="17" t="s">
        <v>382</v>
      </c>
      <c r="C143" s="18" t="s">
        <v>383</v>
      </c>
      <c r="D143" s="18" t="s">
        <v>384</v>
      </c>
      <c r="E143" s="18" t="s">
        <v>385</v>
      </c>
      <c r="F143" s="19">
        <v>132.59</v>
      </c>
      <c r="G143" s="18" t="s">
        <v>56</v>
      </c>
      <c r="H143" s="18"/>
      <c r="I143" s="18"/>
      <c r="J143" s="18"/>
      <c r="K143" s="18"/>
      <c r="L143" s="18"/>
      <c r="M143" s="18"/>
      <c r="N143" s="18"/>
      <c r="O143" s="18">
        <f>SUM(TABELA2567[[#This Row],[T1]:[T7]])</f>
        <v>0</v>
      </c>
      <c r="P143" s="20">
        <f>TABELA2567[[#This Row],[QTDE]]*TABELA2567[[#This Row],[PREÇO]]</f>
        <v>0</v>
      </c>
      <c r="Q143" s="38">
        <f>VLOOKUP($A:$A,[1]Planilha1!$B:$L,7,0)</f>
        <v>358</v>
      </c>
      <c r="R143" s="38">
        <f>VLOOKUP($A:$A,[1]Planilha1!$B:$L,8,0)</f>
        <v>162.72999999999999</v>
      </c>
      <c r="S143" s="37">
        <f>TABELA2567[[#This Row],[PREÇO]]/TABELA2567[[#This Row],[Coluna1]]-1</f>
        <v>-0.62963687150837988</v>
      </c>
      <c r="T143" s="37">
        <f>TABELA2567[[#This Row],[PREÇO]]/TABELA2567[[#This Row],[Coluna2]]-1</f>
        <v>-0.18521477293676636</v>
      </c>
    </row>
    <row r="144" spans="1:20" x14ac:dyDescent="0.2">
      <c r="A144" s="1" t="str">
        <f>TRIM(TABELA2567[[#This Row],[PRODUTO]])&amp;TRIM(TABELA2567[[#This Row],[COR]])</f>
        <v>07.79.011521306</v>
      </c>
      <c r="B144" s="17" t="s">
        <v>386</v>
      </c>
      <c r="C144" s="18" t="s">
        <v>387</v>
      </c>
      <c r="D144" s="18" t="s">
        <v>388</v>
      </c>
      <c r="E144" s="18" t="s">
        <v>385</v>
      </c>
      <c r="F144" s="19">
        <v>147.41</v>
      </c>
      <c r="G144" s="18" t="s">
        <v>69</v>
      </c>
      <c r="H144" s="18"/>
      <c r="I144" s="18"/>
      <c r="J144" s="18"/>
      <c r="K144" s="18"/>
      <c r="L144" s="18"/>
      <c r="M144" s="18"/>
      <c r="N144" s="18"/>
      <c r="O144" s="18">
        <f>SUM(TABELA2567[[#This Row],[T1]:[T7]])</f>
        <v>0</v>
      </c>
      <c r="P144" s="20">
        <f>TABELA2567[[#This Row],[QTDE]]*TABELA2567[[#This Row],[PREÇO]]</f>
        <v>0</v>
      </c>
      <c r="Q144" s="38">
        <f>VLOOKUP($A:$A,[1]Planilha1!$B:$L,7,0)</f>
        <v>398</v>
      </c>
      <c r="R144" s="38">
        <f>VLOOKUP($A:$A,[1]Planilha1!$B:$L,8,0)</f>
        <v>180.91</v>
      </c>
      <c r="S144" s="37">
        <f>TABELA2567[[#This Row],[PREÇO]]/TABELA2567[[#This Row],[Coluna1]]-1</f>
        <v>-0.62962311557788952</v>
      </c>
      <c r="T144" s="37">
        <f>TABELA2567[[#This Row],[PREÇO]]/TABELA2567[[#This Row],[Coluna2]]-1</f>
        <v>-0.18517494886960373</v>
      </c>
    </row>
    <row r="145" spans="1:20" x14ac:dyDescent="0.2">
      <c r="A145" s="1" t="str">
        <f>TRIM(TABELA2567[[#This Row],[PRODUTO]])&amp;TRIM(TABELA2567[[#This Row],[COR]])</f>
        <v>07.79.011721314</v>
      </c>
      <c r="B145" s="17" t="s">
        <v>389</v>
      </c>
      <c r="C145" s="18" t="s">
        <v>390</v>
      </c>
      <c r="D145" s="18" t="s">
        <v>391</v>
      </c>
      <c r="E145" s="18" t="s">
        <v>392</v>
      </c>
      <c r="F145" s="19">
        <v>147.41</v>
      </c>
      <c r="G145" s="18" t="s">
        <v>69</v>
      </c>
      <c r="H145" s="18"/>
      <c r="I145" s="18"/>
      <c r="J145" s="18"/>
      <c r="K145" s="18"/>
      <c r="L145" s="18"/>
      <c r="M145" s="18"/>
      <c r="N145" s="18"/>
      <c r="O145" s="18">
        <f>SUM(TABELA2567[[#This Row],[T1]:[T7]])</f>
        <v>0</v>
      </c>
      <c r="P145" s="20">
        <f>TABELA2567[[#This Row],[QTDE]]*TABELA2567[[#This Row],[PREÇO]]</f>
        <v>0</v>
      </c>
      <c r="Q145" s="38">
        <f>VLOOKUP($A:$A,[1]Planilha1!$B:$L,7,0)</f>
        <v>398</v>
      </c>
      <c r="R145" s="38">
        <f>VLOOKUP($A:$A,[1]Planilha1!$B:$L,8,0)</f>
        <v>180.91</v>
      </c>
      <c r="S145" s="37">
        <f>TABELA2567[[#This Row],[PREÇO]]/TABELA2567[[#This Row],[Coluna1]]-1</f>
        <v>-0.62962311557788952</v>
      </c>
      <c r="T145" s="37">
        <f>TABELA2567[[#This Row],[PREÇO]]/TABELA2567[[#This Row],[Coluna2]]-1</f>
        <v>-0.18517494886960373</v>
      </c>
    </row>
    <row r="146" spans="1:20" x14ac:dyDescent="0.2">
      <c r="A146" s="1" t="str">
        <f>TRIM(TABELA2567[[#This Row],[PRODUTO]])&amp;TRIM(TABELA2567[[#This Row],[COR]])</f>
        <v>07.79.012201036</v>
      </c>
      <c r="B146" s="17" t="s">
        <v>393</v>
      </c>
      <c r="C146" s="18" t="s">
        <v>394</v>
      </c>
      <c r="D146" s="18" t="s">
        <v>113</v>
      </c>
      <c r="E146" s="18" t="s">
        <v>114</v>
      </c>
      <c r="F146" s="19">
        <v>221.48</v>
      </c>
      <c r="G146" s="18" t="s">
        <v>56</v>
      </c>
      <c r="H146" s="18"/>
      <c r="I146" s="18"/>
      <c r="J146" s="18"/>
      <c r="K146" s="18"/>
      <c r="L146" s="18"/>
      <c r="M146" s="18"/>
      <c r="N146" s="18"/>
      <c r="O146" s="18">
        <f>SUM(TABELA2567[[#This Row],[T1]:[T7]])</f>
        <v>0</v>
      </c>
      <c r="P146" s="20">
        <f>TABELA2567[[#This Row],[QTDE]]*TABELA2567[[#This Row],[PREÇO]]</f>
        <v>0</v>
      </c>
      <c r="Q146" s="38">
        <f>VLOOKUP($A:$A,[1]Planilha1!$B:$L,7,0)</f>
        <v>598</v>
      </c>
      <c r="R146" s="38">
        <f>VLOOKUP($A:$A,[1]Planilha1!$B:$L,8,0)</f>
        <v>271.82</v>
      </c>
      <c r="S146" s="37">
        <f>TABELA2567[[#This Row],[PREÇO]]/TABELA2567[[#This Row],[Coluna1]]-1</f>
        <v>-0.62963210702341144</v>
      </c>
      <c r="T146" s="37">
        <f>TABELA2567[[#This Row],[PREÇO]]/TABELA2567[[#This Row],[Coluna2]]-1</f>
        <v>-0.18519608564491208</v>
      </c>
    </row>
    <row r="147" spans="1:20" x14ac:dyDescent="0.2">
      <c r="A147" s="1" t="str">
        <f>TRIM(TABELA2567[[#This Row],[PRODUTO]])&amp;TRIM(TABELA2567[[#This Row],[COR]])</f>
        <v>07.79.013221312</v>
      </c>
      <c r="B147" s="17" t="s">
        <v>395</v>
      </c>
      <c r="C147" s="18" t="s">
        <v>396</v>
      </c>
      <c r="D147" s="18" t="s">
        <v>357</v>
      </c>
      <c r="E147" s="18" t="s">
        <v>366</v>
      </c>
      <c r="F147" s="19">
        <v>147.41</v>
      </c>
      <c r="G147" s="18" t="s">
        <v>69</v>
      </c>
      <c r="H147" s="18"/>
      <c r="I147" s="18"/>
      <c r="J147" s="18"/>
      <c r="K147" s="18"/>
      <c r="L147" s="18"/>
      <c r="M147" s="18"/>
      <c r="N147" s="18"/>
      <c r="O147" s="18">
        <f>SUM(TABELA2567[[#This Row],[T1]:[T7]])</f>
        <v>0</v>
      </c>
      <c r="P147" s="20">
        <f>TABELA2567[[#This Row],[QTDE]]*TABELA2567[[#This Row],[PREÇO]]</f>
        <v>0</v>
      </c>
      <c r="Q147" s="38">
        <f>VLOOKUP($A:$A,[1]Planilha1!$B:$L,7,0)</f>
        <v>398</v>
      </c>
      <c r="R147" s="38">
        <f>VLOOKUP($A:$A,[1]Planilha1!$B:$L,8,0)</f>
        <v>180.91</v>
      </c>
      <c r="S147" s="37">
        <f>TABELA2567[[#This Row],[PREÇO]]/TABELA2567[[#This Row],[Coluna1]]-1</f>
        <v>-0.62962311557788952</v>
      </c>
      <c r="T147" s="37">
        <f>TABELA2567[[#This Row],[PREÇO]]/TABELA2567[[#This Row],[Coluna2]]-1</f>
        <v>-0.18517494886960373</v>
      </c>
    </row>
    <row r="148" spans="1:20" x14ac:dyDescent="0.2">
      <c r="A148" s="1" t="str">
        <f>TRIM(TABELA2567[[#This Row],[PRODUTO]])&amp;TRIM(TABELA2567[[#This Row],[COR]])</f>
        <v>07.80.007921316</v>
      </c>
      <c r="B148" s="17" t="s">
        <v>397</v>
      </c>
      <c r="C148" s="18" t="s">
        <v>398</v>
      </c>
      <c r="D148" s="18" t="s">
        <v>399</v>
      </c>
      <c r="E148" s="18" t="s">
        <v>392</v>
      </c>
      <c r="F148" s="19">
        <v>147.41</v>
      </c>
      <c r="G148" s="18" t="s">
        <v>69</v>
      </c>
      <c r="H148" s="18"/>
      <c r="I148" s="18"/>
      <c r="J148" s="18"/>
      <c r="K148" s="18"/>
      <c r="L148" s="18"/>
      <c r="M148" s="18"/>
      <c r="N148" s="18"/>
      <c r="O148" s="18">
        <f>SUM(TABELA2567[[#This Row],[T1]:[T7]])</f>
        <v>0</v>
      </c>
      <c r="P148" s="20">
        <f>TABELA2567[[#This Row],[QTDE]]*TABELA2567[[#This Row],[PREÇO]]</f>
        <v>0</v>
      </c>
      <c r="Q148" s="38">
        <f>VLOOKUP($A:$A,[1]Planilha1!$B:$L,7,0)</f>
        <v>398</v>
      </c>
      <c r="R148" s="38">
        <f>VLOOKUP($A:$A,[1]Planilha1!$B:$L,8,0)</f>
        <v>180.91</v>
      </c>
      <c r="S148" s="37">
        <f>TABELA2567[[#This Row],[PREÇO]]/TABELA2567[[#This Row],[Coluna1]]-1</f>
        <v>-0.62962311557788952</v>
      </c>
      <c r="T148" s="37">
        <f>TABELA2567[[#This Row],[PREÇO]]/TABELA2567[[#This Row],[Coluna2]]-1</f>
        <v>-0.18517494886960373</v>
      </c>
    </row>
    <row r="149" spans="1:20" x14ac:dyDescent="0.2">
      <c r="A149" s="1" t="str">
        <f>TRIM(TABELA2567[[#This Row],[PRODUTO]])&amp;TRIM(TABELA2567[[#This Row],[COR]])</f>
        <v>07.80.008401035</v>
      </c>
      <c r="B149" s="17" t="s">
        <v>400</v>
      </c>
      <c r="C149" s="18" t="s">
        <v>401</v>
      </c>
      <c r="D149" s="18" t="s">
        <v>89</v>
      </c>
      <c r="E149" s="18" t="s">
        <v>402</v>
      </c>
      <c r="F149" s="19">
        <v>332.59</v>
      </c>
      <c r="G149" s="18" t="s">
        <v>56</v>
      </c>
      <c r="H149" s="18"/>
      <c r="I149" s="18"/>
      <c r="J149" s="18"/>
      <c r="K149" s="18"/>
      <c r="L149" s="18"/>
      <c r="M149" s="18"/>
      <c r="N149" s="18"/>
      <c r="O149" s="18">
        <f>SUM(TABELA2567[[#This Row],[T1]:[T7]])</f>
        <v>0</v>
      </c>
      <c r="P149" s="20">
        <f>TABELA2567[[#This Row],[QTDE]]*TABELA2567[[#This Row],[PREÇO]]</f>
        <v>0</v>
      </c>
      <c r="Q149" s="38">
        <f>VLOOKUP($A:$A,[1]Planilha1!$B:$L,7,0)</f>
        <v>898</v>
      </c>
      <c r="R149" s="38">
        <f>VLOOKUP($A:$A,[1]Planilha1!$B:$L,8,0)</f>
        <v>408.18</v>
      </c>
      <c r="S149" s="37">
        <f>TABELA2567[[#This Row],[PREÇO]]/TABELA2567[[#This Row],[Coluna1]]-1</f>
        <v>-0.62963251670378617</v>
      </c>
      <c r="T149" s="37">
        <f>TABELA2567[[#This Row],[PREÇO]]/TABELA2567[[#This Row],[Coluna2]]-1</f>
        <v>-0.18518790729580092</v>
      </c>
    </row>
    <row r="150" spans="1:20" x14ac:dyDescent="0.2">
      <c r="A150" s="1" t="str">
        <f>TRIM(TABELA2567[[#This Row],[PRODUTO]])&amp;TRIM(TABELA2567[[#This Row],[COR]])</f>
        <v>07.80.00890005</v>
      </c>
      <c r="B150" s="17" t="s">
        <v>403</v>
      </c>
      <c r="C150" s="18" t="s">
        <v>404</v>
      </c>
      <c r="D150" s="18" t="s">
        <v>32</v>
      </c>
      <c r="E150" s="18" t="s">
        <v>66</v>
      </c>
      <c r="F150" s="19">
        <v>332.59</v>
      </c>
      <c r="G150" s="18" t="s">
        <v>56</v>
      </c>
      <c r="H150" s="18"/>
      <c r="I150" s="18"/>
      <c r="J150" s="18"/>
      <c r="K150" s="18"/>
      <c r="L150" s="18"/>
      <c r="M150" s="18"/>
      <c r="N150" s="18"/>
      <c r="O150" s="18">
        <f>SUM(TABELA2567[[#This Row],[T1]:[T7]])</f>
        <v>0</v>
      </c>
      <c r="P150" s="20">
        <f>TABELA2567[[#This Row],[QTDE]]*TABELA2567[[#This Row],[PREÇO]]</f>
        <v>0</v>
      </c>
      <c r="Q150" s="38">
        <f>VLOOKUP($A:$A,[1]Planilha1!$B:$L,7,0)</f>
        <v>898</v>
      </c>
      <c r="R150" s="38">
        <f>VLOOKUP($A:$A,[1]Planilha1!$B:$L,8,0)</f>
        <v>408.18</v>
      </c>
      <c r="S150" s="37">
        <f>TABELA2567[[#This Row],[PREÇO]]/TABELA2567[[#This Row],[Coluna1]]-1</f>
        <v>-0.62963251670378617</v>
      </c>
      <c r="T150" s="37">
        <f>TABELA2567[[#This Row],[PREÇO]]/TABELA2567[[#This Row],[Coluna2]]-1</f>
        <v>-0.18518790729580092</v>
      </c>
    </row>
    <row r="151" spans="1:20" x14ac:dyDescent="0.2">
      <c r="A151" s="1" t="str">
        <f>TRIM(TABELA2567[[#This Row],[PRODUTO]])&amp;TRIM(TABELA2567[[#This Row],[COR]])</f>
        <v>07.80.00900003</v>
      </c>
      <c r="B151" s="17" t="s">
        <v>405</v>
      </c>
      <c r="C151" s="18" t="s">
        <v>406</v>
      </c>
      <c r="D151" s="18" t="s">
        <v>42</v>
      </c>
      <c r="E151" s="18" t="s">
        <v>43</v>
      </c>
      <c r="F151" s="19">
        <v>184.44</v>
      </c>
      <c r="G151" s="18" t="s">
        <v>56</v>
      </c>
      <c r="H151" s="18"/>
      <c r="I151" s="18"/>
      <c r="J151" s="18"/>
      <c r="K151" s="18"/>
      <c r="L151" s="18"/>
      <c r="M151" s="18"/>
      <c r="N151" s="18"/>
      <c r="O151" s="18">
        <f>SUM(TABELA2567[[#This Row],[T1]:[T7]])</f>
        <v>0</v>
      </c>
      <c r="P151" s="20">
        <f>TABELA2567[[#This Row],[QTDE]]*TABELA2567[[#This Row],[PREÇO]]</f>
        <v>0</v>
      </c>
      <c r="Q151" s="38">
        <f>VLOOKUP($A:$A,[1]Planilha1!$B:$L,7,0)</f>
        <v>498</v>
      </c>
      <c r="R151" s="38">
        <f>VLOOKUP($A:$A,[1]Planilha1!$B:$L,8,0)</f>
        <v>226.36</v>
      </c>
      <c r="S151" s="37">
        <f>TABELA2567[[#This Row],[PREÇO]]/TABELA2567[[#This Row],[Coluna1]]-1</f>
        <v>-0.62963855421686743</v>
      </c>
      <c r="T151" s="37">
        <f>TABELA2567[[#This Row],[PREÇO]]/TABELA2567[[#This Row],[Coluna2]]-1</f>
        <v>-0.18519172998763034</v>
      </c>
    </row>
    <row r="152" spans="1:20" x14ac:dyDescent="0.2">
      <c r="A152" s="1" t="str">
        <f>TRIM(TABELA2567[[#This Row],[PRODUTO]])&amp;TRIM(TABELA2567[[#This Row],[COR]])</f>
        <v>07.80.009121302</v>
      </c>
      <c r="B152" s="17" t="s">
        <v>407</v>
      </c>
      <c r="C152" s="18" t="s">
        <v>408</v>
      </c>
      <c r="D152" s="18" t="s">
        <v>384</v>
      </c>
      <c r="E152" s="18" t="s">
        <v>385</v>
      </c>
      <c r="F152" s="19">
        <v>147.41</v>
      </c>
      <c r="G152" s="18" t="s">
        <v>69</v>
      </c>
      <c r="H152" s="18"/>
      <c r="I152" s="18"/>
      <c r="J152" s="18"/>
      <c r="K152" s="18"/>
      <c r="L152" s="18"/>
      <c r="M152" s="18"/>
      <c r="N152" s="18"/>
      <c r="O152" s="18">
        <f>SUM(TABELA2567[[#This Row],[T1]:[T7]])</f>
        <v>0</v>
      </c>
      <c r="P152" s="20">
        <f>TABELA2567[[#This Row],[QTDE]]*TABELA2567[[#This Row],[PREÇO]]</f>
        <v>0</v>
      </c>
      <c r="Q152" s="38">
        <f>VLOOKUP($A:$A,[1]Planilha1!$B:$L,7,0)</f>
        <v>398</v>
      </c>
      <c r="R152" s="38">
        <f>VLOOKUP($A:$A,[1]Planilha1!$B:$L,8,0)</f>
        <v>180.91</v>
      </c>
      <c r="S152" s="37">
        <f>TABELA2567[[#This Row],[PREÇO]]/TABELA2567[[#This Row],[Coluna1]]-1</f>
        <v>-0.62962311557788952</v>
      </c>
      <c r="T152" s="37">
        <f>TABELA2567[[#This Row],[PREÇO]]/TABELA2567[[#This Row],[Coluna2]]-1</f>
        <v>-0.18517494886960373</v>
      </c>
    </row>
    <row r="153" spans="1:20" x14ac:dyDescent="0.2">
      <c r="A153" s="1" t="str">
        <f>TRIM(TABELA2567[[#This Row],[PRODUTO]])&amp;TRIM(TABELA2567[[#This Row],[COR]])</f>
        <v>07.93.16190005</v>
      </c>
      <c r="B153" s="17" t="s">
        <v>409</v>
      </c>
      <c r="C153" s="18" t="s">
        <v>410</v>
      </c>
      <c r="D153" s="18" t="s">
        <v>32</v>
      </c>
      <c r="E153" s="18" t="s">
        <v>33</v>
      </c>
      <c r="F153" s="19">
        <v>665.93</v>
      </c>
      <c r="G153" s="18" t="s">
        <v>31</v>
      </c>
      <c r="H153" s="18"/>
      <c r="I153" s="18"/>
      <c r="J153" s="18"/>
      <c r="K153" s="18"/>
      <c r="L153" s="18"/>
      <c r="M153" s="18"/>
      <c r="N153" s="18"/>
      <c r="O153" s="18">
        <f>SUM(TABELA2567[[#This Row],[T1]:[T7]])</f>
        <v>0</v>
      </c>
      <c r="P153" s="20">
        <f>TABELA2567[[#This Row],[QTDE]]*TABELA2567[[#This Row],[PREÇO]]</f>
        <v>0</v>
      </c>
      <c r="Q153" s="38">
        <f>VLOOKUP($A:$A,[1]Planilha1!$B:$L,7,0)</f>
        <v>1798</v>
      </c>
      <c r="R153" s="38">
        <f>VLOOKUP($A:$A,[1]Planilha1!$B:$L,8,0)</f>
        <v>817.27</v>
      </c>
      <c r="S153" s="37">
        <f>TABELA2567[[#This Row],[PREÇO]]/TABELA2567[[#This Row],[Coluna1]]-1</f>
        <v>-0.62962736373748607</v>
      </c>
      <c r="T153" s="37">
        <f>TABELA2567[[#This Row],[PREÇO]]/TABELA2567[[#This Row],[Coluna2]]-1</f>
        <v>-0.18517748112618848</v>
      </c>
    </row>
    <row r="154" spans="1:20" x14ac:dyDescent="0.2">
      <c r="A154" s="1" t="str">
        <f>TRIM(TABELA2567[[#This Row],[PRODUTO]])&amp;TRIM(TABELA2567[[#This Row],[COR]])</f>
        <v>07.93.16350005</v>
      </c>
      <c r="B154" s="17" t="s">
        <v>411</v>
      </c>
      <c r="C154" s="18" t="s">
        <v>412</v>
      </c>
      <c r="D154" s="18" t="s">
        <v>32</v>
      </c>
      <c r="E154" s="18" t="s">
        <v>33</v>
      </c>
      <c r="F154" s="19">
        <v>332.59</v>
      </c>
      <c r="G154" s="18" t="s">
        <v>56</v>
      </c>
      <c r="H154" s="18"/>
      <c r="I154" s="18"/>
      <c r="J154" s="18"/>
      <c r="K154" s="18"/>
      <c r="L154" s="18"/>
      <c r="M154" s="18"/>
      <c r="N154" s="18"/>
      <c r="O154" s="18">
        <f>SUM(TABELA2567[[#This Row],[T1]:[T7]])</f>
        <v>0</v>
      </c>
      <c r="P154" s="20">
        <f>TABELA2567[[#This Row],[QTDE]]*TABELA2567[[#This Row],[PREÇO]]</f>
        <v>0</v>
      </c>
      <c r="Q154" s="38">
        <f>VLOOKUP($A:$A,[1]Planilha1!$B:$L,7,0)</f>
        <v>898</v>
      </c>
      <c r="R154" s="38">
        <f>VLOOKUP($A:$A,[1]Planilha1!$B:$L,8,0)</f>
        <v>408.18</v>
      </c>
      <c r="S154" s="37">
        <f>TABELA2567[[#This Row],[PREÇO]]/TABELA2567[[#This Row],[Coluna1]]-1</f>
        <v>-0.62963251670378617</v>
      </c>
      <c r="T154" s="37">
        <f>TABELA2567[[#This Row],[PREÇO]]/TABELA2567[[#This Row],[Coluna2]]-1</f>
        <v>-0.18518790729580092</v>
      </c>
    </row>
    <row r="155" spans="1:20" x14ac:dyDescent="0.2">
      <c r="A155" s="1" t="str">
        <f>TRIM(TABELA2567[[#This Row],[PRODUTO]])&amp;TRIM(TABELA2567[[#This Row],[COR]])</f>
        <v>07.93.16756216</v>
      </c>
      <c r="B155" s="17" t="s">
        <v>413</v>
      </c>
      <c r="C155" s="18" t="s">
        <v>414</v>
      </c>
      <c r="D155" s="18" t="s">
        <v>47</v>
      </c>
      <c r="E155" s="18" t="s">
        <v>60</v>
      </c>
      <c r="F155" s="19">
        <v>591.85</v>
      </c>
      <c r="G155" s="18" t="s">
        <v>31</v>
      </c>
      <c r="H155" s="18"/>
      <c r="I155" s="18"/>
      <c r="J155" s="18"/>
      <c r="K155" s="18"/>
      <c r="L155" s="18"/>
      <c r="M155" s="18"/>
      <c r="N155" s="18"/>
      <c r="O155" s="18">
        <f>SUM(TABELA2567[[#This Row],[T1]:[T7]])</f>
        <v>0</v>
      </c>
      <c r="P155" s="20">
        <f>TABELA2567[[#This Row],[QTDE]]*TABELA2567[[#This Row],[PREÇO]]</f>
        <v>0</v>
      </c>
      <c r="Q155" s="38">
        <f>VLOOKUP($A:$A,[1]Planilha1!$B:$L,7,0)</f>
        <v>1598</v>
      </c>
      <c r="R155" s="38">
        <f>VLOOKUP($A:$A,[1]Planilha1!$B:$L,8,0)</f>
        <v>726.36</v>
      </c>
      <c r="S155" s="37">
        <f>TABELA2567[[#This Row],[PREÇO]]/TABELA2567[[#This Row],[Coluna1]]-1</f>
        <v>-0.62963078848560694</v>
      </c>
      <c r="T155" s="37">
        <f>TABELA2567[[#This Row],[PREÇO]]/TABELA2567[[#This Row],[Coluna2]]-1</f>
        <v>-0.18518365548763693</v>
      </c>
    </row>
    <row r="156" spans="1:20" x14ac:dyDescent="0.2">
      <c r="A156" s="1" t="str">
        <f>TRIM(TABELA2567[[#This Row],[PRODUTO]])&amp;TRIM(TABELA2567[[#This Row],[COR]])</f>
        <v>07.93.173721011</v>
      </c>
      <c r="B156" s="17" t="s">
        <v>415</v>
      </c>
      <c r="C156" s="18" t="s">
        <v>416</v>
      </c>
      <c r="D156" s="18" t="s">
        <v>135</v>
      </c>
      <c r="E156" s="18" t="s">
        <v>136</v>
      </c>
      <c r="F156" s="19">
        <v>221.48</v>
      </c>
      <c r="G156" s="18" t="s">
        <v>31</v>
      </c>
      <c r="H156" s="18"/>
      <c r="I156" s="18"/>
      <c r="J156" s="18"/>
      <c r="K156" s="18"/>
      <c r="L156" s="18"/>
      <c r="M156" s="18"/>
      <c r="N156" s="18"/>
      <c r="O156" s="18">
        <f>SUM(TABELA2567[[#This Row],[T1]:[T7]])</f>
        <v>0</v>
      </c>
      <c r="P156" s="20">
        <f>TABELA2567[[#This Row],[QTDE]]*TABELA2567[[#This Row],[PREÇO]]</f>
        <v>0</v>
      </c>
      <c r="Q156" s="38">
        <f>VLOOKUP($A:$A,[1]Planilha1!$B:$L,7,0)</f>
        <v>598</v>
      </c>
      <c r="R156" s="38">
        <f>VLOOKUP($A:$A,[1]Planilha1!$B:$L,8,0)</f>
        <v>271.82</v>
      </c>
      <c r="S156" s="37">
        <f>TABELA2567[[#This Row],[PREÇO]]/TABELA2567[[#This Row],[Coluna1]]-1</f>
        <v>-0.62963210702341144</v>
      </c>
      <c r="T156" s="37">
        <f>TABELA2567[[#This Row],[PREÇO]]/TABELA2567[[#This Row],[Coluna2]]-1</f>
        <v>-0.18519608564491208</v>
      </c>
    </row>
    <row r="157" spans="1:20" x14ac:dyDescent="0.2">
      <c r="A157" s="1" t="str">
        <f>TRIM(TABELA2567[[#This Row],[PRODUTO]])&amp;TRIM(TABELA2567[[#This Row],[COR]])</f>
        <v>07.93.174921092</v>
      </c>
      <c r="B157" s="17" t="s">
        <v>417</v>
      </c>
      <c r="C157" s="18" t="s">
        <v>418</v>
      </c>
      <c r="D157" s="18" t="s">
        <v>119</v>
      </c>
      <c r="E157" s="18" t="s">
        <v>120</v>
      </c>
      <c r="F157" s="19">
        <v>202.96</v>
      </c>
      <c r="G157" s="18" t="s">
        <v>31</v>
      </c>
      <c r="H157" s="18"/>
      <c r="I157" s="18"/>
      <c r="J157" s="18"/>
      <c r="K157" s="18"/>
      <c r="L157" s="18"/>
      <c r="M157" s="18"/>
      <c r="N157" s="18"/>
      <c r="O157" s="18">
        <f>SUM(TABELA2567[[#This Row],[T1]:[T7]])</f>
        <v>0</v>
      </c>
      <c r="P157" s="20">
        <f>TABELA2567[[#This Row],[QTDE]]*TABELA2567[[#This Row],[PREÇO]]</f>
        <v>0</v>
      </c>
      <c r="Q157" s="38">
        <f>VLOOKUP($A:$A,[1]Planilha1!$B:$L,7,0)</f>
        <v>548</v>
      </c>
      <c r="R157" s="38">
        <f>VLOOKUP($A:$A,[1]Planilha1!$B:$L,8,0)</f>
        <v>249.09</v>
      </c>
      <c r="S157" s="37">
        <f>TABELA2567[[#This Row],[PREÇO]]/TABELA2567[[#This Row],[Coluna1]]-1</f>
        <v>-0.62963503649635033</v>
      </c>
      <c r="T157" s="37">
        <f>TABELA2567[[#This Row],[PREÇO]]/TABELA2567[[#This Row],[Coluna2]]-1</f>
        <v>-0.18519410654783408</v>
      </c>
    </row>
    <row r="158" spans="1:20" x14ac:dyDescent="0.2">
      <c r="A158" s="1" t="str">
        <f>TRIM(TABELA2567[[#This Row],[PRODUTO]])&amp;TRIM(TABELA2567[[#This Row],[COR]])</f>
        <v>07.93.17710005</v>
      </c>
      <c r="B158" s="17" t="s">
        <v>419</v>
      </c>
      <c r="C158" s="18" t="s">
        <v>420</v>
      </c>
      <c r="D158" s="18" t="s">
        <v>32</v>
      </c>
      <c r="E158" s="18" t="s">
        <v>33</v>
      </c>
      <c r="F158" s="19">
        <v>221.48</v>
      </c>
      <c r="G158" s="18" t="s">
        <v>139</v>
      </c>
      <c r="H158" s="18"/>
      <c r="I158" s="18"/>
      <c r="J158" s="18"/>
      <c r="K158" s="18"/>
      <c r="L158" s="18"/>
      <c r="M158" s="18"/>
      <c r="N158" s="18"/>
      <c r="O158" s="18">
        <f>SUM(TABELA2567[[#This Row],[T1]:[T7]])</f>
        <v>0</v>
      </c>
      <c r="P158" s="20">
        <f>TABELA2567[[#This Row],[QTDE]]*TABELA2567[[#This Row],[PREÇO]]</f>
        <v>0</v>
      </c>
      <c r="Q158" s="38">
        <f>VLOOKUP($A:$A,[1]Planilha1!$B:$L,7,0)</f>
        <v>598</v>
      </c>
      <c r="R158" s="38">
        <f>VLOOKUP($A:$A,[1]Planilha1!$B:$L,8,0)</f>
        <v>271.82</v>
      </c>
      <c r="S158" s="37">
        <f>TABELA2567[[#This Row],[PREÇO]]/TABELA2567[[#This Row],[Coluna1]]-1</f>
        <v>-0.62963210702341144</v>
      </c>
      <c r="T158" s="37">
        <f>TABELA2567[[#This Row],[PREÇO]]/TABELA2567[[#This Row],[Coluna2]]-1</f>
        <v>-0.18519608564491208</v>
      </c>
    </row>
    <row r="159" spans="1:20" x14ac:dyDescent="0.2">
      <c r="A159" s="1" t="str">
        <f>TRIM(TABELA2567[[#This Row],[PRODUTO]])&amp;TRIM(TABELA2567[[#This Row],[COR]])</f>
        <v>07.93.177821104</v>
      </c>
      <c r="B159" s="17" t="s">
        <v>421</v>
      </c>
      <c r="C159" s="18" t="s">
        <v>422</v>
      </c>
      <c r="D159" s="18" t="s">
        <v>163</v>
      </c>
      <c r="E159" s="18" t="s">
        <v>164</v>
      </c>
      <c r="F159" s="19">
        <v>740</v>
      </c>
      <c r="G159" s="18" t="s">
        <v>31</v>
      </c>
      <c r="H159" s="18"/>
      <c r="I159" s="18"/>
      <c r="J159" s="18"/>
      <c r="K159" s="18"/>
      <c r="L159" s="18"/>
      <c r="M159" s="18"/>
      <c r="N159" s="18"/>
      <c r="O159" s="18">
        <f>SUM(TABELA2567[[#This Row],[T1]:[T7]])</f>
        <v>0</v>
      </c>
      <c r="P159" s="20">
        <f>TABELA2567[[#This Row],[QTDE]]*TABELA2567[[#This Row],[PREÇO]]</f>
        <v>0</v>
      </c>
      <c r="Q159" s="38">
        <f>VLOOKUP($A:$A,[1]Planilha1!$B:$L,7,0)</f>
        <v>1998</v>
      </c>
      <c r="R159" s="38">
        <f>VLOOKUP($A:$A,[1]Planilha1!$B:$L,8,0)</f>
        <v>908.18</v>
      </c>
      <c r="S159" s="37">
        <f>TABELA2567[[#This Row],[PREÇO]]/TABELA2567[[#This Row],[Coluna1]]-1</f>
        <v>-0.62962962962962965</v>
      </c>
      <c r="T159" s="37">
        <f>TABELA2567[[#This Row],[PREÇO]]/TABELA2567[[#This Row],[Coluna2]]-1</f>
        <v>-0.18518355392102881</v>
      </c>
    </row>
    <row r="160" spans="1:20" x14ac:dyDescent="0.2">
      <c r="A160" s="1" t="str">
        <f>TRIM(TABELA2567[[#This Row],[PRODUTO]])&amp;TRIM(TABELA2567[[#This Row],[COR]])</f>
        <v>07.93.17830005</v>
      </c>
      <c r="B160" s="17" t="s">
        <v>423</v>
      </c>
      <c r="C160" s="18" t="s">
        <v>424</v>
      </c>
      <c r="D160" s="18" t="s">
        <v>32</v>
      </c>
      <c r="E160" s="18" t="s">
        <v>33</v>
      </c>
      <c r="F160" s="19">
        <v>258.52</v>
      </c>
      <c r="G160" s="18" t="s">
        <v>56</v>
      </c>
      <c r="H160" s="18"/>
      <c r="I160" s="18"/>
      <c r="J160" s="18"/>
      <c r="K160" s="18"/>
      <c r="L160" s="18"/>
      <c r="M160" s="18"/>
      <c r="N160" s="18"/>
      <c r="O160" s="18">
        <f>SUM(TABELA2567[[#This Row],[T1]:[T7]])</f>
        <v>0</v>
      </c>
      <c r="P160" s="20">
        <f>TABELA2567[[#This Row],[QTDE]]*TABELA2567[[#This Row],[PREÇO]]</f>
        <v>0</v>
      </c>
      <c r="Q160" s="38">
        <f>VLOOKUP($A:$A,[1]Planilha1!$B:$L,7,0)</f>
        <v>698</v>
      </c>
      <c r="R160" s="38">
        <f>VLOOKUP($A:$A,[1]Planilha1!$B:$L,8,0)</f>
        <v>317.27</v>
      </c>
      <c r="S160" s="37">
        <f>TABELA2567[[#This Row],[PREÇO]]/TABELA2567[[#This Row],[Coluna1]]-1</f>
        <v>-0.62962750716332383</v>
      </c>
      <c r="T160" s="37">
        <f>TABELA2567[[#This Row],[PREÇO]]/TABELA2567[[#This Row],[Coluna2]]-1</f>
        <v>-0.18517351152015638</v>
      </c>
    </row>
    <row r="161" spans="1:20" x14ac:dyDescent="0.2">
      <c r="A161" s="1" t="str">
        <f>TRIM(TABELA2567[[#This Row],[PRODUTO]])&amp;TRIM(TABELA2567[[#This Row],[COR]])</f>
        <v>07.93.17870005</v>
      </c>
      <c r="B161" s="17" t="s">
        <v>425</v>
      </c>
      <c r="C161" s="18" t="s">
        <v>426</v>
      </c>
      <c r="D161" s="18" t="s">
        <v>32</v>
      </c>
      <c r="E161" s="18" t="s">
        <v>33</v>
      </c>
      <c r="F161" s="19">
        <v>202.96</v>
      </c>
      <c r="G161" s="18" t="s">
        <v>69</v>
      </c>
      <c r="H161" s="18"/>
      <c r="I161" s="18"/>
      <c r="J161" s="18"/>
      <c r="K161" s="18"/>
      <c r="L161" s="18"/>
      <c r="M161" s="18"/>
      <c r="N161" s="18"/>
      <c r="O161" s="18">
        <f>SUM(TABELA2567[[#This Row],[T1]:[T7]])</f>
        <v>0</v>
      </c>
      <c r="P161" s="20">
        <f>TABELA2567[[#This Row],[QTDE]]*TABELA2567[[#This Row],[PREÇO]]</f>
        <v>0</v>
      </c>
      <c r="Q161" s="38">
        <f>VLOOKUP($A:$A,[1]Planilha1!$B:$L,7,0)</f>
        <v>548</v>
      </c>
      <c r="R161" s="38">
        <f>VLOOKUP($A:$A,[1]Planilha1!$B:$L,8,0)</f>
        <v>249.09</v>
      </c>
      <c r="S161" s="37">
        <f>TABELA2567[[#This Row],[PREÇO]]/TABELA2567[[#This Row],[Coluna1]]-1</f>
        <v>-0.62963503649635033</v>
      </c>
      <c r="T161" s="37">
        <f>TABELA2567[[#This Row],[PREÇO]]/TABELA2567[[#This Row],[Coluna2]]-1</f>
        <v>-0.18519410654783408</v>
      </c>
    </row>
    <row r="162" spans="1:20" x14ac:dyDescent="0.2">
      <c r="A162" s="1" t="str">
        <f>TRIM(TABELA2567[[#This Row],[PRODUTO]])&amp;TRIM(TABELA2567[[#This Row],[COR]])</f>
        <v>07.93.178901036</v>
      </c>
      <c r="B162" s="17" t="s">
        <v>427</v>
      </c>
      <c r="C162" s="18" t="s">
        <v>428</v>
      </c>
      <c r="D162" s="18" t="s">
        <v>113</v>
      </c>
      <c r="E162" s="18" t="s">
        <v>114</v>
      </c>
      <c r="F162" s="19">
        <v>202.96</v>
      </c>
      <c r="G162" s="18" t="s">
        <v>56</v>
      </c>
      <c r="H162" s="18"/>
      <c r="I162" s="18"/>
      <c r="J162" s="18"/>
      <c r="K162" s="18"/>
      <c r="L162" s="18"/>
      <c r="M162" s="18"/>
      <c r="N162" s="18"/>
      <c r="O162" s="18">
        <f>SUM(TABELA2567[[#This Row],[T1]:[T7]])</f>
        <v>0</v>
      </c>
      <c r="P162" s="20">
        <f>TABELA2567[[#This Row],[QTDE]]*TABELA2567[[#This Row],[PREÇO]]</f>
        <v>0</v>
      </c>
      <c r="Q162" s="38">
        <f>VLOOKUP($A:$A,[1]Planilha1!$B:$L,7,0)</f>
        <v>548</v>
      </c>
      <c r="R162" s="38">
        <f>VLOOKUP($A:$A,[1]Planilha1!$B:$L,8,0)</f>
        <v>249.09</v>
      </c>
      <c r="S162" s="37">
        <f>TABELA2567[[#This Row],[PREÇO]]/TABELA2567[[#This Row],[Coluna1]]-1</f>
        <v>-0.62963503649635033</v>
      </c>
      <c r="T162" s="37">
        <f>TABELA2567[[#This Row],[PREÇO]]/TABELA2567[[#This Row],[Coluna2]]-1</f>
        <v>-0.18519410654783408</v>
      </c>
    </row>
    <row r="163" spans="1:20" x14ac:dyDescent="0.2">
      <c r="A163" s="1" t="str">
        <f>TRIM(TABELA2567[[#This Row],[PRODUTO]])&amp;TRIM(TABELA2567[[#This Row],[COR]])</f>
        <v>08.04.016601024</v>
      </c>
      <c r="B163" s="17" t="s">
        <v>429</v>
      </c>
      <c r="C163" s="18" t="s">
        <v>430</v>
      </c>
      <c r="D163" s="18" t="s">
        <v>93</v>
      </c>
      <c r="E163" s="18" t="s">
        <v>94</v>
      </c>
      <c r="F163" s="19">
        <v>184.44</v>
      </c>
      <c r="G163" s="18" t="s">
        <v>56</v>
      </c>
      <c r="H163" s="18"/>
      <c r="I163" s="18"/>
      <c r="J163" s="18"/>
      <c r="K163" s="18"/>
      <c r="L163" s="18"/>
      <c r="M163" s="18"/>
      <c r="N163" s="18"/>
      <c r="O163" s="18">
        <f>SUM(TABELA2567[[#This Row],[T1]:[T7]])</f>
        <v>0</v>
      </c>
      <c r="P163" s="20">
        <f>TABELA2567[[#This Row],[QTDE]]*TABELA2567[[#This Row],[PREÇO]]</f>
        <v>0</v>
      </c>
      <c r="Q163" s="38">
        <f>VLOOKUP($A:$A,[1]Planilha1!$B:$L,7,0)</f>
        <v>498</v>
      </c>
      <c r="R163" s="38">
        <f>VLOOKUP($A:$A,[1]Planilha1!$B:$L,8,0)</f>
        <v>226.36</v>
      </c>
      <c r="S163" s="37">
        <f>TABELA2567[[#This Row],[PREÇO]]/TABELA2567[[#This Row],[Coluna1]]-1</f>
        <v>-0.62963855421686743</v>
      </c>
      <c r="T163" s="37">
        <f>TABELA2567[[#This Row],[PREÇO]]/TABELA2567[[#This Row],[Coluna2]]-1</f>
        <v>-0.18519172998763034</v>
      </c>
    </row>
    <row r="164" spans="1:20" x14ac:dyDescent="0.2">
      <c r="A164" s="1" t="str">
        <f>TRIM(TABELA2567[[#This Row],[PRODUTO]])&amp;TRIM(TABELA2567[[#This Row],[COR]])</f>
        <v>08.04.01670109</v>
      </c>
      <c r="B164" s="17" t="s">
        <v>431</v>
      </c>
      <c r="C164" s="18" t="s">
        <v>432</v>
      </c>
      <c r="D164" s="18" t="s">
        <v>52</v>
      </c>
      <c r="E164" s="18" t="s">
        <v>53</v>
      </c>
      <c r="F164" s="19">
        <v>369.63</v>
      </c>
      <c r="G164" s="18" t="s">
        <v>56</v>
      </c>
      <c r="H164" s="18"/>
      <c r="I164" s="18"/>
      <c r="J164" s="18"/>
      <c r="K164" s="18"/>
      <c r="L164" s="18"/>
      <c r="M164" s="18"/>
      <c r="N164" s="18"/>
      <c r="O164" s="18">
        <f>SUM(TABELA2567[[#This Row],[T1]:[T7]])</f>
        <v>0</v>
      </c>
      <c r="P164" s="20">
        <f>TABELA2567[[#This Row],[QTDE]]*TABELA2567[[#This Row],[PREÇO]]</f>
        <v>0</v>
      </c>
      <c r="Q164" s="38">
        <f>VLOOKUP($A:$A,[1]Planilha1!$B:$L,7,0)</f>
        <v>998</v>
      </c>
      <c r="R164" s="38">
        <f>VLOOKUP($A:$A,[1]Planilha1!$B:$L,8,0)</f>
        <v>453.64</v>
      </c>
      <c r="S164" s="37">
        <f>TABELA2567[[#This Row],[PREÇO]]/TABELA2567[[#This Row],[Coluna1]]-1</f>
        <v>-0.629629258517034</v>
      </c>
      <c r="T164" s="37">
        <f>TABELA2567[[#This Row],[PREÇO]]/TABELA2567[[#This Row],[Coluna2]]-1</f>
        <v>-0.18519090027334451</v>
      </c>
    </row>
    <row r="165" spans="1:20" x14ac:dyDescent="0.2">
      <c r="A165" s="1" t="str">
        <f>TRIM(TABELA2567[[#This Row],[PRODUTO]])&amp;TRIM(TABELA2567[[#This Row],[COR]])</f>
        <v>09.01.16986223</v>
      </c>
      <c r="B165" s="17" t="s">
        <v>433</v>
      </c>
      <c r="C165" s="18" t="s">
        <v>434</v>
      </c>
      <c r="D165" s="18" t="s">
        <v>35</v>
      </c>
      <c r="E165" s="18" t="s">
        <v>36</v>
      </c>
      <c r="F165" s="19">
        <v>369.63</v>
      </c>
      <c r="G165" s="18" t="s">
        <v>62</v>
      </c>
      <c r="H165" s="18"/>
      <c r="I165" s="18"/>
      <c r="J165" s="18"/>
      <c r="K165" s="18"/>
      <c r="L165" s="18"/>
      <c r="M165" s="18"/>
      <c r="N165" s="18"/>
      <c r="O165" s="18">
        <f>SUM(TABELA2567[[#This Row],[T1]:[T7]])</f>
        <v>0</v>
      </c>
      <c r="P165" s="20">
        <f>TABELA2567[[#This Row],[QTDE]]*TABELA2567[[#This Row],[PREÇO]]</f>
        <v>0</v>
      </c>
      <c r="Q165" s="38">
        <f>VLOOKUP($A:$A,[1]Planilha1!$B:$L,7,0)</f>
        <v>998</v>
      </c>
      <c r="R165" s="38">
        <f>VLOOKUP($A:$A,[1]Planilha1!$B:$L,8,0)</f>
        <v>453.64</v>
      </c>
      <c r="S165" s="37">
        <f>TABELA2567[[#This Row],[PREÇO]]/TABELA2567[[#This Row],[Coluna1]]-1</f>
        <v>-0.629629258517034</v>
      </c>
      <c r="T165" s="37">
        <f>TABELA2567[[#This Row],[PREÇO]]/TABELA2567[[#This Row],[Coluna2]]-1</f>
        <v>-0.18519090027334451</v>
      </c>
    </row>
    <row r="166" spans="1:20" x14ac:dyDescent="0.2">
      <c r="A166" s="1" t="str">
        <f>TRIM(TABELA2567[[#This Row],[PRODUTO]])&amp;TRIM(TABELA2567[[#This Row],[COR]])</f>
        <v>09.01.17110005</v>
      </c>
      <c r="B166" s="17" t="s">
        <v>435</v>
      </c>
      <c r="C166" s="18" t="s">
        <v>436</v>
      </c>
      <c r="D166" s="18" t="s">
        <v>32</v>
      </c>
      <c r="E166" s="18" t="s">
        <v>33</v>
      </c>
      <c r="F166" s="19">
        <v>295.56</v>
      </c>
      <c r="G166" s="18" t="s">
        <v>62</v>
      </c>
      <c r="H166" s="18"/>
      <c r="I166" s="18"/>
      <c r="J166" s="18"/>
      <c r="K166" s="18"/>
      <c r="L166" s="18"/>
      <c r="M166" s="18"/>
      <c r="N166" s="18"/>
      <c r="O166" s="18">
        <f>SUM(TABELA2567[[#This Row],[T1]:[T7]])</f>
        <v>0</v>
      </c>
      <c r="P166" s="20">
        <f>TABELA2567[[#This Row],[QTDE]]*TABELA2567[[#This Row],[PREÇO]]</f>
        <v>0</v>
      </c>
      <c r="Q166" s="38">
        <f>VLOOKUP($A:$A,[1]Planilha1!$B:$L,7,0)</f>
        <v>798</v>
      </c>
      <c r="R166" s="38">
        <f>VLOOKUP($A:$A,[1]Planilha1!$B:$L,8,0)</f>
        <v>362.73</v>
      </c>
      <c r="S166" s="37">
        <f>TABELA2567[[#This Row],[PREÇO]]/TABELA2567[[#This Row],[Coluna1]]-1</f>
        <v>-0.62962406015037597</v>
      </c>
      <c r="T166" s="37">
        <f>TABELA2567[[#This Row],[PREÇO]]/TABELA2567[[#This Row],[Coluna2]]-1</f>
        <v>-0.18517905880406915</v>
      </c>
    </row>
    <row r="167" spans="1:20" x14ac:dyDescent="0.2">
      <c r="A167" s="1" t="str">
        <f>TRIM(TABELA2567[[#This Row],[PRODUTO]])&amp;TRIM(TABELA2567[[#This Row],[COR]])</f>
        <v>09.01.18430005</v>
      </c>
      <c r="B167" s="17" t="s">
        <v>437</v>
      </c>
      <c r="C167" s="18" t="s">
        <v>438</v>
      </c>
      <c r="D167" s="18" t="s">
        <v>32</v>
      </c>
      <c r="E167" s="18" t="s">
        <v>33</v>
      </c>
      <c r="F167" s="19">
        <v>258.52</v>
      </c>
      <c r="G167" s="18" t="s">
        <v>439</v>
      </c>
      <c r="H167" s="18"/>
      <c r="I167" s="18"/>
      <c r="J167" s="18"/>
      <c r="K167" s="18"/>
      <c r="L167" s="18"/>
      <c r="M167" s="18"/>
      <c r="N167" s="18"/>
      <c r="O167" s="18">
        <f>SUM(TABELA2567[[#This Row],[T1]:[T7]])</f>
        <v>0</v>
      </c>
      <c r="P167" s="20">
        <f>TABELA2567[[#This Row],[QTDE]]*TABELA2567[[#This Row],[PREÇO]]</f>
        <v>0</v>
      </c>
      <c r="Q167" s="38">
        <f>VLOOKUP($A:$A,[1]Planilha1!$B:$L,7,0)</f>
        <v>698</v>
      </c>
      <c r="R167" s="38">
        <f>VLOOKUP($A:$A,[1]Planilha1!$B:$L,8,0)</f>
        <v>317.27</v>
      </c>
      <c r="S167" s="37">
        <f>TABELA2567[[#This Row],[PREÇO]]/TABELA2567[[#This Row],[Coluna1]]-1</f>
        <v>-0.62962750716332383</v>
      </c>
      <c r="T167" s="37">
        <f>TABELA2567[[#This Row],[PREÇO]]/TABELA2567[[#This Row],[Coluna2]]-1</f>
        <v>-0.18517351152015638</v>
      </c>
    </row>
    <row r="168" spans="1:20" x14ac:dyDescent="0.2">
      <c r="A168" s="1" t="str">
        <f>TRIM(TABELA2567[[#This Row],[PRODUTO]])&amp;TRIM(TABELA2567[[#This Row],[COR]])</f>
        <v>09.01.184301035</v>
      </c>
      <c r="B168" s="17" t="s">
        <v>437</v>
      </c>
      <c r="C168" s="18" t="s">
        <v>438</v>
      </c>
      <c r="D168" s="18" t="s">
        <v>89</v>
      </c>
      <c r="E168" s="18" t="s">
        <v>90</v>
      </c>
      <c r="F168" s="19">
        <v>258.52</v>
      </c>
      <c r="G168" s="18" t="s">
        <v>439</v>
      </c>
      <c r="H168" s="18"/>
      <c r="I168" s="18"/>
      <c r="J168" s="18"/>
      <c r="K168" s="18"/>
      <c r="L168" s="18"/>
      <c r="M168" s="18"/>
      <c r="N168" s="18"/>
      <c r="O168" s="18">
        <f>SUM(TABELA2567[[#This Row],[T1]:[T7]])</f>
        <v>0</v>
      </c>
      <c r="P168" s="20">
        <f>TABELA2567[[#This Row],[QTDE]]*TABELA2567[[#This Row],[PREÇO]]</f>
        <v>0</v>
      </c>
      <c r="Q168" s="38">
        <f>VLOOKUP($A:$A,[1]Planilha1!$B:$L,7,0)</f>
        <v>698</v>
      </c>
      <c r="R168" s="38">
        <f>VLOOKUP($A:$A,[1]Planilha1!$B:$L,8,0)</f>
        <v>317.27</v>
      </c>
      <c r="S168" s="37">
        <f>TABELA2567[[#This Row],[PREÇO]]/TABELA2567[[#This Row],[Coluna1]]-1</f>
        <v>-0.62962750716332383</v>
      </c>
      <c r="T168" s="37">
        <f>TABELA2567[[#This Row],[PREÇO]]/TABELA2567[[#This Row],[Coluna2]]-1</f>
        <v>-0.18517351152015638</v>
      </c>
    </row>
    <row r="169" spans="1:20" x14ac:dyDescent="0.2">
      <c r="A169" s="1" t="str">
        <f>TRIM(TABELA2567[[#This Row],[PRODUTO]])&amp;TRIM(TABELA2567[[#This Row],[COR]])</f>
        <v>09.02.05136206</v>
      </c>
      <c r="B169" s="17" t="s">
        <v>440</v>
      </c>
      <c r="C169" s="18" t="s">
        <v>441</v>
      </c>
      <c r="D169" s="18" t="s">
        <v>37</v>
      </c>
      <c r="E169" s="18" t="s">
        <v>38</v>
      </c>
      <c r="F169" s="19">
        <v>369.63</v>
      </c>
      <c r="G169" s="18" t="s">
        <v>62</v>
      </c>
      <c r="H169" s="18"/>
      <c r="I169" s="18"/>
      <c r="J169" s="18"/>
      <c r="K169" s="18"/>
      <c r="L169" s="18"/>
      <c r="M169" s="18"/>
      <c r="N169" s="18"/>
      <c r="O169" s="18">
        <f>SUM(TABELA2567[[#This Row],[T1]:[T7]])</f>
        <v>0</v>
      </c>
      <c r="P169" s="20">
        <f>TABELA2567[[#This Row],[QTDE]]*TABELA2567[[#This Row],[PREÇO]]</f>
        <v>0</v>
      </c>
      <c r="Q169" s="38">
        <f>VLOOKUP($A:$A,[1]Planilha1!$B:$L,7,0)</f>
        <v>998</v>
      </c>
      <c r="R169" s="38">
        <f>VLOOKUP($A:$A,[1]Planilha1!$B:$L,8,0)</f>
        <v>453.64</v>
      </c>
      <c r="S169" s="37">
        <f>TABELA2567[[#This Row],[PREÇO]]/TABELA2567[[#This Row],[Coluna1]]-1</f>
        <v>-0.629629258517034</v>
      </c>
      <c r="T169" s="37">
        <f>TABELA2567[[#This Row],[PREÇO]]/TABELA2567[[#This Row],[Coluna2]]-1</f>
        <v>-0.18519090027334451</v>
      </c>
    </row>
    <row r="170" spans="1:20" x14ac:dyDescent="0.2">
      <c r="A170" s="1" t="str">
        <f>TRIM(TABELA2567[[#This Row],[PRODUTO]])&amp;TRIM(TABELA2567[[#This Row],[COR]])</f>
        <v>09.02.05370005</v>
      </c>
      <c r="B170" s="17" t="s">
        <v>442</v>
      </c>
      <c r="C170" s="18" t="s">
        <v>443</v>
      </c>
      <c r="D170" s="18" t="s">
        <v>32</v>
      </c>
      <c r="E170" s="18" t="s">
        <v>33</v>
      </c>
      <c r="F170" s="19">
        <v>443.7</v>
      </c>
      <c r="G170" s="18" t="s">
        <v>439</v>
      </c>
      <c r="H170" s="18"/>
      <c r="I170" s="18"/>
      <c r="J170" s="18"/>
      <c r="K170" s="18"/>
      <c r="L170" s="18"/>
      <c r="M170" s="18"/>
      <c r="N170" s="18"/>
      <c r="O170" s="18">
        <f>SUM(TABELA2567[[#This Row],[T1]:[T7]])</f>
        <v>0</v>
      </c>
      <c r="P170" s="20">
        <f>TABELA2567[[#This Row],[QTDE]]*TABELA2567[[#This Row],[PREÇO]]</f>
        <v>0</v>
      </c>
      <c r="Q170" s="38">
        <f>VLOOKUP($A:$A,[1]Planilha1!$B:$L,7,0)</f>
        <v>1198</v>
      </c>
      <c r="R170" s="38">
        <f>VLOOKUP($A:$A,[1]Planilha1!$B:$L,8,0)</f>
        <v>544.54999999999995</v>
      </c>
      <c r="S170" s="37">
        <f>TABELA2567[[#This Row],[PREÇO]]/TABELA2567[[#This Row],[Coluna1]]-1</f>
        <v>-0.62963272120200342</v>
      </c>
      <c r="T170" s="37">
        <f>TABELA2567[[#This Row],[PREÇO]]/TABELA2567[[#This Row],[Coluna2]]-1</f>
        <v>-0.18519878799008349</v>
      </c>
    </row>
    <row r="171" spans="1:20" x14ac:dyDescent="0.2">
      <c r="A171" s="1" t="str">
        <f>TRIM(TABELA2567[[#This Row],[PRODUTO]])&amp;TRIM(TABELA2567[[#This Row],[COR]])</f>
        <v>09.02.05410005</v>
      </c>
      <c r="B171" s="17" t="s">
        <v>444</v>
      </c>
      <c r="C171" s="18" t="s">
        <v>445</v>
      </c>
      <c r="D171" s="18" t="s">
        <v>32</v>
      </c>
      <c r="E171" s="18" t="s">
        <v>33</v>
      </c>
      <c r="F171" s="19">
        <v>369.63</v>
      </c>
      <c r="G171" s="18" t="s">
        <v>446</v>
      </c>
      <c r="H171" s="18"/>
      <c r="I171" s="18"/>
      <c r="J171" s="18"/>
      <c r="K171" s="18"/>
      <c r="L171" s="18"/>
      <c r="M171" s="18"/>
      <c r="N171" s="18"/>
      <c r="O171" s="18">
        <f>SUM(TABELA2567[[#This Row],[T1]:[T7]])</f>
        <v>0</v>
      </c>
      <c r="P171" s="20">
        <f>TABELA2567[[#This Row],[QTDE]]*TABELA2567[[#This Row],[PREÇO]]</f>
        <v>0</v>
      </c>
      <c r="Q171" s="38">
        <f>VLOOKUP($A:$A,[1]Planilha1!$B:$L,7,0)</f>
        <v>998</v>
      </c>
      <c r="R171" s="38">
        <f>VLOOKUP($A:$A,[1]Planilha1!$B:$L,8,0)</f>
        <v>453.64</v>
      </c>
      <c r="S171" s="37">
        <f>TABELA2567[[#This Row],[PREÇO]]/TABELA2567[[#This Row],[Coluna1]]-1</f>
        <v>-0.629629258517034</v>
      </c>
      <c r="T171" s="37">
        <f>TABELA2567[[#This Row],[PREÇO]]/TABELA2567[[#This Row],[Coluna2]]-1</f>
        <v>-0.18519090027334451</v>
      </c>
    </row>
    <row r="172" spans="1:20" x14ac:dyDescent="0.2">
      <c r="A172" s="1" t="str">
        <f>TRIM(TABELA2567[[#This Row],[PRODUTO]])&amp;TRIM(TABELA2567[[#This Row],[COR]])</f>
        <v>09.02.05420005</v>
      </c>
      <c r="B172" s="17" t="s">
        <v>447</v>
      </c>
      <c r="C172" s="18" t="s">
        <v>448</v>
      </c>
      <c r="D172" s="18" t="s">
        <v>32</v>
      </c>
      <c r="E172" s="18" t="s">
        <v>33</v>
      </c>
      <c r="F172" s="19">
        <v>369.63</v>
      </c>
      <c r="G172" s="18" t="s">
        <v>446</v>
      </c>
      <c r="H172" s="18"/>
      <c r="I172" s="18"/>
      <c r="J172" s="18"/>
      <c r="K172" s="18"/>
      <c r="L172" s="18"/>
      <c r="M172" s="18"/>
      <c r="N172" s="18"/>
      <c r="O172" s="18">
        <f>SUM(TABELA2567[[#This Row],[T1]:[T7]])</f>
        <v>0</v>
      </c>
      <c r="P172" s="20">
        <f>TABELA2567[[#This Row],[QTDE]]*TABELA2567[[#This Row],[PREÇO]]</f>
        <v>0</v>
      </c>
      <c r="Q172" s="38">
        <f>VLOOKUP($A:$A,[1]Planilha1!$B:$L,7,0)</f>
        <v>998</v>
      </c>
      <c r="R172" s="38">
        <f>VLOOKUP($A:$A,[1]Planilha1!$B:$L,8,0)</f>
        <v>453.64</v>
      </c>
      <c r="S172" s="37">
        <f>TABELA2567[[#This Row],[PREÇO]]/TABELA2567[[#This Row],[Coluna1]]-1</f>
        <v>-0.629629258517034</v>
      </c>
      <c r="T172" s="37">
        <f>TABELA2567[[#This Row],[PREÇO]]/TABELA2567[[#This Row],[Coluna2]]-1</f>
        <v>-0.18519090027334451</v>
      </c>
    </row>
    <row r="173" spans="1:20" x14ac:dyDescent="0.2">
      <c r="A173" s="1" t="str">
        <f>TRIM(TABELA2567[[#This Row],[PRODUTO]])&amp;TRIM(TABELA2567[[#This Row],[COR]])</f>
        <v>09.02.05470005</v>
      </c>
      <c r="B173" s="17" t="s">
        <v>449</v>
      </c>
      <c r="C173" s="18" t="s">
        <v>450</v>
      </c>
      <c r="D173" s="18" t="s">
        <v>32</v>
      </c>
      <c r="E173" s="18" t="s">
        <v>33</v>
      </c>
      <c r="F173" s="19">
        <v>202.96</v>
      </c>
      <c r="G173" s="18" t="s">
        <v>446</v>
      </c>
      <c r="H173" s="18"/>
      <c r="I173" s="18"/>
      <c r="J173" s="18"/>
      <c r="K173" s="18"/>
      <c r="L173" s="18"/>
      <c r="M173" s="18"/>
      <c r="N173" s="18"/>
      <c r="O173" s="18">
        <f>SUM(TABELA2567[[#This Row],[T1]:[T7]])</f>
        <v>0</v>
      </c>
      <c r="P173" s="20">
        <f>TABELA2567[[#This Row],[QTDE]]*TABELA2567[[#This Row],[PREÇO]]</f>
        <v>0</v>
      </c>
      <c r="Q173" s="38">
        <f>VLOOKUP($A:$A,[1]Planilha1!$B:$L,7,0)</f>
        <v>548</v>
      </c>
      <c r="R173" s="38">
        <f>VLOOKUP($A:$A,[1]Planilha1!$B:$L,8,0)</f>
        <v>249.09</v>
      </c>
      <c r="S173" s="37">
        <f>TABELA2567[[#This Row],[PREÇO]]/TABELA2567[[#This Row],[Coluna1]]-1</f>
        <v>-0.62963503649635033</v>
      </c>
      <c r="T173" s="37">
        <f>TABELA2567[[#This Row],[PREÇO]]/TABELA2567[[#This Row],[Coluna2]]-1</f>
        <v>-0.18519410654783408</v>
      </c>
    </row>
    <row r="174" spans="1:20" x14ac:dyDescent="0.2">
      <c r="A174" s="1" t="str">
        <f>TRIM(TABELA2567[[#This Row],[PRODUTO]])&amp;TRIM(TABELA2567[[#This Row],[COR]])</f>
        <v>09.02.05480005</v>
      </c>
      <c r="B174" s="17" t="s">
        <v>451</v>
      </c>
      <c r="C174" s="18" t="s">
        <v>452</v>
      </c>
      <c r="D174" s="18" t="s">
        <v>32</v>
      </c>
      <c r="E174" s="18" t="s">
        <v>33</v>
      </c>
      <c r="F174" s="19">
        <v>369.63</v>
      </c>
      <c r="G174" s="18" t="s">
        <v>446</v>
      </c>
      <c r="H174" s="18"/>
      <c r="I174" s="18"/>
      <c r="J174" s="18"/>
      <c r="K174" s="18"/>
      <c r="L174" s="18"/>
      <c r="M174" s="18"/>
      <c r="N174" s="18"/>
      <c r="O174" s="18">
        <f>SUM(TABELA2567[[#This Row],[T1]:[T7]])</f>
        <v>0</v>
      </c>
      <c r="P174" s="20">
        <f>TABELA2567[[#This Row],[QTDE]]*TABELA2567[[#This Row],[PREÇO]]</f>
        <v>0</v>
      </c>
      <c r="Q174" s="38">
        <f>VLOOKUP($A:$A,[1]Planilha1!$B:$L,7,0)</f>
        <v>998</v>
      </c>
      <c r="R174" s="38">
        <f>VLOOKUP($A:$A,[1]Planilha1!$B:$L,8,0)</f>
        <v>453.64</v>
      </c>
      <c r="S174" s="37">
        <f>TABELA2567[[#This Row],[PREÇO]]/TABELA2567[[#This Row],[Coluna1]]-1</f>
        <v>-0.629629258517034</v>
      </c>
      <c r="T174" s="37">
        <f>TABELA2567[[#This Row],[PREÇO]]/TABELA2567[[#This Row],[Coluna2]]-1</f>
        <v>-0.18519090027334451</v>
      </c>
    </row>
    <row r="175" spans="1:20" x14ac:dyDescent="0.2">
      <c r="A175" s="1" t="str">
        <f>TRIM(TABELA2567[[#This Row],[PRODUTO]])&amp;TRIM(TABELA2567[[#This Row],[COR]])</f>
        <v>10.01.08370300</v>
      </c>
      <c r="B175" s="17" t="s">
        <v>453</v>
      </c>
      <c r="C175" s="18" t="s">
        <v>454</v>
      </c>
      <c r="D175" s="18" t="s">
        <v>39</v>
      </c>
      <c r="E175" s="18" t="s">
        <v>40</v>
      </c>
      <c r="F175" s="19">
        <v>554.80999999999995</v>
      </c>
      <c r="G175" s="18" t="s">
        <v>65</v>
      </c>
      <c r="H175" s="18"/>
      <c r="I175" s="18"/>
      <c r="J175" s="18"/>
      <c r="K175" s="18"/>
      <c r="L175" s="18"/>
      <c r="M175" s="18"/>
      <c r="N175" s="18"/>
      <c r="O175" s="18">
        <f>SUM(TABELA2567[[#This Row],[T1]:[T7]])</f>
        <v>0</v>
      </c>
      <c r="P175" s="20">
        <f>TABELA2567[[#This Row],[QTDE]]*TABELA2567[[#This Row],[PREÇO]]</f>
        <v>0</v>
      </c>
      <c r="Q175" s="38">
        <f>VLOOKUP($A:$A,[1]Planilha1!$B:$L,7,0)</f>
        <v>1498</v>
      </c>
      <c r="R175" s="38">
        <f>VLOOKUP($A:$A,[1]Planilha1!$B:$L,8,0)</f>
        <v>680.91</v>
      </c>
      <c r="S175" s="37">
        <f>TABELA2567[[#This Row],[PREÇO]]/TABELA2567[[#This Row],[Coluna1]]-1</f>
        <v>-0.62963284379172235</v>
      </c>
      <c r="T175" s="37">
        <f>TABELA2567[[#This Row],[PREÇO]]/TABELA2567[[#This Row],[Coluna2]]-1</f>
        <v>-0.18519334420114264</v>
      </c>
    </row>
    <row r="176" spans="1:20" x14ac:dyDescent="0.2">
      <c r="A176" s="1" t="str">
        <f>TRIM(TABELA2567[[#This Row],[PRODUTO]])&amp;TRIM(TABELA2567[[#This Row],[COR]])</f>
        <v>10.01.08380005</v>
      </c>
      <c r="B176" s="17" t="s">
        <v>455</v>
      </c>
      <c r="C176" s="18" t="s">
        <v>456</v>
      </c>
      <c r="D176" s="18" t="s">
        <v>32</v>
      </c>
      <c r="E176" s="18" t="s">
        <v>33</v>
      </c>
      <c r="F176" s="19">
        <v>554.80999999999995</v>
      </c>
      <c r="G176" s="18" t="s">
        <v>65</v>
      </c>
      <c r="H176" s="18"/>
      <c r="I176" s="18"/>
      <c r="J176" s="18"/>
      <c r="K176" s="18"/>
      <c r="L176" s="18"/>
      <c r="M176" s="18"/>
      <c r="N176" s="18"/>
      <c r="O176" s="18">
        <f>SUM(TABELA2567[[#This Row],[T1]:[T7]])</f>
        <v>0</v>
      </c>
      <c r="P176" s="20">
        <f>TABELA2567[[#This Row],[QTDE]]*TABELA2567[[#This Row],[PREÇO]]</f>
        <v>0</v>
      </c>
      <c r="Q176" s="38">
        <f>VLOOKUP($A:$A,[1]Planilha1!$B:$L,7,0)</f>
        <v>1498</v>
      </c>
      <c r="R176" s="38">
        <f>VLOOKUP($A:$A,[1]Planilha1!$B:$L,8,0)</f>
        <v>680.91</v>
      </c>
      <c r="S176" s="37">
        <f>TABELA2567[[#This Row],[PREÇO]]/TABELA2567[[#This Row],[Coluna1]]-1</f>
        <v>-0.62963284379172235</v>
      </c>
      <c r="T176" s="37">
        <f>TABELA2567[[#This Row],[PREÇO]]/TABELA2567[[#This Row],[Coluna2]]-1</f>
        <v>-0.18519334420114264</v>
      </c>
    </row>
    <row r="177" spans="1:20" x14ac:dyDescent="0.2">
      <c r="A177" s="1" t="str">
        <f>TRIM(TABELA2567[[#This Row],[PRODUTO]])&amp;TRIM(TABELA2567[[#This Row],[COR]])</f>
        <v>10.01.08460005</v>
      </c>
      <c r="B177" s="17" t="s">
        <v>457</v>
      </c>
      <c r="C177" s="18" t="s">
        <v>458</v>
      </c>
      <c r="D177" s="18" t="s">
        <v>32</v>
      </c>
      <c r="E177" s="18" t="s">
        <v>33</v>
      </c>
      <c r="F177" s="19">
        <v>554.80999999999995</v>
      </c>
      <c r="G177" s="18" t="s">
        <v>65</v>
      </c>
      <c r="H177" s="18"/>
      <c r="I177" s="18"/>
      <c r="J177" s="18"/>
      <c r="K177" s="18"/>
      <c r="L177" s="18"/>
      <c r="M177" s="18"/>
      <c r="N177" s="18"/>
      <c r="O177" s="18">
        <f>SUM(TABELA2567[[#This Row],[T1]:[T7]])</f>
        <v>0</v>
      </c>
      <c r="P177" s="20">
        <f>TABELA2567[[#This Row],[QTDE]]*TABELA2567[[#This Row],[PREÇO]]</f>
        <v>0</v>
      </c>
      <c r="Q177" s="38">
        <f>VLOOKUP($A:$A,[1]Planilha1!$B:$L,7,0)</f>
        <v>1498</v>
      </c>
      <c r="R177" s="38">
        <f>VLOOKUP($A:$A,[1]Planilha1!$B:$L,8,0)</f>
        <v>680.91</v>
      </c>
      <c r="S177" s="37">
        <f>TABELA2567[[#This Row],[PREÇO]]/TABELA2567[[#This Row],[Coluna1]]-1</f>
        <v>-0.62963284379172235</v>
      </c>
      <c r="T177" s="37">
        <f>TABELA2567[[#This Row],[PREÇO]]/TABELA2567[[#This Row],[Coluna2]]-1</f>
        <v>-0.18519334420114264</v>
      </c>
    </row>
    <row r="178" spans="1:20" x14ac:dyDescent="0.2">
      <c r="A178" s="1" t="str">
        <f>TRIM(TABELA2567[[#This Row],[PRODUTO]])&amp;TRIM(TABELA2567[[#This Row],[COR]])</f>
        <v>10.02.07226223</v>
      </c>
      <c r="B178" s="17" t="s">
        <v>459</v>
      </c>
      <c r="C178" s="18" t="s">
        <v>460</v>
      </c>
      <c r="D178" s="18" t="s">
        <v>35</v>
      </c>
      <c r="E178" s="18" t="s">
        <v>36</v>
      </c>
      <c r="F178" s="19">
        <v>554.80999999999995</v>
      </c>
      <c r="G178" s="18" t="s">
        <v>65</v>
      </c>
      <c r="H178" s="18"/>
      <c r="I178" s="18"/>
      <c r="J178" s="18"/>
      <c r="K178" s="18"/>
      <c r="L178" s="18"/>
      <c r="M178" s="18"/>
      <c r="N178" s="18"/>
      <c r="O178" s="18">
        <f>SUM(TABELA2567[[#This Row],[T1]:[T7]])</f>
        <v>0</v>
      </c>
      <c r="P178" s="20">
        <f>TABELA2567[[#This Row],[QTDE]]*TABELA2567[[#This Row],[PREÇO]]</f>
        <v>0</v>
      </c>
      <c r="Q178" s="38">
        <f>VLOOKUP($A:$A,[1]Planilha1!$B:$L,7,0)</f>
        <v>1498</v>
      </c>
      <c r="R178" s="38">
        <f>VLOOKUP($A:$A,[1]Planilha1!$B:$L,8,0)</f>
        <v>680.91</v>
      </c>
      <c r="S178" s="37">
        <f>TABELA2567[[#This Row],[PREÇO]]/TABELA2567[[#This Row],[Coluna1]]-1</f>
        <v>-0.62963284379172235</v>
      </c>
      <c r="T178" s="37">
        <f>TABELA2567[[#This Row],[PREÇO]]/TABELA2567[[#This Row],[Coluna2]]-1</f>
        <v>-0.18519334420114264</v>
      </c>
    </row>
    <row r="179" spans="1:20" x14ac:dyDescent="0.2">
      <c r="A179" s="1" t="str">
        <f>TRIM(TABELA2567[[#This Row],[PRODUTO]])&amp;TRIM(TABELA2567[[#This Row],[COR]])</f>
        <v>10.02.074801040</v>
      </c>
      <c r="B179" s="17" t="s">
        <v>461</v>
      </c>
      <c r="C179" s="18" t="s">
        <v>462</v>
      </c>
      <c r="D179" s="18" t="s">
        <v>95</v>
      </c>
      <c r="E179" s="18" t="s">
        <v>96</v>
      </c>
      <c r="F179" s="19">
        <v>628.89</v>
      </c>
      <c r="G179" s="18" t="s">
        <v>65</v>
      </c>
      <c r="H179" s="18"/>
      <c r="I179" s="18"/>
      <c r="J179" s="18"/>
      <c r="K179" s="18"/>
      <c r="L179" s="18"/>
      <c r="M179" s="18"/>
      <c r="N179" s="18"/>
      <c r="O179" s="18">
        <f>SUM(TABELA2567[[#This Row],[T1]:[T7]])</f>
        <v>0</v>
      </c>
      <c r="P179" s="20">
        <f>TABELA2567[[#This Row],[QTDE]]*TABELA2567[[#This Row],[PREÇO]]</f>
        <v>0</v>
      </c>
      <c r="Q179" s="38">
        <f>VLOOKUP($A:$A,[1]Planilha1!$B:$L,7,0)</f>
        <v>1698</v>
      </c>
      <c r="R179" s="38">
        <f>VLOOKUP($A:$A,[1]Planilha1!$B:$L,8,0)</f>
        <v>771.82</v>
      </c>
      <c r="S179" s="37">
        <f>TABELA2567[[#This Row],[PREÇO]]/TABELA2567[[#This Row],[Coluna1]]-1</f>
        <v>-0.62962897526501771</v>
      </c>
      <c r="T179" s="37">
        <f>TABELA2567[[#This Row],[PREÇO]]/TABELA2567[[#This Row],[Coluna2]]-1</f>
        <v>-0.18518566505143697</v>
      </c>
    </row>
    <row r="180" spans="1:20" x14ac:dyDescent="0.2">
      <c r="A180" s="1" t="str">
        <f>TRIM(TABELA2567[[#This Row],[PRODUTO]])&amp;TRIM(TABELA2567[[#This Row],[COR]])</f>
        <v>10.03.06840005</v>
      </c>
      <c r="B180" s="17" t="s">
        <v>463</v>
      </c>
      <c r="C180" s="18" t="s">
        <v>464</v>
      </c>
      <c r="D180" s="18" t="s">
        <v>32</v>
      </c>
      <c r="E180" s="18" t="s">
        <v>33</v>
      </c>
      <c r="F180" s="19">
        <v>665.93</v>
      </c>
      <c r="G180" s="18" t="s">
        <v>65</v>
      </c>
      <c r="H180" s="18"/>
      <c r="I180" s="18"/>
      <c r="J180" s="18"/>
      <c r="K180" s="18"/>
      <c r="L180" s="18"/>
      <c r="M180" s="18"/>
      <c r="N180" s="18"/>
      <c r="O180" s="18">
        <f>SUM(TABELA2567[[#This Row],[T1]:[T7]])</f>
        <v>0</v>
      </c>
      <c r="P180" s="20">
        <f>TABELA2567[[#This Row],[QTDE]]*TABELA2567[[#This Row],[PREÇO]]</f>
        <v>0</v>
      </c>
      <c r="Q180" s="38">
        <f>VLOOKUP($A:$A,[1]Planilha1!$B:$L,7,0)</f>
        <v>1798</v>
      </c>
      <c r="R180" s="38">
        <f>VLOOKUP($A:$A,[1]Planilha1!$B:$L,8,0)</f>
        <v>817.27</v>
      </c>
      <c r="S180" s="37">
        <f>TABELA2567[[#This Row],[PREÇO]]/TABELA2567[[#This Row],[Coluna1]]-1</f>
        <v>-0.62962736373748607</v>
      </c>
      <c r="T180" s="37">
        <f>TABELA2567[[#This Row],[PREÇO]]/TABELA2567[[#This Row],[Coluna2]]-1</f>
        <v>-0.18517748112618848</v>
      </c>
    </row>
    <row r="181" spans="1:20" x14ac:dyDescent="0.2">
      <c r="A181" s="1" t="str">
        <f>TRIM(TABELA2567[[#This Row],[PRODUTO]])&amp;TRIM(TABELA2567[[#This Row],[COR]])</f>
        <v>11.05.01140005</v>
      </c>
      <c r="B181" s="17" t="s">
        <v>465</v>
      </c>
      <c r="C181" s="18" t="s">
        <v>466</v>
      </c>
      <c r="D181" s="18" t="s">
        <v>32</v>
      </c>
      <c r="E181" s="18" t="s">
        <v>33</v>
      </c>
      <c r="F181" s="19">
        <v>258.52</v>
      </c>
      <c r="G181" s="18" t="s">
        <v>56</v>
      </c>
      <c r="H181" s="18"/>
      <c r="I181" s="18"/>
      <c r="J181" s="18"/>
      <c r="K181" s="18"/>
      <c r="L181" s="18"/>
      <c r="M181" s="18"/>
      <c r="N181" s="18"/>
      <c r="O181" s="18">
        <f>SUM(TABELA2567[[#This Row],[T1]:[T7]])</f>
        <v>0</v>
      </c>
      <c r="P181" s="20">
        <f>TABELA2567[[#This Row],[QTDE]]*TABELA2567[[#This Row],[PREÇO]]</f>
        <v>0</v>
      </c>
      <c r="Q181" s="38">
        <f>VLOOKUP($A:$A,[1]Planilha1!$B:$L,7,0)</f>
        <v>698</v>
      </c>
      <c r="R181" s="38">
        <f>VLOOKUP($A:$A,[1]Planilha1!$B:$L,8,0)</f>
        <v>317.27</v>
      </c>
      <c r="S181" s="37">
        <f>TABELA2567[[#This Row],[PREÇO]]/TABELA2567[[#This Row],[Coluna1]]-1</f>
        <v>-0.62962750716332383</v>
      </c>
      <c r="T181" s="37">
        <f>TABELA2567[[#This Row],[PREÇO]]/TABELA2567[[#This Row],[Coluna2]]-1</f>
        <v>-0.18517351152015638</v>
      </c>
    </row>
    <row r="182" spans="1:20" x14ac:dyDescent="0.2">
      <c r="A182" s="1" t="str">
        <f>TRIM(TABELA2567[[#This Row],[PRODUTO]])&amp;TRIM(TABELA2567[[#This Row],[COR]])</f>
        <v>11.05.01170002</v>
      </c>
      <c r="B182" s="17" t="s">
        <v>467</v>
      </c>
      <c r="C182" s="18" t="s">
        <v>468</v>
      </c>
      <c r="D182" s="18" t="s">
        <v>44</v>
      </c>
      <c r="E182" s="18" t="s">
        <v>45</v>
      </c>
      <c r="F182" s="19">
        <v>110.37</v>
      </c>
      <c r="G182" s="18" t="s">
        <v>56</v>
      </c>
      <c r="H182" s="18"/>
      <c r="I182" s="18"/>
      <c r="J182" s="18"/>
      <c r="K182" s="18"/>
      <c r="L182" s="18"/>
      <c r="M182" s="18"/>
      <c r="N182" s="18"/>
      <c r="O182" s="18">
        <f>SUM(TABELA2567[[#This Row],[T1]:[T7]])</f>
        <v>0</v>
      </c>
      <c r="P182" s="20">
        <f>TABELA2567[[#This Row],[QTDE]]*TABELA2567[[#This Row],[PREÇO]]</f>
        <v>0</v>
      </c>
      <c r="Q182" s="38">
        <f>VLOOKUP($A:$A,[1]Planilha1!$B:$L,7,0)</f>
        <v>298</v>
      </c>
      <c r="R182" s="38">
        <f>VLOOKUP($A:$A,[1]Planilha1!$B:$L,8,0)</f>
        <v>135.44999999999999</v>
      </c>
      <c r="S182" s="37">
        <f>TABELA2567[[#This Row],[PREÇO]]/TABELA2567[[#This Row],[Coluna1]]-1</f>
        <v>-0.62963087248322147</v>
      </c>
      <c r="T182" s="37">
        <f>TABELA2567[[#This Row],[PREÇO]]/TABELA2567[[#This Row],[Coluna2]]-1</f>
        <v>-0.18516057585825019</v>
      </c>
    </row>
    <row r="183" spans="1:20" x14ac:dyDescent="0.2">
      <c r="A183" s="1" t="str">
        <f>TRIM(TABELA2567[[#This Row],[PRODUTO]])&amp;TRIM(TABELA2567[[#This Row],[COR]])</f>
        <v>11.05.01170005</v>
      </c>
      <c r="B183" s="17" t="s">
        <v>467</v>
      </c>
      <c r="C183" s="18" t="s">
        <v>468</v>
      </c>
      <c r="D183" s="18" t="s">
        <v>32</v>
      </c>
      <c r="E183" s="18" t="s">
        <v>33</v>
      </c>
      <c r="F183" s="19">
        <v>110.37</v>
      </c>
      <c r="G183" s="18" t="s">
        <v>56</v>
      </c>
      <c r="H183" s="18"/>
      <c r="I183" s="18"/>
      <c r="J183" s="18"/>
      <c r="K183" s="18"/>
      <c r="L183" s="18"/>
      <c r="M183" s="18"/>
      <c r="N183" s="18"/>
      <c r="O183" s="18">
        <f>SUM(TABELA2567[[#This Row],[T1]:[T7]])</f>
        <v>0</v>
      </c>
      <c r="P183" s="20">
        <f>TABELA2567[[#This Row],[QTDE]]*TABELA2567[[#This Row],[PREÇO]]</f>
        <v>0</v>
      </c>
      <c r="Q183" s="38">
        <f>VLOOKUP($A:$A,[1]Planilha1!$B:$L,7,0)</f>
        <v>298</v>
      </c>
      <c r="R183" s="38">
        <f>VLOOKUP($A:$A,[1]Planilha1!$B:$L,8,0)</f>
        <v>135.44999999999999</v>
      </c>
      <c r="S183" s="37">
        <f>TABELA2567[[#This Row],[PREÇO]]/TABELA2567[[#This Row],[Coluna1]]-1</f>
        <v>-0.62963087248322147</v>
      </c>
      <c r="T183" s="37">
        <f>TABELA2567[[#This Row],[PREÇO]]/TABELA2567[[#This Row],[Coluna2]]-1</f>
        <v>-0.18516057585825019</v>
      </c>
    </row>
    <row r="184" spans="1:20" x14ac:dyDescent="0.2">
      <c r="A184" s="1" t="str">
        <f>TRIM(TABELA2567[[#This Row],[PRODUTO]])&amp;TRIM(TABELA2567[[#This Row],[COR]])</f>
        <v>24.01.161521096</v>
      </c>
      <c r="B184" s="17" t="s">
        <v>469</v>
      </c>
      <c r="C184" s="18" t="s">
        <v>470</v>
      </c>
      <c r="D184" s="18" t="s">
        <v>123</v>
      </c>
      <c r="E184" s="18" t="s">
        <v>124</v>
      </c>
      <c r="F184" s="19">
        <v>258.52</v>
      </c>
      <c r="G184" s="18" t="s">
        <v>31</v>
      </c>
      <c r="H184" s="18"/>
      <c r="I184" s="18"/>
      <c r="J184" s="18"/>
      <c r="K184" s="18"/>
      <c r="L184" s="18"/>
      <c r="M184" s="18"/>
      <c r="N184" s="18"/>
      <c r="O184" s="18">
        <f>SUM(TABELA2567[[#This Row],[T1]:[T7]])</f>
        <v>0</v>
      </c>
      <c r="P184" s="20">
        <f>TABELA2567[[#This Row],[QTDE]]*TABELA2567[[#This Row],[PREÇO]]</f>
        <v>0</v>
      </c>
      <c r="Q184" s="38">
        <f>VLOOKUP($A:$A,[1]Planilha1!$B:$L,7,0)</f>
        <v>698</v>
      </c>
      <c r="R184" s="38">
        <f>VLOOKUP($A:$A,[1]Planilha1!$B:$L,8,0)</f>
        <v>317.27</v>
      </c>
      <c r="S184" s="37">
        <f>TABELA2567[[#This Row],[PREÇO]]/TABELA2567[[#This Row],[Coluna1]]-1</f>
        <v>-0.62962750716332383</v>
      </c>
      <c r="T184" s="37">
        <f>TABELA2567[[#This Row],[PREÇO]]/TABELA2567[[#This Row],[Coluna2]]-1</f>
        <v>-0.18517351152015638</v>
      </c>
    </row>
    <row r="185" spans="1:20" x14ac:dyDescent="0.2">
      <c r="A185" s="1" t="str">
        <f>TRIM(TABELA2567[[#This Row],[PRODUTO]])&amp;TRIM(TABELA2567[[#This Row],[COR]])</f>
        <v>24.01.161601035</v>
      </c>
      <c r="B185" s="17" t="s">
        <v>471</v>
      </c>
      <c r="C185" s="18" t="s">
        <v>472</v>
      </c>
      <c r="D185" s="18" t="s">
        <v>89</v>
      </c>
      <c r="E185" s="18" t="s">
        <v>90</v>
      </c>
      <c r="F185" s="19">
        <v>132.59</v>
      </c>
      <c r="G185" s="18" t="s">
        <v>31</v>
      </c>
      <c r="H185" s="18"/>
      <c r="I185" s="18"/>
      <c r="J185" s="18"/>
      <c r="K185" s="18"/>
      <c r="L185" s="18"/>
      <c r="M185" s="18"/>
      <c r="N185" s="18"/>
      <c r="O185" s="18">
        <f>SUM(TABELA2567[[#This Row],[T1]:[T7]])</f>
        <v>0</v>
      </c>
      <c r="P185" s="20">
        <f>TABELA2567[[#This Row],[QTDE]]*TABELA2567[[#This Row],[PREÇO]]</f>
        <v>0</v>
      </c>
      <c r="Q185" s="38">
        <f>VLOOKUP($A:$A,[1]Planilha1!$B:$L,7,0)</f>
        <v>358</v>
      </c>
      <c r="R185" s="38">
        <f>VLOOKUP($A:$A,[1]Planilha1!$B:$L,8,0)</f>
        <v>162.72999999999999</v>
      </c>
      <c r="S185" s="37">
        <f>TABELA2567[[#This Row],[PREÇO]]/TABELA2567[[#This Row],[Coluna1]]-1</f>
        <v>-0.62963687150837988</v>
      </c>
      <c r="T185" s="37">
        <f>TABELA2567[[#This Row],[PREÇO]]/TABELA2567[[#This Row],[Coluna2]]-1</f>
        <v>-0.18521477293676636</v>
      </c>
    </row>
    <row r="186" spans="1:20" x14ac:dyDescent="0.2">
      <c r="A186" s="1" t="str">
        <f>TRIM(TABELA2567[[#This Row],[PRODUTO]])&amp;TRIM(TABELA2567[[#This Row],[COR]])</f>
        <v>24.01.161921046</v>
      </c>
      <c r="B186" s="17" t="s">
        <v>473</v>
      </c>
      <c r="C186" s="18" t="s">
        <v>474</v>
      </c>
      <c r="D186" s="18" t="s">
        <v>243</v>
      </c>
      <c r="E186" s="18" t="s">
        <v>244</v>
      </c>
      <c r="F186" s="19">
        <v>480.74</v>
      </c>
      <c r="G186" s="18" t="s">
        <v>31</v>
      </c>
      <c r="H186" s="18"/>
      <c r="I186" s="18"/>
      <c r="J186" s="18"/>
      <c r="K186" s="18"/>
      <c r="L186" s="18"/>
      <c r="M186" s="18"/>
      <c r="N186" s="18"/>
      <c r="O186" s="18">
        <f>SUM(TABELA2567[[#This Row],[T1]:[T7]])</f>
        <v>0</v>
      </c>
      <c r="P186" s="20">
        <f>TABELA2567[[#This Row],[QTDE]]*TABELA2567[[#This Row],[PREÇO]]</f>
        <v>0</v>
      </c>
      <c r="Q186" s="38">
        <f>VLOOKUP($A:$A,[1]Planilha1!$B:$L,7,0)</f>
        <v>1298</v>
      </c>
      <c r="R186" s="38">
        <f>VLOOKUP($A:$A,[1]Planilha1!$B:$L,8,0)</f>
        <v>590</v>
      </c>
      <c r="S186" s="37">
        <f>TABELA2567[[#This Row],[PREÇO]]/TABELA2567[[#This Row],[Coluna1]]-1</f>
        <v>-0.62963020030816641</v>
      </c>
      <c r="T186" s="37">
        <f>TABELA2567[[#This Row],[PREÇO]]/TABELA2567[[#This Row],[Coluna2]]-1</f>
        <v>-0.18518644067796608</v>
      </c>
    </row>
    <row r="187" spans="1:20" x14ac:dyDescent="0.2">
      <c r="A187" s="1" t="str">
        <f>TRIM(TABELA2567[[#This Row],[PRODUTO]])&amp;TRIM(TABELA2567[[#This Row],[COR]])</f>
        <v>24.01.163021104</v>
      </c>
      <c r="B187" s="17" t="s">
        <v>475</v>
      </c>
      <c r="C187" s="18" t="s">
        <v>476</v>
      </c>
      <c r="D187" s="18" t="s">
        <v>163</v>
      </c>
      <c r="E187" s="18" t="s">
        <v>164</v>
      </c>
      <c r="F187" s="19">
        <v>258.52</v>
      </c>
      <c r="G187" s="18" t="s">
        <v>31</v>
      </c>
      <c r="H187" s="18"/>
      <c r="I187" s="18"/>
      <c r="J187" s="18"/>
      <c r="K187" s="18"/>
      <c r="L187" s="18"/>
      <c r="M187" s="18"/>
      <c r="N187" s="18"/>
      <c r="O187" s="18">
        <f>SUM(TABELA2567[[#This Row],[T1]:[T7]])</f>
        <v>0</v>
      </c>
      <c r="P187" s="20">
        <f>TABELA2567[[#This Row],[QTDE]]*TABELA2567[[#This Row],[PREÇO]]</f>
        <v>0</v>
      </c>
      <c r="Q187" s="38">
        <f>VLOOKUP($A:$A,[1]Planilha1!$B:$L,7,0)</f>
        <v>698</v>
      </c>
      <c r="R187" s="38">
        <f>VLOOKUP($A:$A,[1]Planilha1!$B:$L,8,0)</f>
        <v>317.27</v>
      </c>
      <c r="S187" s="37">
        <f>TABELA2567[[#This Row],[PREÇO]]/TABELA2567[[#This Row],[Coluna1]]-1</f>
        <v>-0.62962750716332383</v>
      </c>
      <c r="T187" s="37">
        <f>TABELA2567[[#This Row],[PREÇO]]/TABELA2567[[#This Row],[Coluna2]]-1</f>
        <v>-0.18517351152015638</v>
      </c>
    </row>
    <row r="188" spans="1:20" x14ac:dyDescent="0.2">
      <c r="A188" s="1" t="str">
        <f>TRIM(TABELA2567[[#This Row],[PRODUTO]])&amp;TRIM(TABELA2567[[#This Row],[COR]])</f>
        <v>24.01.163101032</v>
      </c>
      <c r="B188" s="17" t="s">
        <v>477</v>
      </c>
      <c r="C188" s="18" t="s">
        <v>478</v>
      </c>
      <c r="D188" s="18" t="s">
        <v>205</v>
      </c>
      <c r="E188" s="18" t="s">
        <v>206</v>
      </c>
      <c r="F188" s="19">
        <v>295.56</v>
      </c>
      <c r="G188" s="18" t="s">
        <v>31</v>
      </c>
      <c r="H188" s="18"/>
      <c r="I188" s="18"/>
      <c r="J188" s="18"/>
      <c r="K188" s="18"/>
      <c r="L188" s="18"/>
      <c r="M188" s="18"/>
      <c r="N188" s="18"/>
      <c r="O188" s="18">
        <f>SUM(TABELA2567[[#This Row],[T1]:[T7]])</f>
        <v>0</v>
      </c>
      <c r="P188" s="20">
        <f>TABELA2567[[#This Row],[QTDE]]*TABELA2567[[#This Row],[PREÇO]]</f>
        <v>0</v>
      </c>
      <c r="Q188" s="38">
        <f>VLOOKUP($A:$A,[1]Planilha1!$B:$L,7,0)</f>
        <v>798</v>
      </c>
      <c r="R188" s="38">
        <f>VLOOKUP($A:$A,[1]Planilha1!$B:$L,8,0)</f>
        <v>362.73</v>
      </c>
      <c r="S188" s="37">
        <f>TABELA2567[[#This Row],[PREÇO]]/TABELA2567[[#This Row],[Coluna1]]-1</f>
        <v>-0.62962406015037597</v>
      </c>
      <c r="T188" s="37">
        <f>TABELA2567[[#This Row],[PREÇO]]/TABELA2567[[#This Row],[Coluna2]]-1</f>
        <v>-0.18517905880406915</v>
      </c>
    </row>
    <row r="189" spans="1:20" x14ac:dyDescent="0.2">
      <c r="A189" s="1" t="str">
        <f>TRIM(TABELA2567[[#This Row],[PRODUTO]])&amp;TRIM(TABELA2567[[#This Row],[COR]])</f>
        <v>24.01.163721015</v>
      </c>
      <c r="B189" s="17" t="s">
        <v>479</v>
      </c>
      <c r="C189" s="18" t="s">
        <v>480</v>
      </c>
      <c r="D189" s="18" t="s">
        <v>142</v>
      </c>
      <c r="E189" s="18" t="s">
        <v>143</v>
      </c>
      <c r="F189" s="19">
        <v>258.52</v>
      </c>
      <c r="G189" s="18" t="s">
        <v>31</v>
      </c>
      <c r="H189" s="18"/>
      <c r="I189" s="18"/>
      <c r="J189" s="18"/>
      <c r="K189" s="18"/>
      <c r="L189" s="18"/>
      <c r="M189" s="18"/>
      <c r="N189" s="18"/>
      <c r="O189" s="18">
        <f>SUM(TABELA2567[[#This Row],[T1]:[T7]])</f>
        <v>0</v>
      </c>
      <c r="P189" s="20">
        <f>TABELA2567[[#This Row],[QTDE]]*TABELA2567[[#This Row],[PREÇO]]</f>
        <v>0</v>
      </c>
      <c r="Q189" s="38">
        <f>VLOOKUP($A:$A,[1]Planilha1!$B:$L,7,0)</f>
        <v>698</v>
      </c>
      <c r="R189" s="38">
        <f>VLOOKUP($A:$A,[1]Planilha1!$B:$L,8,0)</f>
        <v>317.27</v>
      </c>
      <c r="S189" s="37">
        <f>TABELA2567[[#This Row],[PREÇO]]/TABELA2567[[#This Row],[Coluna1]]-1</f>
        <v>-0.62962750716332383</v>
      </c>
      <c r="T189" s="37">
        <f>TABELA2567[[#This Row],[PREÇO]]/TABELA2567[[#This Row],[Coluna2]]-1</f>
        <v>-0.18517351152015638</v>
      </c>
    </row>
    <row r="190" spans="1:20" x14ac:dyDescent="0.2">
      <c r="A190" s="1" t="str">
        <f>TRIM(TABELA2567[[#This Row],[PRODUTO]])&amp;TRIM(TABELA2567[[#This Row],[COR]])</f>
        <v>24.01.164021102</v>
      </c>
      <c r="B190" s="17" t="s">
        <v>481</v>
      </c>
      <c r="C190" s="18" t="s">
        <v>482</v>
      </c>
      <c r="D190" s="18" t="s">
        <v>249</v>
      </c>
      <c r="E190" s="18" t="s">
        <v>250</v>
      </c>
      <c r="F190" s="19">
        <v>258.52</v>
      </c>
      <c r="G190" s="18" t="s">
        <v>56</v>
      </c>
      <c r="H190" s="18"/>
      <c r="I190" s="18"/>
      <c r="J190" s="18"/>
      <c r="K190" s="18"/>
      <c r="L190" s="18"/>
      <c r="M190" s="18"/>
      <c r="N190" s="18"/>
      <c r="O190" s="18">
        <f>SUM(TABELA2567[[#This Row],[T1]:[T7]])</f>
        <v>0</v>
      </c>
      <c r="P190" s="20">
        <f>TABELA2567[[#This Row],[QTDE]]*TABELA2567[[#This Row],[PREÇO]]</f>
        <v>0</v>
      </c>
      <c r="Q190" s="38">
        <f>VLOOKUP($A:$A,[1]Planilha1!$B:$L,7,0)</f>
        <v>698</v>
      </c>
      <c r="R190" s="38">
        <f>VLOOKUP($A:$A,[1]Planilha1!$B:$L,8,0)</f>
        <v>317.27</v>
      </c>
      <c r="S190" s="37">
        <f>TABELA2567[[#This Row],[PREÇO]]/TABELA2567[[#This Row],[Coluna1]]-1</f>
        <v>-0.62962750716332383</v>
      </c>
      <c r="T190" s="37">
        <f>TABELA2567[[#This Row],[PREÇO]]/TABELA2567[[#This Row],[Coluna2]]-1</f>
        <v>-0.18517351152015638</v>
      </c>
    </row>
    <row r="191" spans="1:20" x14ac:dyDescent="0.2">
      <c r="A191" s="1" t="str">
        <f>TRIM(TABELA2567[[#This Row],[PRODUTO]])&amp;TRIM(TABELA2567[[#This Row],[COR]])</f>
        <v>24.01.16490002</v>
      </c>
      <c r="B191" s="17" t="s">
        <v>483</v>
      </c>
      <c r="C191" s="18" t="s">
        <v>484</v>
      </c>
      <c r="D191" s="18" t="s">
        <v>44</v>
      </c>
      <c r="E191" s="18" t="s">
        <v>45</v>
      </c>
      <c r="F191" s="19">
        <v>221.48</v>
      </c>
      <c r="G191" s="18" t="s">
        <v>56</v>
      </c>
      <c r="H191" s="18"/>
      <c r="I191" s="18"/>
      <c r="J191" s="18"/>
      <c r="K191" s="18"/>
      <c r="L191" s="18"/>
      <c r="M191" s="18"/>
      <c r="N191" s="18"/>
      <c r="O191" s="18">
        <f>SUM(TABELA2567[[#This Row],[T1]:[T7]])</f>
        <v>0</v>
      </c>
      <c r="P191" s="20">
        <f>TABELA2567[[#This Row],[QTDE]]*TABELA2567[[#This Row],[PREÇO]]</f>
        <v>0</v>
      </c>
      <c r="Q191" s="38">
        <f>VLOOKUP($A:$A,[1]Planilha1!$B:$L,7,0)</f>
        <v>598</v>
      </c>
      <c r="R191" s="38">
        <f>VLOOKUP($A:$A,[1]Planilha1!$B:$L,8,0)</f>
        <v>271.82</v>
      </c>
      <c r="S191" s="37">
        <f>TABELA2567[[#This Row],[PREÇO]]/TABELA2567[[#This Row],[Coluna1]]-1</f>
        <v>-0.62963210702341144</v>
      </c>
      <c r="T191" s="37">
        <f>TABELA2567[[#This Row],[PREÇO]]/TABELA2567[[#This Row],[Coluna2]]-1</f>
        <v>-0.18519608564491208</v>
      </c>
    </row>
    <row r="192" spans="1:20" x14ac:dyDescent="0.2">
      <c r="A192" s="1" t="str">
        <f>TRIM(TABELA2567[[#This Row],[PRODUTO]])&amp;TRIM(TABELA2567[[#This Row],[COR]])</f>
        <v>24.01.16540002</v>
      </c>
      <c r="B192" s="17" t="s">
        <v>485</v>
      </c>
      <c r="C192" s="18" t="s">
        <v>486</v>
      </c>
      <c r="D192" s="18" t="s">
        <v>44</v>
      </c>
      <c r="E192" s="18" t="s">
        <v>45</v>
      </c>
      <c r="F192" s="19">
        <v>221.48</v>
      </c>
      <c r="G192" s="18" t="s">
        <v>56</v>
      </c>
      <c r="H192" s="18"/>
      <c r="I192" s="18"/>
      <c r="J192" s="18"/>
      <c r="K192" s="18"/>
      <c r="L192" s="18"/>
      <c r="M192" s="18"/>
      <c r="N192" s="18"/>
      <c r="O192" s="18">
        <f>SUM(TABELA2567[[#This Row],[T1]:[T7]])</f>
        <v>0</v>
      </c>
      <c r="P192" s="20">
        <f>TABELA2567[[#This Row],[QTDE]]*TABELA2567[[#This Row],[PREÇO]]</f>
        <v>0</v>
      </c>
      <c r="Q192" s="38">
        <f>VLOOKUP($A:$A,[1]Planilha1!$B:$L,7,0)</f>
        <v>598</v>
      </c>
      <c r="R192" s="38">
        <f>VLOOKUP($A:$A,[1]Planilha1!$B:$L,8,0)</f>
        <v>271.82</v>
      </c>
      <c r="S192" s="37">
        <f>TABELA2567[[#This Row],[PREÇO]]/TABELA2567[[#This Row],[Coluna1]]-1</f>
        <v>-0.62963210702341144</v>
      </c>
      <c r="T192" s="37">
        <f>TABELA2567[[#This Row],[PREÇO]]/TABELA2567[[#This Row],[Coluna2]]-1</f>
        <v>-0.18519608564491208</v>
      </c>
    </row>
    <row r="193" spans="1:20" x14ac:dyDescent="0.2">
      <c r="A193" s="1" t="str">
        <f>TRIM(TABELA2567[[#This Row],[PRODUTO]])&amp;TRIM(TABELA2567[[#This Row],[COR]])</f>
        <v>25.01.27090600</v>
      </c>
      <c r="B193" s="17" t="s">
        <v>487</v>
      </c>
      <c r="C193" s="18" t="s">
        <v>488</v>
      </c>
      <c r="D193" s="18" t="s">
        <v>67</v>
      </c>
      <c r="E193" s="18" t="s">
        <v>68</v>
      </c>
      <c r="F193" s="19">
        <v>443.7</v>
      </c>
      <c r="G193" s="18" t="s">
        <v>56</v>
      </c>
      <c r="H193" s="18"/>
      <c r="I193" s="18"/>
      <c r="J193" s="18"/>
      <c r="K193" s="18"/>
      <c r="L193" s="18"/>
      <c r="M193" s="18"/>
      <c r="N193" s="18"/>
      <c r="O193" s="18">
        <f>SUM(TABELA2567[[#This Row],[T1]:[T7]])</f>
        <v>0</v>
      </c>
      <c r="P193" s="20">
        <f>TABELA2567[[#This Row],[QTDE]]*TABELA2567[[#This Row],[PREÇO]]</f>
        <v>0</v>
      </c>
      <c r="Q193" s="38">
        <f>VLOOKUP($A:$A,[1]Planilha1!$B:$L,7,0)</f>
        <v>1198</v>
      </c>
      <c r="R193" s="38">
        <f>VLOOKUP($A:$A,[1]Planilha1!$B:$L,8,0)</f>
        <v>544.54999999999995</v>
      </c>
      <c r="S193" s="37">
        <f>TABELA2567[[#This Row],[PREÇO]]/TABELA2567[[#This Row],[Coluna1]]-1</f>
        <v>-0.62963272120200342</v>
      </c>
      <c r="T193" s="37">
        <f>TABELA2567[[#This Row],[PREÇO]]/TABELA2567[[#This Row],[Coluna2]]-1</f>
        <v>-0.18519878799008349</v>
      </c>
    </row>
    <row r="194" spans="1:20" x14ac:dyDescent="0.2">
      <c r="A194" s="1" t="str">
        <f>TRIM(TABELA2567[[#This Row],[PRODUTO]])&amp;TRIM(TABELA2567[[#This Row],[COR]])</f>
        <v>25.01.27540005</v>
      </c>
      <c r="B194" s="17" t="s">
        <v>489</v>
      </c>
      <c r="C194" s="18" t="s">
        <v>490</v>
      </c>
      <c r="D194" s="18" t="s">
        <v>32</v>
      </c>
      <c r="E194" s="18" t="s">
        <v>33</v>
      </c>
      <c r="F194" s="19">
        <v>332.59</v>
      </c>
      <c r="G194" s="18" t="s">
        <v>69</v>
      </c>
      <c r="H194" s="18"/>
      <c r="I194" s="18"/>
      <c r="J194" s="18"/>
      <c r="K194" s="18"/>
      <c r="L194" s="18"/>
      <c r="M194" s="18"/>
      <c r="N194" s="18"/>
      <c r="O194" s="18">
        <f>SUM(TABELA2567[[#This Row],[T1]:[T7]])</f>
        <v>0</v>
      </c>
      <c r="P194" s="20">
        <f>TABELA2567[[#This Row],[QTDE]]*TABELA2567[[#This Row],[PREÇO]]</f>
        <v>0</v>
      </c>
      <c r="Q194" s="38">
        <f>VLOOKUP($A:$A,[1]Planilha1!$B:$L,7,0)</f>
        <v>898</v>
      </c>
      <c r="R194" s="38">
        <f>VLOOKUP($A:$A,[1]Planilha1!$B:$L,8,0)</f>
        <v>408.18</v>
      </c>
      <c r="S194" s="37">
        <f>TABELA2567[[#This Row],[PREÇO]]/TABELA2567[[#This Row],[Coluna1]]-1</f>
        <v>-0.62963251670378617</v>
      </c>
      <c r="T194" s="37">
        <f>TABELA2567[[#This Row],[PREÇO]]/TABELA2567[[#This Row],[Coluna2]]-1</f>
        <v>-0.18518790729580092</v>
      </c>
    </row>
    <row r="195" spans="1:20" x14ac:dyDescent="0.2">
      <c r="A195" s="1" t="str">
        <f>TRIM(TABELA2567[[#This Row],[PRODUTO]])&amp;TRIM(TABELA2567[[#This Row],[COR]])</f>
        <v>25.01.27546222</v>
      </c>
      <c r="B195" s="17" t="s">
        <v>489</v>
      </c>
      <c r="C195" s="18" t="s">
        <v>490</v>
      </c>
      <c r="D195" s="18" t="s">
        <v>57</v>
      </c>
      <c r="E195" s="18" t="s">
        <v>58</v>
      </c>
      <c r="F195" s="19">
        <v>332.59</v>
      </c>
      <c r="G195" s="18" t="s">
        <v>69</v>
      </c>
      <c r="H195" s="18"/>
      <c r="I195" s="18"/>
      <c r="J195" s="18"/>
      <c r="K195" s="18"/>
      <c r="L195" s="18"/>
      <c r="M195" s="18"/>
      <c r="N195" s="18"/>
      <c r="O195" s="18">
        <f>SUM(TABELA2567[[#This Row],[T1]:[T7]])</f>
        <v>0</v>
      </c>
      <c r="P195" s="20">
        <f>TABELA2567[[#This Row],[QTDE]]*TABELA2567[[#This Row],[PREÇO]]</f>
        <v>0</v>
      </c>
      <c r="Q195" s="38">
        <f>VLOOKUP($A:$A,[1]Planilha1!$B:$L,7,0)</f>
        <v>898</v>
      </c>
      <c r="R195" s="38">
        <f>VLOOKUP($A:$A,[1]Planilha1!$B:$L,8,0)</f>
        <v>408.18</v>
      </c>
      <c r="S195" s="37">
        <f>TABELA2567[[#This Row],[PREÇO]]/TABELA2567[[#This Row],[Coluna1]]-1</f>
        <v>-0.62963251670378617</v>
      </c>
      <c r="T195" s="37">
        <f>TABELA2567[[#This Row],[PREÇO]]/TABELA2567[[#This Row],[Coluna2]]-1</f>
        <v>-0.18518790729580092</v>
      </c>
    </row>
    <row r="196" spans="1:20" x14ac:dyDescent="0.2">
      <c r="A196" s="1" t="str">
        <f>TRIM(TABELA2567[[#This Row],[PRODUTO]])&amp;TRIM(TABELA2567[[#This Row],[COR]])</f>
        <v>25.01.284721096</v>
      </c>
      <c r="B196" s="17" t="s">
        <v>491</v>
      </c>
      <c r="C196" s="18" t="s">
        <v>492</v>
      </c>
      <c r="D196" s="18" t="s">
        <v>123</v>
      </c>
      <c r="E196" s="18" t="s">
        <v>124</v>
      </c>
      <c r="F196" s="19">
        <v>332.59</v>
      </c>
      <c r="G196" s="18" t="s">
        <v>31</v>
      </c>
      <c r="H196" s="18"/>
      <c r="I196" s="18"/>
      <c r="J196" s="18"/>
      <c r="K196" s="18"/>
      <c r="L196" s="18"/>
      <c r="M196" s="18"/>
      <c r="N196" s="18"/>
      <c r="O196" s="18">
        <f>SUM(TABELA2567[[#This Row],[T1]:[T7]])</f>
        <v>0</v>
      </c>
      <c r="P196" s="20">
        <f>TABELA2567[[#This Row],[QTDE]]*TABELA2567[[#This Row],[PREÇO]]</f>
        <v>0</v>
      </c>
      <c r="Q196" s="38">
        <f>VLOOKUP($A:$A,[1]Planilha1!$B:$L,7,0)</f>
        <v>898</v>
      </c>
      <c r="R196" s="38">
        <f>VLOOKUP($A:$A,[1]Planilha1!$B:$L,8,0)</f>
        <v>408.18</v>
      </c>
      <c r="S196" s="37">
        <f>TABELA2567[[#This Row],[PREÇO]]/TABELA2567[[#This Row],[Coluna1]]-1</f>
        <v>-0.62963251670378617</v>
      </c>
      <c r="T196" s="37">
        <f>TABELA2567[[#This Row],[PREÇO]]/TABELA2567[[#This Row],[Coluna2]]-1</f>
        <v>-0.18518790729580092</v>
      </c>
    </row>
    <row r="197" spans="1:20" x14ac:dyDescent="0.2">
      <c r="A197" s="1" t="str">
        <f>TRIM(TABELA2567[[#This Row],[PRODUTO]])&amp;TRIM(TABELA2567[[#This Row],[COR]])</f>
        <v>25.01.28620300</v>
      </c>
      <c r="B197" s="17" t="s">
        <v>493</v>
      </c>
      <c r="C197" s="18" t="s">
        <v>494</v>
      </c>
      <c r="D197" s="18" t="s">
        <v>39</v>
      </c>
      <c r="E197" s="18" t="s">
        <v>96</v>
      </c>
      <c r="F197" s="19">
        <v>221.48</v>
      </c>
      <c r="G197" s="18" t="s">
        <v>31</v>
      </c>
      <c r="H197" s="18"/>
      <c r="I197" s="18"/>
      <c r="J197" s="18"/>
      <c r="K197" s="18"/>
      <c r="L197" s="18"/>
      <c r="M197" s="18"/>
      <c r="N197" s="18"/>
      <c r="O197" s="18">
        <f>SUM(TABELA2567[[#This Row],[T1]:[T7]])</f>
        <v>0</v>
      </c>
      <c r="P197" s="20">
        <f>TABELA2567[[#This Row],[QTDE]]*TABELA2567[[#This Row],[PREÇO]]</f>
        <v>0</v>
      </c>
      <c r="Q197" s="38">
        <f>VLOOKUP($A:$A,[1]Planilha1!$B:$L,7,0)</f>
        <v>598</v>
      </c>
      <c r="R197" s="38">
        <f>VLOOKUP($A:$A,[1]Planilha1!$B:$L,8,0)</f>
        <v>271.82</v>
      </c>
      <c r="S197" s="37">
        <f>TABELA2567[[#This Row],[PREÇO]]/TABELA2567[[#This Row],[Coluna1]]-1</f>
        <v>-0.62963210702341144</v>
      </c>
      <c r="T197" s="37">
        <f>TABELA2567[[#This Row],[PREÇO]]/TABELA2567[[#This Row],[Coluna2]]-1</f>
        <v>-0.18519608564491208</v>
      </c>
    </row>
    <row r="198" spans="1:20" x14ac:dyDescent="0.2">
      <c r="A198" s="1" t="str">
        <f>TRIM(TABELA2567[[#This Row],[PRODUTO]])&amp;TRIM(TABELA2567[[#This Row],[COR]])</f>
        <v>25.01.28691530</v>
      </c>
      <c r="B198" s="17" t="s">
        <v>495</v>
      </c>
      <c r="C198" s="18" t="s">
        <v>496</v>
      </c>
      <c r="D198" s="18" t="s">
        <v>497</v>
      </c>
      <c r="E198" s="18" t="s">
        <v>51</v>
      </c>
      <c r="F198" s="19">
        <v>184.44</v>
      </c>
      <c r="G198" s="18" t="s">
        <v>31</v>
      </c>
      <c r="H198" s="18"/>
      <c r="I198" s="18"/>
      <c r="J198" s="18"/>
      <c r="K198" s="18"/>
      <c r="L198" s="18"/>
      <c r="M198" s="18"/>
      <c r="N198" s="18"/>
      <c r="O198" s="18">
        <f>SUM(TABELA2567[[#This Row],[T1]:[T7]])</f>
        <v>0</v>
      </c>
      <c r="P198" s="20">
        <f>TABELA2567[[#This Row],[QTDE]]*TABELA2567[[#This Row],[PREÇO]]</f>
        <v>0</v>
      </c>
      <c r="Q198" s="38">
        <f>VLOOKUP($A:$A,[1]Planilha1!$B:$L,7,0)</f>
        <v>498</v>
      </c>
      <c r="R198" s="38">
        <f>VLOOKUP($A:$A,[1]Planilha1!$B:$L,8,0)</f>
        <v>226.36</v>
      </c>
      <c r="S198" s="37">
        <f>TABELA2567[[#This Row],[PREÇO]]/TABELA2567[[#This Row],[Coluna1]]-1</f>
        <v>-0.62963855421686743</v>
      </c>
      <c r="T198" s="37">
        <f>TABELA2567[[#This Row],[PREÇO]]/TABELA2567[[#This Row],[Coluna2]]-1</f>
        <v>-0.18519172998763034</v>
      </c>
    </row>
    <row r="199" spans="1:20" x14ac:dyDescent="0.2">
      <c r="A199" s="1" t="str">
        <f>TRIM(TABELA2567[[#This Row],[PRODUTO]])&amp;TRIM(TABELA2567[[#This Row],[COR]])</f>
        <v>25.01.28771407</v>
      </c>
      <c r="B199" s="17" t="s">
        <v>498</v>
      </c>
      <c r="C199" s="18" t="s">
        <v>499</v>
      </c>
      <c r="D199" s="18" t="s">
        <v>72</v>
      </c>
      <c r="E199" s="18" t="s">
        <v>73</v>
      </c>
      <c r="F199" s="19">
        <v>184.44</v>
      </c>
      <c r="G199" s="18" t="s">
        <v>56</v>
      </c>
      <c r="H199" s="18"/>
      <c r="I199" s="18"/>
      <c r="J199" s="18"/>
      <c r="K199" s="18"/>
      <c r="L199" s="18"/>
      <c r="M199" s="18"/>
      <c r="N199" s="18"/>
      <c r="O199" s="18">
        <f>SUM(TABELA2567[[#This Row],[T1]:[T7]])</f>
        <v>0</v>
      </c>
      <c r="P199" s="20">
        <f>TABELA2567[[#This Row],[QTDE]]*TABELA2567[[#This Row],[PREÇO]]</f>
        <v>0</v>
      </c>
      <c r="Q199" s="38">
        <f>VLOOKUP($A:$A,[1]Planilha1!$B:$L,7,0)</f>
        <v>498</v>
      </c>
      <c r="R199" s="38">
        <f>VLOOKUP($A:$A,[1]Planilha1!$B:$L,8,0)</f>
        <v>226.36</v>
      </c>
      <c r="S199" s="37">
        <f>TABELA2567[[#This Row],[PREÇO]]/TABELA2567[[#This Row],[Coluna1]]-1</f>
        <v>-0.62963855421686743</v>
      </c>
      <c r="T199" s="37">
        <f>TABELA2567[[#This Row],[PREÇO]]/TABELA2567[[#This Row],[Coluna2]]-1</f>
        <v>-0.18519172998763034</v>
      </c>
    </row>
    <row r="200" spans="1:20" x14ac:dyDescent="0.2">
      <c r="A200" s="1" t="str">
        <f>TRIM(TABELA2567[[#This Row],[PRODUTO]])&amp;TRIM(TABELA2567[[#This Row],[COR]])</f>
        <v>25.01.287901016</v>
      </c>
      <c r="B200" s="17" t="s">
        <v>500</v>
      </c>
      <c r="C200" s="18" t="s">
        <v>501</v>
      </c>
      <c r="D200" s="18" t="s">
        <v>107</v>
      </c>
      <c r="E200" s="18" t="s">
        <v>108</v>
      </c>
      <c r="F200" s="19">
        <v>221.48</v>
      </c>
      <c r="G200" s="18" t="s">
        <v>31</v>
      </c>
      <c r="H200" s="18"/>
      <c r="I200" s="18"/>
      <c r="J200" s="18"/>
      <c r="K200" s="18"/>
      <c r="L200" s="18"/>
      <c r="M200" s="18"/>
      <c r="N200" s="18"/>
      <c r="O200" s="18">
        <f>SUM(TABELA2567[[#This Row],[T1]:[T7]])</f>
        <v>0</v>
      </c>
      <c r="P200" s="20">
        <f>TABELA2567[[#This Row],[QTDE]]*TABELA2567[[#This Row],[PREÇO]]</f>
        <v>0</v>
      </c>
      <c r="Q200" s="38">
        <f>VLOOKUP($A:$A,[1]Planilha1!$B:$L,7,0)</f>
        <v>598</v>
      </c>
      <c r="R200" s="38">
        <f>VLOOKUP($A:$A,[1]Planilha1!$B:$L,8,0)</f>
        <v>271.82</v>
      </c>
      <c r="S200" s="37">
        <f>TABELA2567[[#This Row],[PREÇO]]/TABELA2567[[#This Row],[Coluna1]]-1</f>
        <v>-0.62963210702341144</v>
      </c>
      <c r="T200" s="37">
        <f>TABELA2567[[#This Row],[PREÇO]]/TABELA2567[[#This Row],[Coluna2]]-1</f>
        <v>-0.18519608564491208</v>
      </c>
    </row>
    <row r="201" spans="1:20" x14ac:dyDescent="0.2">
      <c r="A201" s="1" t="str">
        <f>TRIM(TABELA2567[[#This Row],[PRODUTO]])&amp;TRIM(TABELA2567[[#This Row],[COR]])</f>
        <v>25.01.28820005</v>
      </c>
      <c r="B201" s="17" t="s">
        <v>502</v>
      </c>
      <c r="C201" s="18" t="s">
        <v>503</v>
      </c>
      <c r="D201" s="18" t="s">
        <v>32</v>
      </c>
      <c r="E201" s="18" t="s">
        <v>33</v>
      </c>
      <c r="F201" s="19">
        <v>221.48</v>
      </c>
      <c r="G201" s="18" t="s">
        <v>69</v>
      </c>
      <c r="H201" s="18"/>
      <c r="I201" s="18"/>
      <c r="J201" s="18"/>
      <c r="K201" s="18"/>
      <c r="L201" s="18"/>
      <c r="M201" s="18"/>
      <c r="N201" s="18"/>
      <c r="O201" s="18">
        <f>SUM(TABELA2567[[#This Row],[T1]:[T7]])</f>
        <v>0</v>
      </c>
      <c r="P201" s="20">
        <f>TABELA2567[[#This Row],[QTDE]]*TABELA2567[[#This Row],[PREÇO]]</f>
        <v>0</v>
      </c>
      <c r="Q201" s="38">
        <f>VLOOKUP($A:$A,[1]Planilha1!$B:$L,7,0)</f>
        <v>598</v>
      </c>
      <c r="R201" s="38">
        <f>VLOOKUP($A:$A,[1]Planilha1!$B:$L,8,0)</f>
        <v>271.82</v>
      </c>
      <c r="S201" s="37">
        <f>TABELA2567[[#This Row],[PREÇO]]/TABELA2567[[#This Row],[Coluna1]]-1</f>
        <v>-0.62963210702341144</v>
      </c>
      <c r="T201" s="37">
        <f>TABELA2567[[#This Row],[PREÇO]]/TABELA2567[[#This Row],[Coluna2]]-1</f>
        <v>-0.18519608564491208</v>
      </c>
    </row>
    <row r="202" spans="1:20" x14ac:dyDescent="0.2">
      <c r="A202" s="1" t="str">
        <f>TRIM(TABELA2567[[#This Row],[PRODUTO]])&amp;TRIM(TABELA2567[[#This Row],[COR]])</f>
        <v>25.01.28870005</v>
      </c>
      <c r="B202" s="17" t="s">
        <v>504</v>
      </c>
      <c r="C202" s="18" t="s">
        <v>505</v>
      </c>
      <c r="D202" s="18" t="s">
        <v>32</v>
      </c>
      <c r="E202" s="18" t="s">
        <v>33</v>
      </c>
      <c r="F202" s="19">
        <v>202.96</v>
      </c>
      <c r="G202" s="18" t="s">
        <v>56</v>
      </c>
      <c r="H202" s="18"/>
      <c r="I202" s="18"/>
      <c r="J202" s="18"/>
      <c r="K202" s="18"/>
      <c r="L202" s="18"/>
      <c r="M202" s="18"/>
      <c r="N202" s="18"/>
      <c r="O202" s="18">
        <f>SUM(TABELA2567[[#This Row],[T1]:[T7]])</f>
        <v>0</v>
      </c>
      <c r="P202" s="20">
        <f>TABELA2567[[#This Row],[QTDE]]*TABELA2567[[#This Row],[PREÇO]]</f>
        <v>0</v>
      </c>
      <c r="Q202" s="38">
        <f>VLOOKUP($A:$A,[1]Planilha1!$B:$L,7,0)</f>
        <v>548</v>
      </c>
      <c r="R202" s="38">
        <f>VLOOKUP($A:$A,[1]Planilha1!$B:$L,8,0)</f>
        <v>249.09</v>
      </c>
      <c r="S202" s="37">
        <f>TABELA2567[[#This Row],[PREÇO]]/TABELA2567[[#This Row],[Coluna1]]-1</f>
        <v>-0.62963503649635033</v>
      </c>
      <c r="T202" s="37">
        <f>TABELA2567[[#This Row],[PREÇO]]/TABELA2567[[#This Row],[Coluna2]]-1</f>
        <v>-0.18519410654783408</v>
      </c>
    </row>
    <row r="203" spans="1:20" x14ac:dyDescent="0.2">
      <c r="A203" s="1" t="str">
        <f>TRIM(TABELA2567[[#This Row],[PRODUTO]])&amp;TRIM(TABELA2567[[#This Row],[COR]])</f>
        <v>25.01.289001035</v>
      </c>
      <c r="B203" s="17" t="s">
        <v>506</v>
      </c>
      <c r="C203" s="18" t="s">
        <v>507</v>
      </c>
      <c r="D203" s="18" t="s">
        <v>89</v>
      </c>
      <c r="E203" s="18" t="s">
        <v>90</v>
      </c>
      <c r="F203" s="19">
        <v>277.04000000000002</v>
      </c>
      <c r="G203" s="18" t="s">
        <v>56</v>
      </c>
      <c r="H203" s="18"/>
      <c r="I203" s="18"/>
      <c r="J203" s="18"/>
      <c r="K203" s="18"/>
      <c r="L203" s="18"/>
      <c r="M203" s="18"/>
      <c r="N203" s="18"/>
      <c r="O203" s="18">
        <f>SUM(TABELA2567[[#This Row],[T1]:[T7]])</f>
        <v>0</v>
      </c>
      <c r="P203" s="20">
        <f>TABELA2567[[#This Row],[QTDE]]*TABELA2567[[#This Row],[PREÇO]]</f>
        <v>0</v>
      </c>
      <c r="Q203" s="38">
        <f>VLOOKUP($A:$A,[1]Planilha1!$B:$L,7,0)</f>
        <v>748</v>
      </c>
      <c r="R203" s="38">
        <f>VLOOKUP($A:$A,[1]Planilha1!$B:$L,8,0)</f>
        <v>340</v>
      </c>
      <c r="S203" s="37">
        <f>TABELA2567[[#This Row],[PREÇO]]/TABELA2567[[#This Row],[Coluna1]]-1</f>
        <v>-0.62962566844919787</v>
      </c>
      <c r="T203" s="37">
        <f>TABELA2567[[#This Row],[PREÇO]]/TABELA2567[[#This Row],[Coluna2]]-1</f>
        <v>-0.18517647058823528</v>
      </c>
    </row>
    <row r="204" spans="1:20" x14ac:dyDescent="0.2">
      <c r="A204" s="1" t="str">
        <f>TRIM(TABELA2567[[#This Row],[PRODUTO]])&amp;TRIM(TABELA2567[[#This Row],[COR]])</f>
        <v>25.01.289101036</v>
      </c>
      <c r="B204" s="17" t="s">
        <v>508</v>
      </c>
      <c r="C204" s="18" t="s">
        <v>509</v>
      </c>
      <c r="D204" s="18" t="s">
        <v>113</v>
      </c>
      <c r="E204" s="18" t="s">
        <v>114</v>
      </c>
      <c r="F204" s="19">
        <v>258.52</v>
      </c>
      <c r="G204" s="18" t="s">
        <v>56</v>
      </c>
      <c r="H204" s="18"/>
      <c r="I204" s="18"/>
      <c r="J204" s="18"/>
      <c r="K204" s="18"/>
      <c r="L204" s="18"/>
      <c r="M204" s="18"/>
      <c r="N204" s="18"/>
      <c r="O204" s="18">
        <f>SUM(TABELA2567[[#This Row],[T1]:[T7]])</f>
        <v>0</v>
      </c>
      <c r="P204" s="20">
        <f>TABELA2567[[#This Row],[QTDE]]*TABELA2567[[#This Row],[PREÇO]]</f>
        <v>0</v>
      </c>
      <c r="Q204" s="38">
        <f>VLOOKUP($A:$A,[1]Planilha1!$B:$L,7,0)</f>
        <v>698</v>
      </c>
      <c r="R204" s="38">
        <f>VLOOKUP($A:$A,[1]Planilha1!$B:$L,8,0)</f>
        <v>317.27</v>
      </c>
      <c r="S204" s="37">
        <f>TABELA2567[[#This Row],[PREÇO]]/TABELA2567[[#This Row],[Coluna1]]-1</f>
        <v>-0.62962750716332383</v>
      </c>
      <c r="T204" s="37">
        <f>TABELA2567[[#This Row],[PREÇO]]/TABELA2567[[#This Row],[Coluna2]]-1</f>
        <v>-0.18517351152015638</v>
      </c>
    </row>
    <row r="205" spans="1:20" x14ac:dyDescent="0.2">
      <c r="A205" s="1" t="str">
        <f>TRIM(TABELA2567[[#This Row],[PRODUTO]])&amp;TRIM(TABELA2567[[#This Row],[COR]])</f>
        <v>25.01.289301035</v>
      </c>
      <c r="B205" s="17" t="s">
        <v>510</v>
      </c>
      <c r="C205" s="18" t="s">
        <v>511</v>
      </c>
      <c r="D205" s="18" t="s">
        <v>89</v>
      </c>
      <c r="E205" s="18" t="s">
        <v>512</v>
      </c>
      <c r="F205" s="19">
        <v>277.04000000000002</v>
      </c>
      <c r="G205" s="18" t="s">
        <v>56</v>
      </c>
      <c r="H205" s="18"/>
      <c r="I205" s="18"/>
      <c r="J205" s="18"/>
      <c r="K205" s="18"/>
      <c r="L205" s="18"/>
      <c r="M205" s="18"/>
      <c r="N205" s="18"/>
      <c r="O205" s="18">
        <f>SUM(TABELA2567[[#This Row],[T1]:[T7]])</f>
        <v>0</v>
      </c>
      <c r="P205" s="20">
        <f>TABELA2567[[#This Row],[QTDE]]*TABELA2567[[#This Row],[PREÇO]]</f>
        <v>0</v>
      </c>
      <c r="Q205" s="38">
        <f>VLOOKUP($A:$A,[1]Planilha1!$B:$L,7,0)</f>
        <v>748</v>
      </c>
      <c r="R205" s="38">
        <f>VLOOKUP($A:$A,[1]Planilha1!$B:$L,8,0)</f>
        <v>340</v>
      </c>
      <c r="S205" s="37">
        <f>TABELA2567[[#This Row],[PREÇO]]/TABELA2567[[#This Row],[Coluna1]]-1</f>
        <v>-0.62962566844919787</v>
      </c>
      <c r="T205" s="37">
        <f>TABELA2567[[#This Row],[PREÇO]]/TABELA2567[[#This Row],[Coluna2]]-1</f>
        <v>-0.18517647058823528</v>
      </c>
    </row>
    <row r="206" spans="1:20" x14ac:dyDescent="0.2">
      <c r="A206" s="1" t="str">
        <f>TRIM(TABELA2567[[#This Row],[PRODUTO]])&amp;TRIM(TABELA2567[[#This Row],[COR]])</f>
        <v>25.01.29100088</v>
      </c>
      <c r="B206" s="17" t="s">
        <v>513</v>
      </c>
      <c r="C206" s="18" t="s">
        <v>514</v>
      </c>
      <c r="D206" s="18" t="s">
        <v>81</v>
      </c>
      <c r="E206" s="18" t="s">
        <v>49</v>
      </c>
      <c r="F206" s="19">
        <v>184.44</v>
      </c>
      <c r="G206" s="18" t="s">
        <v>31</v>
      </c>
      <c r="H206" s="18"/>
      <c r="I206" s="18"/>
      <c r="J206" s="18"/>
      <c r="K206" s="18"/>
      <c r="L206" s="18"/>
      <c r="M206" s="18"/>
      <c r="N206" s="18"/>
      <c r="O206" s="18">
        <f>SUM(TABELA2567[[#This Row],[T1]:[T7]])</f>
        <v>0</v>
      </c>
      <c r="P206" s="20">
        <f>TABELA2567[[#This Row],[QTDE]]*TABELA2567[[#This Row],[PREÇO]]</f>
        <v>0</v>
      </c>
      <c r="Q206" s="38">
        <f>VLOOKUP($A:$A,[1]Planilha1!$B:$L,7,0)</f>
        <v>498</v>
      </c>
      <c r="R206" s="38">
        <f>VLOOKUP($A:$A,[1]Planilha1!$B:$L,8,0)</f>
        <v>226.36</v>
      </c>
      <c r="S206" s="37">
        <f>TABELA2567[[#This Row],[PREÇO]]/TABELA2567[[#This Row],[Coluna1]]-1</f>
        <v>-0.62963855421686743</v>
      </c>
      <c r="T206" s="37">
        <f>TABELA2567[[#This Row],[PREÇO]]/TABELA2567[[#This Row],[Coluna2]]-1</f>
        <v>-0.18519172998763034</v>
      </c>
    </row>
    <row r="207" spans="1:20" x14ac:dyDescent="0.2">
      <c r="A207" s="1" t="str">
        <f>TRIM(TABELA2567[[#This Row],[PRODUTO]])&amp;TRIM(TABELA2567[[#This Row],[COR]])</f>
        <v>25.01.291521103</v>
      </c>
      <c r="B207" s="17" t="s">
        <v>515</v>
      </c>
      <c r="C207" s="18" t="s">
        <v>516</v>
      </c>
      <c r="D207" s="18" t="s">
        <v>295</v>
      </c>
      <c r="E207" s="18" t="s">
        <v>296</v>
      </c>
      <c r="F207" s="19">
        <v>147.41</v>
      </c>
      <c r="G207" s="18" t="s">
        <v>56</v>
      </c>
      <c r="H207" s="18"/>
      <c r="I207" s="18"/>
      <c r="J207" s="18"/>
      <c r="K207" s="18"/>
      <c r="L207" s="18"/>
      <c r="M207" s="18"/>
      <c r="N207" s="18"/>
      <c r="O207" s="18">
        <f>SUM(TABELA2567[[#This Row],[T1]:[T7]])</f>
        <v>0</v>
      </c>
      <c r="P207" s="20">
        <f>TABELA2567[[#This Row],[QTDE]]*TABELA2567[[#This Row],[PREÇO]]</f>
        <v>0</v>
      </c>
      <c r="Q207" s="38">
        <f>VLOOKUP($A:$A,[1]Planilha1!$B:$L,7,0)</f>
        <v>398</v>
      </c>
      <c r="R207" s="38">
        <f>VLOOKUP($A:$A,[1]Planilha1!$B:$L,8,0)</f>
        <v>180.91</v>
      </c>
      <c r="S207" s="37">
        <f>TABELA2567[[#This Row],[PREÇO]]/TABELA2567[[#This Row],[Coluna1]]-1</f>
        <v>-0.62962311557788952</v>
      </c>
      <c r="T207" s="37">
        <f>TABELA2567[[#This Row],[PREÇO]]/TABELA2567[[#This Row],[Coluna2]]-1</f>
        <v>-0.18517494886960373</v>
      </c>
    </row>
    <row r="208" spans="1:20" x14ac:dyDescent="0.2">
      <c r="A208" s="1" t="str">
        <f>TRIM(TABELA2567[[#This Row],[PRODUTO]])&amp;TRIM(TABELA2567[[#This Row],[COR]])</f>
        <v>25.02.26970005</v>
      </c>
      <c r="B208" s="17" t="s">
        <v>517</v>
      </c>
      <c r="C208" s="18" t="s">
        <v>518</v>
      </c>
      <c r="D208" s="18" t="s">
        <v>32</v>
      </c>
      <c r="E208" s="18" t="s">
        <v>33</v>
      </c>
      <c r="F208" s="19">
        <v>295.56</v>
      </c>
      <c r="G208" s="18" t="s">
        <v>31</v>
      </c>
      <c r="H208" s="18"/>
      <c r="I208" s="18"/>
      <c r="J208" s="18"/>
      <c r="K208" s="18"/>
      <c r="L208" s="18"/>
      <c r="M208" s="18"/>
      <c r="N208" s="18"/>
      <c r="O208" s="18">
        <f>SUM(TABELA2567[[#This Row],[T1]:[T7]])</f>
        <v>0</v>
      </c>
      <c r="P208" s="20">
        <f>TABELA2567[[#This Row],[QTDE]]*TABELA2567[[#This Row],[PREÇO]]</f>
        <v>0</v>
      </c>
      <c r="Q208" s="38">
        <f>VLOOKUP($A:$A,[1]Planilha1!$B:$L,7,0)</f>
        <v>798</v>
      </c>
      <c r="R208" s="38">
        <f>VLOOKUP($A:$A,[1]Planilha1!$B:$L,8,0)</f>
        <v>362.73</v>
      </c>
      <c r="S208" s="37">
        <f>TABELA2567[[#This Row],[PREÇO]]/TABELA2567[[#This Row],[Coluna1]]-1</f>
        <v>-0.62962406015037597</v>
      </c>
      <c r="T208" s="37">
        <f>TABELA2567[[#This Row],[PREÇO]]/TABELA2567[[#This Row],[Coluna2]]-1</f>
        <v>-0.18517905880406915</v>
      </c>
    </row>
    <row r="209" spans="1:20" x14ac:dyDescent="0.2">
      <c r="A209" s="1" t="str">
        <f>TRIM(TABELA2567[[#This Row],[PRODUTO]])&amp;TRIM(TABELA2567[[#This Row],[COR]])</f>
        <v>25.02.26970012</v>
      </c>
      <c r="B209" s="17" t="s">
        <v>517</v>
      </c>
      <c r="C209" s="18" t="s">
        <v>518</v>
      </c>
      <c r="D209" s="18" t="s">
        <v>519</v>
      </c>
      <c r="E209" s="18" t="s">
        <v>520</v>
      </c>
      <c r="F209" s="19">
        <v>295.56</v>
      </c>
      <c r="G209" s="18" t="s">
        <v>31</v>
      </c>
      <c r="H209" s="18"/>
      <c r="I209" s="18"/>
      <c r="J209" s="18"/>
      <c r="K209" s="18"/>
      <c r="L209" s="18"/>
      <c r="M209" s="18"/>
      <c r="N209" s="18"/>
      <c r="O209" s="18">
        <f>SUM(TABELA2567[[#This Row],[T1]:[T7]])</f>
        <v>0</v>
      </c>
      <c r="P209" s="20">
        <f>TABELA2567[[#This Row],[QTDE]]*TABELA2567[[#This Row],[PREÇO]]</f>
        <v>0</v>
      </c>
      <c r="Q209" s="38">
        <f>VLOOKUP($A:$A,[1]Planilha1!$B:$L,7,0)</f>
        <v>798</v>
      </c>
      <c r="R209" s="38">
        <f>VLOOKUP($A:$A,[1]Planilha1!$B:$L,8,0)</f>
        <v>362.73</v>
      </c>
      <c r="S209" s="37">
        <f>TABELA2567[[#This Row],[PREÇO]]/TABELA2567[[#This Row],[Coluna1]]-1</f>
        <v>-0.62962406015037597</v>
      </c>
      <c r="T209" s="37">
        <f>TABELA2567[[#This Row],[PREÇO]]/TABELA2567[[#This Row],[Coluna2]]-1</f>
        <v>-0.18517905880406915</v>
      </c>
    </row>
    <row r="210" spans="1:20" x14ac:dyDescent="0.2">
      <c r="A210" s="1" t="str">
        <f>TRIM(TABELA2567[[#This Row],[PRODUTO]])&amp;TRIM(TABELA2567[[#This Row],[COR]])</f>
        <v>25.02.287201024</v>
      </c>
      <c r="B210" s="17" t="s">
        <v>521</v>
      </c>
      <c r="C210" s="18" t="s">
        <v>522</v>
      </c>
      <c r="D210" s="18" t="s">
        <v>93</v>
      </c>
      <c r="E210" s="18" t="s">
        <v>94</v>
      </c>
      <c r="F210" s="19">
        <v>1036.3</v>
      </c>
      <c r="G210" s="18" t="s">
        <v>34</v>
      </c>
      <c r="H210" s="18"/>
      <c r="I210" s="18"/>
      <c r="J210" s="18"/>
      <c r="K210" s="18"/>
      <c r="L210" s="18"/>
      <c r="M210" s="18"/>
      <c r="N210" s="18"/>
      <c r="O210" s="18">
        <f>SUM(TABELA2567[[#This Row],[T1]:[T7]])</f>
        <v>0</v>
      </c>
      <c r="P210" s="20">
        <f>TABELA2567[[#This Row],[QTDE]]*TABELA2567[[#This Row],[PREÇO]]</f>
        <v>0</v>
      </c>
      <c r="Q210" s="38">
        <f>VLOOKUP($A:$A,[1]Planilha1!$B:$L,7,0)</f>
        <v>2798</v>
      </c>
      <c r="R210" s="38">
        <f>VLOOKUP($A:$A,[1]Planilha1!$B:$L,8,0)</f>
        <v>1271.82</v>
      </c>
      <c r="S210" s="37">
        <f>TABELA2567[[#This Row],[PREÇO]]/TABELA2567[[#This Row],[Coluna1]]-1</f>
        <v>-0.62962830593280916</v>
      </c>
      <c r="T210" s="37">
        <f>TABELA2567[[#This Row],[PREÇO]]/TABELA2567[[#This Row],[Coluna2]]-1</f>
        <v>-0.18518343790788006</v>
      </c>
    </row>
    <row r="211" spans="1:20" x14ac:dyDescent="0.2">
      <c r="A211" s="1" t="str">
        <f>TRIM(TABELA2567[[#This Row],[PRODUTO]])&amp;TRIM(TABELA2567[[#This Row],[COR]])</f>
        <v>25.02.28790005</v>
      </c>
      <c r="B211" s="17" t="s">
        <v>523</v>
      </c>
      <c r="C211" s="18" t="s">
        <v>524</v>
      </c>
      <c r="D211" s="18" t="s">
        <v>32</v>
      </c>
      <c r="E211" s="18" t="s">
        <v>33</v>
      </c>
      <c r="F211" s="19">
        <v>295.56</v>
      </c>
      <c r="G211" s="18" t="s">
        <v>69</v>
      </c>
      <c r="H211" s="18"/>
      <c r="I211" s="18"/>
      <c r="J211" s="18"/>
      <c r="K211" s="18"/>
      <c r="L211" s="18"/>
      <c r="M211" s="18"/>
      <c r="N211" s="18"/>
      <c r="O211" s="18">
        <f>SUM(TABELA2567[[#This Row],[T1]:[T7]])</f>
        <v>0</v>
      </c>
      <c r="P211" s="20">
        <f>TABELA2567[[#This Row],[QTDE]]*TABELA2567[[#This Row],[PREÇO]]</f>
        <v>0</v>
      </c>
      <c r="Q211" s="38">
        <f>VLOOKUP($A:$A,[1]Planilha1!$B:$L,7,0)</f>
        <v>798</v>
      </c>
      <c r="R211" s="38">
        <f>VLOOKUP($A:$A,[1]Planilha1!$B:$L,8,0)</f>
        <v>362.73</v>
      </c>
      <c r="S211" s="37">
        <f>TABELA2567[[#This Row],[PREÇO]]/TABELA2567[[#This Row],[Coluna1]]-1</f>
        <v>-0.62962406015037597</v>
      </c>
      <c r="T211" s="37">
        <f>TABELA2567[[#This Row],[PREÇO]]/TABELA2567[[#This Row],[Coluna2]]-1</f>
        <v>-0.18517905880406915</v>
      </c>
    </row>
    <row r="212" spans="1:20" x14ac:dyDescent="0.2">
      <c r="A212" s="1" t="str">
        <f>TRIM(TABELA2567[[#This Row],[PRODUTO]])&amp;TRIM(TABELA2567[[#This Row],[COR]])</f>
        <v>25.02.28796222</v>
      </c>
      <c r="B212" s="17" t="s">
        <v>523</v>
      </c>
      <c r="C212" s="18" t="s">
        <v>524</v>
      </c>
      <c r="D212" s="18" t="s">
        <v>57</v>
      </c>
      <c r="E212" s="18" t="s">
        <v>58</v>
      </c>
      <c r="F212" s="19">
        <v>295.56</v>
      </c>
      <c r="G212" s="18" t="s">
        <v>69</v>
      </c>
      <c r="H212" s="18"/>
      <c r="I212" s="18"/>
      <c r="J212" s="18"/>
      <c r="K212" s="18"/>
      <c r="L212" s="18"/>
      <c r="M212" s="18"/>
      <c r="N212" s="18"/>
      <c r="O212" s="18">
        <f>SUM(TABELA2567[[#This Row],[T1]:[T7]])</f>
        <v>0</v>
      </c>
      <c r="P212" s="20">
        <f>TABELA2567[[#This Row],[QTDE]]*TABELA2567[[#This Row],[PREÇO]]</f>
        <v>0</v>
      </c>
      <c r="Q212" s="38">
        <f>VLOOKUP($A:$A,[1]Planilha1!$B:$L,7,0)</f>
        <v>798</v>
      </c>
      <c r="R212" s="38">
        <f>VLOOKUP($A:$A,[1]Planilha1!$B:$L,8,0)</f>
        <v>362.73</v>
      </c>
      <c r="S212" s="37">
        <f>TABELA2567[[#This Row],[PREÇO]]/TABELA2567[[#This Row],[Coluna1]]-1</f>
        <v>-0.62962406015037597</v>
      </c>
      <c r="T212" s="37">
        <f>TABELA2567[[#This Row],[PREÇO]]/TABELA2567[[#This Row],[Coluna2]]-1</f>
        <v>-0.18517905880406915</v>
      </c>
    </row>
    <row r="213" spans="1:20" x14ac:dyDescent="0.2">
      <c r="A213" s="1" t="str">
        <f>TRIM(TABELA2567[[#This Row],[PRODUTO]])&amp;TRIM(TABELA2567[[#This Row],[COR]])</f>
        <v>25.02.30100005</v>
      </c>
      <c r="B213" s="17" t="s">
        <v>525</v>
      </c>
      <c r="C213" s="18" t="s">
        <v>526</v>
      </c>
      <c r="D213" s="18" t="s">
        <v>32</v>
      </c>
      <c r="E213" s="18" t="s">
        <v>33</v>
      </c>
      <c r="F213" s="19">
        <v>1110.3699999999999</v>
      </c>
      <c r="G213" s="18" t="s">
        <v>31</v>
      </c>
      <c r="H213" s="18"/>
      <c r="I213" s="18"/>
      <c r="J213" s="18"/>
      <c r="K213" s="18"/>
      <c r="L213" s="18"/>
      <c r="M213" s="18"/>
      <c r="N213" s="18"/>
      <c r="O213" s="18">
        <f>SUM(TABELA2567[[#This Row],[T1]:[T7]])</f>
        <v>0</v>
      </c>
      <c r="P213" s="20">
        <f>TABELA2567[[#This Row],[QTDE]]*TABELA2567[[#This Row],[PREÇO]]</f>
        <v>0</v>
      </c>
      <c r="Q213" s="38">
        <f>VLOOKUP($A:$A,[1]Planilha1!$B:$L,7,0)</f>
        <v>2998</v>
      </c>
      <c r="R213" s="38">
        <f>VLOOKUP($A:$A,[1]Planilha1!$B:$L,8,0)</f>
        <v>1362.73</v>
      </c>
      <c r="S213" s="37">
        <f>TABELA2567[[#This Row],[PREÇO]]/TABELA2567[[#This Row],[Coluna1]]-1</f>
        <v>-0.62962975316877923</v>
      </c>
      <c r="T213" s="37">
        <f>TABELA2567[[#This Row],[PREÇO]]/TABELA2567[[#This Row],[Coluna2]]-1</f>
        <v>-0.18518708768428094</v>
      </c>
    </row>
    <row r="214" spans="1:20" x14ac:dyDescent="0.2">
      <c r="A214" s="1" t="str">
        <f>TRIM(TABELA2567[[#This Row],[PRODUTO]])&amp;TRIM(TABELA2567[[#This Row],[COR]])</f>
        <v>25.02.301701026</v>
      </c>
      <c r="B214" s="17" t="s">
        <v>527</v>
      </c>
      <c r="C214" s="18" t="s">
        <v>528</v>
      </c>
      <c r="D214" s="18" t="s">
        <v>151</v>
      </c>
      <c r="E214" s="18" t="s">
        <v>152</v>
      </c>
      <c r="F214" s="19">
        <v>258.52</v>
      </c>
      <c r="G214" s="18" t="s">
        <v>31</v>
      </c>
      <c r="H214" s="18"/>
      <c r="I214" s="18"/>
      <c r="J214" s="18"/>
      <c r="K214" s="18"/>
      <c r="L214" s="18"/>
      <c r="M214" s="18"/>
      <c r="N214" s="18"/>
      <c r="O214" s="18">
        <f>SUM(TABELA2567[[#This Row],[T1]:[T7]])</f>
        <v>0</v>
      </c>
      <c r="P214" s="20">
        <f>TABELA2567[[#This Row],[QTDE]]*TABELA2567[[#This Row],[PREÇO]]</f>
        <v>0</v>
      </c>
      <c r="Q214" s="38">
        <f>VLOOKUP($A:$A,[1]Planilha1!$B:$L,7,0)</f>
        <v>698</v>
      </c>
      <c r="R214" s="38">
        <f>VLOOKUP($A:$A,[1]Planilha1!$B:$L,8,0)</f>
        <v>317.27</v>
      </c>
      <c r="S214" s="37">
        <f>TABELA2567[[#This Row],[PREÇO]]/TABELA2567[[#This Row],[Coluna1]]-1</f>
        <v>-0.62962750716332383</v>
      </c>
      <c r="T214" s="37">
        <f>TABELA2567[[#This Row],[PREÇO]]/TABELA2567[[#This Row],[Coluna2]]-1</f>
        <v>-0.18517351152015638</v>
      </c>
    </row>
    <row r="215" spans="1:20" x14ac:dyDescent="0.2">
      <c r="A215" s="1" t="str">
        <f>TRIM(TABELA2567[[#This Row],[PRODUTO]])&amp;TRIM(TABELA2567[[#This Row],[COR]])</f>
        <v>25.02.302201040</v>
      </c>
      <c r="B215" s="17" t="s">
        <v>529</v>
      </c>
      <c r="C215" s="18" t="s">
        <v>530</v>
      </c>
      <c r="D215" s="18" t="s">
        <v>95</v>
      </c>
      <c r="E215" s="18" t="s">
        <v>96</v>
      </c>
      <c r="F215" s="19">
        <v>1110.3699999999999</v>
      </c>
      <c r="G215" s="18" t="s">
        <v>31</v>
      </c>
      <c r="H215" s="18"/>
      <c r="I215" s="18"/>
      <c r="J215" s="18"/>
      <c r="K215" s="18"/>
      <c r="L215" s="18"/>
      <c r="M215" s="18"/>
      <c r="N215" s="18"/>
      <c r="O215" s="18">
        <f>SUM(TABELA2567[[#This Row],[T1]:[T7]])</f>
        <v>0</v>
      </c>
      <c r="P215" s="20">
        <f>TABELA2567[[#This Row],[QTDE]]*TABELA2567[[#This Row],[PREÇO]]</f>
        <v>0</v>
      </c>
      <c r="Q215" s="38">
        <f>VLOOKUP($A:$A,[1]Planilha1!$B:$L,7,0)</f>
        <v>2998</v>
      </c>
      <c r="R215" s="38">
        <f>VLOOKUP($A:$A,[1]Planilha1!$B:$L,8,0)</f>
        <v>1362.73</v>
      </c>
      <c r="S215" s="37">
        <f>TABELA2567[[#This Row],[PREÇO]]/TABELA2567[[#This Row],[Coluna1]]-1</f>
        <v>-0.62962975316877923</v>
      </c>
      <c r="T215" s="37">
        <f>TABELA2567[[#This Row],[PREÇO]]/TABELA2567[[#This Row],[Coluna2]]-1</f>
        <v>-0.18518708768428094</v>
      </c>
    </row>
    <row r="216" spans="1:20" x14ac:dyDescent="0.2">
      <c r="A216" s="1" t="str">
        <f>TRIM(TABELA2567[[#This Row],[PRODUTO]])&amp;TRIM(TABELA2567[[#This Row],[COR]])</f>
        <v>25.02.30230005</v>
      </c>
      <c r="B216" s="17" t="s">
        <v>531</v>
      </c>
      <c r="C216" s="18" t="s">
        <v>532</v>
      </c>
      <c r="D216" s="18" t="s">
        <v>32</v>
      </c>
      <c r="E216" s="18" t="s">
        <v>33</v>
      </c>
      <c r="F216" s="19">
        <v>962.22</v>
      </c>
      <c r="G216" s="18" t="s">
        <v>56</v>
      </c>
      <c r="H216" s="18"/>
      <c r="I216" s="18"/>
      <c r="J216" s="18"/>
      <c r="K216" s="18"/>
      <c r="L216" s="18"/>
      <c r="M216" s="18"/>
      <c r="N216" s="18"/>
      <c r="O216" s="18">
        <f>SUM(TABELA2567[[#This Row],[T1]:[T7]])</f>
        <v>0</v>
      </c>
      <c r="P216" s="20">
        <f>TABELA2567[[#This Row],[QTDE]]*TABELA2567[[#This Row],[PREÇO]]</f>
        <v>0</v>
      </c>
      <c r="Q216" s="38">
        <f>VLOOKUP($A:$A,[1]Planilha1!$B:$L,7,0)</f>
        <v>2598</v>
      </c>
      <c r="R216" s="38">
        <f>VLOOKUP($A:$A,[1]Planilha1!$B:$L,8,0)</f>
        <v>1180.9100000000001</v>
      </c>
      <c r="S216" s="37">
        <f>TABELA2567[[#This Row],[PREÇO]]/TABELA2567[[#This Row],[Coluna1]]-1</f>
        <v>-0.62963048498845264</v>
      </c>
      <c r="T216" s="37">
        <f>TABELA2567[[#This Row],[PREÇO]]/TABELA2567[[#This Row],[Coluna2]]-1</f>
        <v>-0.18518769423580128</v>
      </c>
    </row>
    <row r="217" spans="1:20" x14ac:dyDescent="0.2">
      <c r="A217" s="1" t="str">
        <f>TRIM(TABELA2567[[#This Row],[PRODUTO]])&amp;TRIM(TABELA2567[[#This Row],[COR]])</f>
        <v>25.02.303421092</v>
      </c>
      <c r="B217" s="17" t="s">
        <v>533</v>
      </c>
      <c r="C217" s="18" t="s">
        <v>534</v>
      </c>
      <c r="D217" s="18" t="s">
        <v>119</v>
      </c>
      <c r="E217" s="18" t="s">
        <v>120</v>
      </c>
      <c r="F217" s="19">
        <v>121.48</v>
      </c>
      <c r="G217" s="18" t="s">
        <v>31</v>
      </c>
      <c r="H217" s="18"/>
      <c r="I217" s="18"/>
      <c r="J217" s="18"/>
      <c r="K217" s="18"/>
      <c r="L217" s="18"/>
      <c r="M217" s="18"/>
      <c r="N217" s="18"/>
      <c r="O217" s="18">
        <f>SUM(TABELA2567[[#This Row],[T1]:[T7]])</f>
        <v>0</v>
      </c>
      <c r="P217" s="20">
        <f>TABELA2567[[#This Row],[QTDE]]*TABELA2567[[#This Row],[PREÇO]]</f>
        <v>0</v>
      </c>
      <c r="Q217" s="38">
        <f>VLOOKUP($A:$A,[1]Planilha1!$B:$L,7,0)</f>
        <v>328</v>
      </c>
      <c r="R217" s="38">
        <f>VLOOKUP($A:$A,[1]Planilha1!$B:$L,8,0)</f>
        <v>149.09</v>
      </c>
      <c r="S217" s="37">
        <f>TABELA2567[[#This Row],[PREÇO]]/TABELA2567[[#This Row],[Coluna1]]-1</f>
        <v>-0.62963414634146342</v>
      </c>
      <c r="T217" s="37">
        <f>TABELA2567[[#This Row],[PREÇO]]/TABELA2567[[#This Row],[Coluna2]]-1</f>
        <v>-0.18519015359849755</v>
      </c>
    </row>
    <row r="218" spans="1:20" x14ac:dyDescent="0.2">
      <c r="A218" s="1" t="str">
        <f>TRIM(TABELA2567[[#This Row],[PRODUTO]])&amp;TRIM(TABELA2567[[#This Row],[COR]])</f>
        <v>25.02.303521060</v>
      </c>
      <c r="B218" s="17" t="s">
        <v>535</v>
      </c>
      <c r="C218" s="18" t="s">
        <v>536</v>
      </c>
      <c r="D218" s="18" t="s">
        <v>185</v>
      </c>
      <c r="E218" s="18" t="s">
        <v>186</v>
      </c>
      <c r="F218" s="19">
        <v>184.44</v>
      </c>
      <c r="G218" s="18" t="s">
        <v>31</v>
      </c>
      <c r="H218" s="18"/>
      <c r="I218" s="18"/>
      <c r="J218" s="18"/>
      <c r="K218" s="18"/>
      <c r="L218" s="18"/>
      <c r="M218" s="18"/>
      <c r="N218" s="18"/>
      <c r="O218" s="18">
        <f>SUM(TABELA2567[[#This Row],[T1]:[T7]])</f>
        <v>0</v>
      </c>
      <c r="P218" s="20">
        <f>TABELA2567[[#This Row],[QTDE]]*TABELA2567[[#This Row],[PREÇO]]</f>
        <v>0</v>
      </c>
      <c r="Q218" s="38">
        <f>VLOOKUP($A:$A,[1]Planilha1!$B:$L,7,0)</f>
        <v>498</v>
      </c>
      <c r="R218" s="38">
        <f>VLOOKUP($A:$A,[1]Planilha1!$B:$L,8,0)</f>
        <v>226.36</v>
      </c>
      <c r="S218" s="37">
        <f>TABELA2567[[#This Row],[PREÇO]]/TABELA2567[[#This Row],[Coluna1]]-1</f>
        <v>-0.62963855421686743</v>
      </c>
      <c r="T218" s="37">
        <f>TABELA2567[[#This Row],[PREÇO]]/TABELA2567[[#This Row],[Coluna2]]-1</f>
        <v>-0.18519172998763034</v>
      </c>
    </row>
    <row r="219" spans="1:20" x14ac:dyDescent="0.2">
      <c r="A219" s="1" t="str">
        <f>TRIM(TABELA2567[[#This Row],[PRODUTO]])&amp;TRIM(TABELA2567[[#This Row],[COR]])</f>
        <v>25.02.30400005</v>
      </c>
      <c r="B219" s="17" t="s">
        <v>537</v>
      </c>
      <c r="C219" s="18" t="s">
        <v>538</v>
      </c>
      <c r="D219" s="18" t="s">
        <v>32</v>
      </c>
      <c r="E219" s="18" t="s">
        <v>33</v>
      </c>
      <c r="F219" s="19">
        <v>1221.48</v>
      </c>
      <c r="G219" s="18" t="s">
        <v>31</v>
      </c>
      <c r="H219" s="18"/>
      <c r="I219" s="18"/>
      <c r="J219" s="18"/>
      <c r="K219" s="18"/>
      <c r="L219" s="18"/>
      <c r="M219" s="18"/>
      <c r="N219" s="18"/>
      <c r="O219" s="18">
        <f>SUM(TABELA2567[[#This Row],[T1]:[T7]])</f>
        <v>0</v>
      </c>
      <c r="P219" s="20">
        <f>TABELA2567[[#This Row],[QTDE]]*TABELA2567[[#This Row],[PREÇO]]</f>
        <v>0</v>
      </c>
      <c r="Q219" s="38">
        <f>VLOOKUP($A:$A,[1]Planilha1!$B:$L,7,0)</f>
        <v>3298</v>
      </c>
      <c r="R219" s="38">
        <f>VLOOKUP($A:$A,[1]Planilha1!$B:$L,8,0)</f>
        <v>1499.09</v>
      </c>
      <c r="S219" s="37">
        <f>TABELA2567[[#This Row],[PREÇO]]/TABELA2567[[#This Row],[Coluna1]]-1</f>
        <v>-0.62963007883565791</v>
      </c>
      <c r="T219" s="37">
        <f>TABELA2567[[#This Row],[PREÇO]]/TABELA2567[[#This Row],[Coluna2]]-1</f>
        <v>-0.18518567931211594</v>
      </c>
    </row>
    <row r="220" spans="1:20" x14ac:dyDescent="0.2">
      <c r="A220" s="1" t="str">
        <f>TRIM(TABELA2567[[#This Row],[PRODUTO]])&amp;TRIM(TABELA2567[[#This Row],[COR]])</f>
        <v>25.05.280301040</v>
      </c>
      <c r="B220" s="17" t="s">
        <v>539</v>
      </c>
      <c r="C220" s="18" t="s">
        <v>540</v>
      </c>
      <c r="D220" s="18" t="s">
        <v>95</v>
      </c>
      <c r="E220" s="18" t="s">
        <v>96</v>
      </c>
      <c r="F220" s="19">
        <v>128.88999999999999</v>
      </c>
      <c r="G220" s="18" t="s">
        <v>34</v>
      </c>
      <c r="H220" s="18"/>
      <c r="I220" s="18"/>
      <c r="J220" s="18"/>
      <c r="K220" s="18"/>
      <c r="L220" s="18"/>
      <c r="M220" s="18"/>
      <c r="N220" s="18"/>
      <c r="O220" s="18">
        <f>SUM(TABELA2567[[#This Row],[T1]:[T7]])</f>
        <v>0</v>
      </c>
      <c r="P220" s="20">
        <f>TABELA2567[[#This Row],[QTDE]]*TABELA2567[[#This Row],[PREÇO]]</f>
        <v>0</v>
      </c>
      <c r="Q220" s="38">
        <f>VLOOKUP($A:$A,[1]Planilha1!$B:$L,7,0)</f>
        <v>348</v>
      </c>
      <c r="R220" s="38">
        <f>VLOOKUP($A:$A,[1]Planilha1!$B:$L,8,0)</f>
        <v>158.18</v>
      </c>
      <c r="S220" s="37">
        <f>TABELA2567[[#This Row],[PREÇO]]/TABELA2567[[#This Row],[Coluna1]]-1</f>
        <v>-0.62962643678160923</v>
      </c>
      <c r="T220" s="37">
        <f>TABELA2567[[#This Row],[PREÇO]]/TABELA2567[[#This Row],[Coluna2]]-1</f>
        <v>-0.18516879504362127</v>
      </c>
    </row>
    <row r="221" spans="1:20" x14ac:dyDescent="0.2">
      <c r="A221" s="1" t="str">
        <f>TRIM(TABELA2567[[#This Row],[PRODUTO]])&amp;TRIM(TABELA2567[[#This Row],[COR]])</f>
        <v>25.30.003601026</v>
      </c>
      <c r="B221" s="17" t="s">
        <v>541</v>
      </c>
      <c r="C221" s="18" t="s">
        <v>542</v>
      </c>
      <c r="D221" s="18" t="s">
        <v>151</v>
      </c>
      <c r="E221" s="18" t="s">
        <v>152</v>
      </c>
      <c r="F221" s="19">
        <v>184.44</v>
      </c>
      <c r="G221" s="18" t="s">
        <v>31</v>
      </c>
      <c r="H221" s="18"/>
      <c r="I221" s="18"/>
      <c r="J221" s="18"/>
      <c r="K221" s="18"/>
      <c r="L221" s="18"/>
      <c r="M221" s="18"/>
      <c r="N221" s="18"/>
      <c r="O221" s="18">
        <f>SUM(TABELA2567[[#This Row],[T1]:[T7]])</f>
        <v>0</v>
      </c>
      <c r="P221" s="20">
        <f>TABELA2567[[#This Row],[QTDE]]*TABELA2567[[#This Row],[PREÇO]]</f>
        <v>0</v>
      </c>
      <c r="Q221" s="38">
        <f>VLOOKUP($A:$A,[1]Planilha1!$B:$L,7,0)</f>
        <v>498</v>
      </c>
      <c r="R221" s="38">
        <f>VLOOKUP($A:$A,[1]Planilha1!$B:$L,8,0)</f>
        <v>226.36</v>
      </c>
      <c r="S221" s="37">
        <f>TABELA2567[[#This Row],[PREÇO]]/TABELA2567[[#This Row],[Coluna1]]-1</f>
        <v>-0.62963855421686743</v>
      </c>
      <c r="T221" s="37">
        <f>TABELA2567[[#This Row],[PREÇO]]/TABELA2567[[#This Row],[Coluna2]]-1</f>
        <v>-0.18519172998763034</v>
      </c>
    </row>
    <row r="222" spans="1:20" x14ac:dyDescent="0.2">
      <c r="A222" s="1" t="str">
        <f>TRIM(TABELA2567[[#This Row],[PRODUTO]])&amp;TRIM(TABELA2567[[#This Row],[COR]])</f>
        <v>25.30.003601040</v>
      </c>
      <c r="B222" s="17" t="s">
        <v>541</v>
      </c>
      <c r="C222" s="18" t="s">
        <v>542</v>
      </c>
      <c r="D222" s="18" t="s">
        <v>95</v>
      </c>
      <c r="E222" s="18" t="s">
        <v>96</v>
      </c>
      <c r="F222" s="19">
        <v>184.44</v>
      </c>
      <c r="G222" s="18" t="s">
        <v>31</v>
      </c>
      <c r="H222" s="18"/>
      <c r="I222" s="18"/>
      <c r="J222" s="18"/>
      <c r="K222" s="18"/>
      <c r="L222" s="18"/>
      <c r="M222" s="18"/>
      <c r="N222" s="18"/>
      <c r="O222" s="18">
        <f>SUM(TABELA2567[[#This Row],[T1]:[T7]])</f>
        <v>0</v>
      </c>
      <c r="P222" s="20">
        <f>TABELA2567[[#This Row],[QTDE]]*TABELA2567[[#This Row],[PREÇO]]</f>
        <v>0</v>
      </c>
      <c r="Q222" s="38">
        <f>VLOOKUP($A:$A,[1]Planilha1!$B:$L,7,0)</f>
        <v>498</v>
      </c>
      <c r="R222" s="38">
        <f>VLOOKUP($A:$A,[1]Planilha1!$B:$L,8,0)</f>
        <v>226.36</v>
      </c>
      <c r="S222" s="37">
        <f>TABELA2567[[#This Row],[PREÇO]]/TABELA2567[[#This Row],[Coluna1]]-1</f>
        <v>-0.62963855421686743</v>
      </c>
      <c r="T222" s="37">
        <f>TABELA2567[[#This Row],[PREÇO]]/TABELA2567[[#This Row],[Coluna2]]-1</f>
        <v>-0.18519172998763034</v>
      </c>
    </row>
    <row r="223" spans="1:20" x14ac:dyDescent="0.2">
      <c r="A223" s="1" t="str">
        <f>TRIM(TABELA2567[[#This Row],[PRODUTO]])&amp;TRIM(TABELA2567[[#This Row],[COR]])</f>
        <v>25.30.00450005</v>
      </c>
      <c r="B223" s="17" t="s">
        <v>543</v>
      </c>
      <c r="C223" s="18" t="s">
        <v>544</v>
      </c>
      <c r="D223" s="18" t="s">
        <v>32</v>
      </c>
      <c r="E223" s="18" t="s">
        <v>33</v>
      </c>
      <c r="F223" s="19">
        <v>221.48</v>
      </c>
      <c r="G223" s="18" t="s">
        <v>56</v>
      </c>
      <c r="H223" s="18"/>
      <c r="I223" s="18"/>
      <c r="J223" s="18"/>
      <c r="K223" s="18"/>
      <c r="L223" s="18"/>
      <c r="M223" s="18"/>
      <c r="N223" s="18"/>
      <c r="O223" s="18">
        <f>SUM(TABELA2567[[#This Row],[T1]:[T7]])</f>
        <v>0</v>
      </c>
      <c r="P223" s="20">
        <f>TABELA2567[[#This Row],[QTDE]]*TABELA2567[[#This Row],[PREÇO]]</f>
        <v>0</v>
      </c>
      <c r="Q223" s="38">
        <f>VLOOKUP($A:$A,[1]Planilha1!$B:$L,7,0)</f>
        <v>598</v>
      </c>
      <c r="R223" s="38">
        <f>VLOOKUP($A:$A,[1]Planilha1!$B:$L,8,0)</f>
        <v>271.82</v>
      </c>
      <c r="S223" s="37">
        <f>TABELA2567[[#This Row],[PREÇO]]/TABELA2567[[#This Row],[Coluna1]]-1</f>
        <v>-0.62963210702341144</v>
      </c>
      <c r="T223" s="37">
        <f>TABELA2567[[#This Row],[PREÇO]]/TABELA2567[[#This Row],[Coluna2]]-1</f>
        <v>-0.18519608564491208</v>
      </c>
    </row>
    <row r="224" spans="1:20" x14ac:dyDescent="0.2">
      <c r="A224" s="1" t="str">
        <f>TRIM(TABELA2567[[#This Row],[PRODUTO]])&amp;TRIM(TABELA2567[[#This Row],[COR]])</f>
        <v>25.31.004801026</v>
      </c>
      <c r="B224" s="17" t="s">
        <v>545</v>
      </c>
      <c r="C224" s="18" t="s">
        <v>546</v>
      </c>
      <c r="D224" s="18" t="s">
        <v>151</v>
      </c>
      <c r="E224" s="18" t="s">
        <v>152</v>
      </c>
      <c r="F224" s="19">
        <v>128.88999999999999</v>
      </c>
      <c r="G224" s="18" t="s">
        <v>31</v>
      </c>
      <c r="H224" s="18"/>
      <c r="I224" s="18"/>
      <c r="J224" s="18"/>
      <c r="K224" s="18"/>
      <c r="L224" s="18"/>
      <c r="M224" s="18"/>
      <c r="N224" s="18"/>
      <c r="O224" s="18">
        <f>SUM(TABELA2567[[#This Row],[T1]:[T7]])</f>
        <v>0</v>
      </c>
      <c r="P224" s="20">
        <f>TABELA2567[[#This Row],[QTDE]]*TABELA2567[[#This Row],[PREÇO]]</f>
        <v>0</v>
      </c>
      <c r="Q224" s="38">
        <f>VLOOKUP($A:$A,[1]Planilha1!$B:$L,7,0)</f>
        <v>348</v>
      </c>
      <c r="R224" s="38">
        <f>VLOOKUP($A:$A,[1]Planilha1!$B:$L,8,0)</f>
        <v>158.18</v>
      </c>
      <c r="S224" s="37">
        <f>TABELA2567[[#This Row],[PREÇO]]/TABELA2567[[#This Row],[Coluna1]]-1</f>
        <v>-0.62962643678160923</v>
      </c>
      <c r="T224" s="37">
        <f>TABELA2567[[#This Row],[PREÇO]]/TABELA2567[[#This Row],[Coluna2]]-1</f>
        <v>-0.18516879504362127</v>
      </c>
    </row>
    <row r="225" spans="1:20" x14ac:dyDescent="0.2">
      <c r="A225" s="1" t="str">
        <f>TRIM(TABELA2567[[#This Row],[PRODUTO]])&amp;TRIM(TABELA2567[[#This Row],[COR]])</f>
        <v>25.31.004801035</v>
      </c>
      <c r="B225" s="17" t="s">
        <v>545</v>
      </c>
      <c r="C225" s="18" t="s">
        <v>546</v>
      </c>
      <c r="D225" s="18" t="s">
        <v>89</v>
      </c>
      <c r="E225" s="18" t="s">
        <v>90</v>
      </c>
      <c r="F225" s="19">
        <v>128.88999999999999</v>
      </c>
      <c r="G225" s="18" t="s">
        <v>31</v>
      </c>
      <c r="H225" s="18"/>
      <c r="I225" s="18"/>
      <c r="J225" s="18"/>
      <c r="K225" s="18"/>
      <c r="L225" s="18"/>
      <c r="M225" s="18"/>
      <c r="N225" s="18"/>
      <c r="O225" s="18">
        <f>SUM(TABELA2567[[#This Row],[T1]:[T7]])</f>
        <v>0</v>
      </c>
      <c r="P225" s="20">
        <f>TABELA2567[[#This Row],[QTDE]]*TABELA2567[[#This Row],[PREÇO]]</f>
        <v>0</v>
      </c>
      <c r="Q225" s="38">
        <f>VLOOKUP($A:$A,[1]Planilha1!$B:$L,7,0)</f>
        <v>348</v>
      </c>
      <c r="R225" s="38">
        <f>VLOOKUP($A:$A,[1]Planilha1!$B:$L,8,0)</f>
        <v>158.18</v>
      </c>
      <c r="S225" s="37">
        <f>TABELA2567[[#This Row],[PREÇO]]/TABELA2567[[#This Row],[Coluna1]]-1</f>
        <v>-0.62962643678160923</v>
      </c>
      <c r="T225" s="37">
        <f>TABELA2567[[#This Row],[PREÇO]]/TABELA2567[[#This Row],[Coluna2]]-1</f>
        <v>-0.18516879504362127</v>
      </c>
    </row>
    <row r="226" spans="1:20" x14ac:dyDescent="0.2">
      <c r="A226" s="1" t="str">
        <f>TRIM(TABELA2567[[#This Row],[PRODUTO]])&amp;TRIM(TABELA2567[[#This Row],[COR]])</f>
        <v>27.01.08821101</v>
      </c>
      <c r="B226" s="17" t="s">
        <v>547</v>
      </c>
      <c r="C226" s="18" t="s">
        <v>548</v>
      </c>
      <c r="D226" s="18" t="s">
        <v>549</v>
      </c>
      <c r="E226" s="18" t="s">
        <v>550</v>
      </c>
      <c r="F226" s="19">
        <v>147.41</v>
      </c>
      <c r="G226" s="18" t="s">
        <v>65</v>
      </c>
      <c r="H226" s="18"/>
      <c r="I226" s="18"/>
      <c r="J226" s="18"/>
      <c r="K226" s="18"/>
      <c r="L226" s="18"/>
      <c r="M226" s="18"/>
      <c r="N226" s="18"/>
      <c r="O226" s="18">
        <f>SUM(TABELA2567[[#This Row],[T1]:[T7]])</f>
        <v>0</v>
      </c>
      <c r="P226" s="20">
        <f>TABELA2567[[#This Row],[QTDE]]*TABELA2567[[#This Row],[PREÇO]]</f>
        <v>0</v>
      </c>
      <c r="Q226" s="38">
        <f>VLOOKUP($A:$A,[1]Planilha1!$B:$L,7,0)</f>
        <v>398</v>
      </c>
      <c r="R226" s="38">
        <f>VLOOKUP($A:$A,[1]Planilha1!$B:$L,8,0)</f>
        <v>180.91</v>
      </c>
      <c r="S226" s="37">
        <f>TABELA2567[[#This Row],[PREÇO]]/TABELA2567[[#This Row],[Coluna1]]-1</f>
        <v>-0.62962311557788952</v>
      </c>
      <c r="T226" s="37">
        <f>TABELA2567[[#This Row],[PREÇO]]/TABELA2567[[#This Row],[Coluna2]]-1</f>
        <v>-0.18517494886960373</v>
      </c>
    </row>
    <row r="227" spans="1:20" x14ac:dyDescent="0.2">
      <c r="A227" s="1" t="str">
        <f>TRIM(TABELA2567[[#This Row],[PRODUTO]])&amp;TRIM(TABELA2567[[#This Row],[COR]])</f>
        <v>27.03.10606216</v>
      </c>
      <c r="B227" s="17" t="s">
        <v>551</v>
      </c>
      <c r="C227" s="18" t="s">
        <v>552</v>
      </c>
      <c r="D227" s="18" t="s">
        <v>47</v>
      </c>
      <c r="E227" s="18" t="s">
        <v>60</v>
      </c>
      <c r="F227" s="19">
        <v>147.41</v>
      </c>
      <c r="G227" s="18" t="s">
        <v>65</v>
      </c>
      <c r="H227" s="18"/>
      <c r="I227" s="18"/>
      <c r="J227" s="18"/>
      <c r="K227" s="18"/>
      <c r="L227" s="18"/>
      <c r="M227" s="18"/>
      <c r="N227" s="18"/>
      <c r="O227" s="18">
        <f>SUM(TABELA2567[[#This Row],[T1]:[T7]])</f>
        <v>0</v>
      </c>
      <c r="P227" s="20">
        <f>TABELA2567[[#This Row],[QTDE]]*TABELA2567[[#This Row],[PREÇO]]</f>
        <v>0</v>
      </c>
      <c r="Q227" s="38">
        <f>VLOOKUP($A:$A,[1]Planilha1!$B:$L,7,0)</f>
        <v>398</v>
      </c>
      <c r="R227" s="38">
        <f>VLOOKUP($A:$A,[1]Planilha1!$B:$L,8,0)</f>
        <v>180.91</v>
      </c>
      <c r="S227" s="37">
        <f>TABELA2567[[#This Row],[PREÇO]]/TABELA2567[[#This Row],[Coluna1]]-1</f>
        <v>-0.62962311557788952</v>
      </c>
      <c r="T227" s="37">
        <f>TABELA2567[[#This Row],[PREÇO]]/TABELA2567[[#This Row],[Coluna2]]-1</f>
        <v>-0.18517494886960373</v>
      </c>
    </row>
    <row r="228" spans="1:20" x14ac:dyDescent="0.2">
      <c r="A228" s="1" t="str">
        <f>TRIM(TABELA2567[[#This Row],[PRODUTO]])&amp;TRIM(TABELA2567[[#This Row],[COR]])</f>
        <v>27.03.10820011</v>
      </c>
      <c r="B228" s="17" t="s">
        <v>553</v>
      </c>
      <c r="C228" s="18" t="s">
        <v>554</v>
      </c>
      <c r="D228" s="18" t="s">
        <v>63</v>
      </c>
      <c r="E228" s="18" t="s">
        <v>64</v>
      </c>
      <c r="F228" s="19">
        <v>110.37</v>
      </c>
      <c r="G228" s="18" t="s">
        <v>65</v>
      </c>
      <c r="H228" s="18"/>
      <c r="I228" s="18"/>
      <c r="J228" s="18"/>
      <c r="K228" s="18"/>
      <c r="L228" s="18"/>
      <c r="M228" s="18"/>
      <c r="N228" s="18"/>
      <c r="O228" s="18">
        <f>SUM(TABELA2567[[#This Row],[T1]:[T7]])</f>
        <v>0</v>
      </c>
      <c r="P228" s="20">
        <f>TABELA2567[[#This Row],[QTDE]]*TABELA2567[[#This Row],[PREÇO]]</f>
        <v>0</v>
      </c>
      <c r="Q228" s="38">
        <f>VLOOKUP($A:$A,[1]Planilha1!$B:$L,7,0)</f>
        <v>298</v>
      </c>
      <c r="R228" s="38">
        <f>VLOOKUP($A:$A,[1]Planilha1!$B:$L,8,0)</f>
        <v>135.44999999999999</v>
      </c>
      <c r="S228" s="37">
        <f>TABELA2567[[#This Row],[PREÇO]]/TABELA2567[[#This Row],[Coluna1]]-1</f>
        <v>-0.62963087248322147</v>
      </c>
      <c r="T228" s="37">
        <f>TABELA2567[[#This Row],[PREÇO]]/TABELA2567[[#This Row],[Coluna2]]-1</f>
        <v>-0.18516057585825019</v>
      </c>
    </row>
    <row r="229" spans="1:20" x14ac:dyDescent="0.2">
      <c r="A229" s="1" t="str">
        <f>TRIM(TABELA2567[[#This Row],[PRODUTO]])&amp;TRIM(TABELA2567[[#This Row],[COR]])</f>
        <v>27.03.11001101</v>
      </c>
      <c r="B229" s="17" t="s">
        <v>555</v>
      </c>
      <c r="C229" s="18" t="s">
        <v>556</v>
      </c>
      <c r="D229" s="18" t="s">
        <v>549</v>
      </c>
      <c r="E229" s="18" t="s">
        <v>550</v>
      </c>
      <c r="F229" s="19">
        <v>132.59</v>
      </c>
      <c r="G229" s="18" t="s">
        <v>65</v>
      </c>
      <c r="H229" s="18"/>
      <c r="I229" s="18"/>
      <c r="J229" s="18"/>
      <c r="K229" s="18"/>
      <c r="L229" s="18"/>
      <c r="M229" s="18"/>
      <c r="N229" s="18"/>
      <c r="O229" s="18">
        <f>SUM(TABELA2567[[#This Row],[T1]:[T7]])</f>
        <v>0</v>
      </c>
      <c r="P229" s="20">
        <f>TABELA2567[[#This Row],[QTDE]]*TABELA2567[[#This Row],[PREÇO]]</f>
        <v>0</v>
      </c>
      <c r="Q229" s="38">
        <f>VLOOKUP($A:$A,[1]Planilha1!$B:$L,7,0)</f>
        <v>358</v>
      </c>
      <c r="R229" s="38">
        <f>VLOOKUP($A:$A,[1]Planilha1!$B:$L,8,0)</f>
        <v>162.72999999999999</v>
      </c>
      <c r="S229" s="37">
        <f>TABELA2567[[#This Row],[PREÇO]]/TABELA2567[[#This Row],[Coluna1]]-1</f>
        <v>-0.62963687150837988</v>
      </c>
      <c r="T229" s="37">
        <f>TABELA2567[[#This Row],[PREÇO]]/TABELA2567[[#This Row],[Coluna2]]-1</f>
        <v>-0.18521477293676636</v>
      </c>
    </row>
    <row r="230" spans="1:20" x14ac:dyDescent="0.2">
      <c r="A230" s="1" t="str">
        <f>TRIM(TABELA2567[[#This Row],[PRODUTO]])&amp;TRIM(TABELA2567[[#This Row],[COR]])</f>
        <v>27.03.11011101</v>
      </c>
      <c r="B230" s="17" t="s">
        <v>557</v>
      </c>
      <c r="C230" s="18" t="s">
        <v>558</v>
      </c>
      <c r="D230" s="18" t="s">
        <v>549</v>
      </c>
      <c r="E230" s="18" t="s">
        <v>550</v>
      </c>
      <c r="F230" s="19">
        <v>132.59</v>
      </c>
      <c r="G230" s="18" t="s">
        <v>65</v>
      </c>
      <c r="H230" s="18"/>
      <c r="I230" s="18"/>
      <c r="J230" s="18"/>
      <c r="K230" s="18"/>
      <c r="L230" s="18"/>
      <c r="M230" s="18"/>
      <c r="N230" s="18"/>
      <c r="O230" s="18">
        <f>SUM(TABELA2567[[#This Row],[T1]:[T7]])</f>
        <v>0</v>
      </c>
      <c r="P230" s="20">
        <f>TABELA2567[[#This Row],[QTDE]]*TABELA2567[[#This Row],[PREÇO]]</f>
        <v>0</v>
      </c>
      <c r="Q230" s="38">
        <f>VLOOKUP($A:$A,[1]Planilha1!$B:$L,7,0)</f>
        <v>358</v>
      </c>
      <c r="R230" s="38">
        <f>VLOOKUP($A:$A,[1]Planilha1!$B:$L,8,0)</f>
        <v>162.72999999999999</v>
      </c>
      <c r="S230" s="37">
        <f>TABELA2567[[#This Row],[PREÇO]]/TABELA2567[[#This Row],[Coluna1]]-1</f>
        <v>-0.62963687150837988</v>
      </c>
      <c r="T230" s="37">
        <f>TABELA2567[[#This Row],[PREÇO]]/TABELA2567[[#This Row],[Coluna2]]-1</f>
        <v>-0.18521477293676636</v>
      </c>
    </row>
    <row r="231" spans="1:20" x14ac:dyDescent="0.2">
      <c r="A231" s="1" t="str">
        <f>TRIM(TABELA2567[[#This Row],[PRODUTO]])&amp;TRIM(TABELA2567[[#This Row],[COR]])</f>
        <v>27.03.11120001</v>
      </c>
      <c r="B231" s="17" t="s">
        <v>559</v>
      </c>
      <c r="C231" s="18" t="s">
        <v>560</v>
      </c>
      <c r="D231" s="18" t="s">
        <v>561</v>
      </c>
      <c r="E231" s="18" t="s">
        <v>562</v>
      </c>
      <c r="F231" s="19">
        <v>84.44</v>
      </c>
      <c r="G231" s="18" t="s">
        <v>65</v>
      </c>
      <c r="H231" s="18"/>
      <c r="I231" s="18"/>
      <c r="J231" s="18"/>
      <c r="K231" s="18"/>
      <c r="L231" s="18"/>
      <c r="M231" s="18"/>
      <c r="N231" s="18"/>
      <c r="O231" s="18">
        <f>SUM(TABELA2567[[#This Row],[T1]:[T7]])</f>
        <v>0</v>
      </c>
      <c r="P231" s="20">
        <f>TABELA2567[[#This Row],[QTDE]]*TABELA2567[[#This Row],[PREÇO]]</f>
        <v>0</v>
      </c>
      <c r="Q231" s="38">
        <f>VLOOKUP($A:$A,[1]Planilha1!$B:$L,7,0)</f>
        <v>228</v>
      </c>
      <c r="R231" s="38">
        <f>VLOOKUP($A:$A,[1]Planilha1!$B:$L,8,0)</f>
        <v>103.64</v>
      </c>
      <c r="S231" s="37">
        <f>TABELA2567[[#This Row],[PREÇO]]/TABELA2567[[#This Row],[Coluna1]]-1</f>
        <v>-0.62964912280701757</v>
      </c>
      <c r="T231" s="37">
        <f>TABELA2567[[#This Row],[PREÇO]]/TABELA2567[[#This Row],[Coluna2]]-1</f>
        <v>-0.18525665766113475</v>
      </c>
    </row>
    <row r="232" spans="1:20" x14ac:dyDescent="0.2">
      <c r="A232" s="1" t="str">
        <f>TRIM(TABELA2567[[#This Row],[PRODUTO]])&amp;TRIM(TABELA2567[[#This Row],[COR]])</f>
        <v>28.01.011121104</v>
      </c>
      <c r="B232" s="17" t="s">
        <v>563</v>
      </c>
      <c r="C232" s="18" t="s">
        <v>564</v>
      </c>
      <c r="D232" s="18" t="s">
        <v>163</v>
      </c>
      <c r="E232" s="18" t="s">
        <v>164</v>
      </c>
      <c r="F232" s="19">
        <v>962.22</v>
      </c>
      <c r="G232" s="18" t="s">
        <v>56</v>
      </c>
      <c r="H232" s="18"/>
      <c r="I232" s="18"/>
      <c r="J232" s="18"/>
      <c r="K232" s="18"/>
      <c r="L232" s="18"/>
      <c r="M232" s="18"/>
      <c r="N232" s="18"/>
      <c r="O232" s="18">
        <f>SUM(TABELA2567[[#This Row],[T1]:[T7]])</f>
        <v>0</v>
      </c>
      <c r="P232" s="20">
        <f>TABELA2567[[#This Row],[QTDE]]*TABELA2567[[#This Row],[PREÇO]]</f>
        <v>0</v>
      </c>
      <c r="Q232" s="38">
        <f>VLOOKUP($A:$A,[1]Planilha1!$B:$L,7,0)</f>
        <v>2598</v>
      </c>
      <c r="R232" s="38">
        <f>VLOOKUP($A:$A,[1]Planilha1!$B:$L,8,0)</f>
        <v>1180.9100000000001</v>
      </c>
      <c r="S232" s="37">
        <f>TABELA2567[[#This Row],[PREÇO]]/TABELA2567[[#This Row],[Coluna1]]-1</f>
        <v>-0.62963048498845264</v>
      </c>
      <c r="T232" s="37">
        <f>TABELA2567[[#This Row],[PREÇO]]/TABELA2567[[#This Row],[Coluna2]]-1</f>
        <v>-0.18518769423580128</v>
      </c>
    </row>
    <row r="233" spans="1:20" x14ac:dyDescent="0.2">
      <c r="A233" s="1" t="str">
        <f>TRIM(TABELA2567[[#This Row],[PRODUTO]])&amp;TRIM(TABELA2567[[#This Row],[COR]])</f>
        <v>28.01.011401024</v>
      </c>
      <c r="B233" s="17" t="s">
        <v>565</v>
      </c>
      <c r="C233" s="18" t="s">
        <v>566</v>
      </c>
      <c r="D233" s="18" t="s">
        <v>93</v>
      </c>
      <c r="E233" s="18" t="s">
        <v>94</v>
      </c>
      <c r="F233" s="19">
        <v>925.19</v>
      </c>
      <c r="G233" s="18" t="s">
        <v>56</v>
      </c>
      <c r="H233" s="18"/>
      <c r="I233" s="18"/>
      <c r="J233" s="18"/>
      <c r="K233" s="18"/>
      <c r="L233" s="18"/>
      <c r="M233" s="18"/>
      <c r="N233" s="18"/>
      <c r="O233" s="18">
        <f>SUM(TABELA2567[[#This Row],[T1]:[T7]])</f>
        <v>0</v>
      </c>
      <c r="P233" s="20">
        <f>TABELA2567[[#This Row],[QTDE]]*TABELA2567[[#This Row],[PREÇO]]</f>
        <v>0</v>
      </c>
      <c r="Q233" s="38">
        <f>VLOOKUP($A:$A,[1]Planilha1!$B:$L,7,0)</f>
        <v>2498</v>
      </c>
      <c r="R233" s="38">
        <f>VLOOKUP($A:$A,[1]Planilha1!$B:$L,8,0)</f>
        <v>1135.45</v>
      </c>
      <c r="S233" s="37">
        <f>TABELA2567[[#This Row],[PREÇO]]/TABELA2567[[#This Row],[Coluna1]]-1</f>
        <v>-0.62962770216172936</v>
      </c>
      <c r="T233" s="37">
        <f>TABELA2567[[#This Row],[PREÇO]]/TABELA2567[[#This Row],[Coluna2]]-1</f>
        <v>-0.18517768285701708</v>
      </c>
    </row>
    <row r="234" spans="1:20" x14ac:dyDescent="0.2">
      <c r="A234" s="1" t="str">
        <f>TRIM(TABELA2567[[#This Row],[PRODUTO]])&amp;TRIM(TABELA2567[[#This Row],[COR]])</f>
        <v>28.03.012601026</v>
      </c>
      <c r="B234" s="17" t="s">
        <v>567</v>
      </c>
      <c r="C234" s="18" t="s">
        <v>568</v>
      </c>
      <c r="D234" s="18" t="s">
        <v>151</v>
      </c>
      <c r="E234" s="18" t="s">
        <v>152</v>
      </c>
      <c r="F234" s="19">
        <v>517.78</v>
      </c>
      <c r="G234" s="18" t="s">
        <v>139</v>
      </c>
      <c r="H234" s="18"/>
      <c r="I234" s="18"/>
      <c r="J234" s="18"/>
      <c r="K234" s="18"/>
      <c r="L234" s="18"/>
      <c r="M234" s="18"/>
      <c r="N234" s="18"/>
      <c r="O234" s="18">
        <f>SUM(TABELA2567[[#This Row],[T1]:[T7]])</f>
        <v>0</v>
      </c>
      <c r="P234" s="20">
        <f>TABELA2567[[#This Row],[QTDE]]*TABELA2567[[#This Row],[PREÇO]]</f>
        <v>0</v>
      </c>
      <c r="Q234" s="38">
        <f>VLOOKUP($A:$A,[1]Planilha1!$B:$L,7,0)</f>
        <v>1398</v>
      </c>
      <c r="R234" s="38">
        <f>VLOOKUP($A:$A,[1]Planilha1!$B:$L,8,0)</f>
        <v>635.45000000000005</v>
      </c>
      <c r="S234" s="37">
        <f>TABELA2567[[#This Row],[PREÇO]]/TABELA2567[[#This Row],[Coluna1]]-1</f>
        <v>-0.62962804005722461</v>
      </c>
      <c r="T234" s="37">
        <f>TABELA2567[[#This Row],[PREÇO]]/TABELA2567[[#This Row],[Coluna2]]-1</f>
        <v>-0.18517585962703609</v>
      </c>
    </row>
    <row r="235" spans="1:20" x14ac:dyDescent="0.2">
      <c r="A235" s="1" t="str">
        <f>TRIM(TABELA2567[[#This Row],[PRODUTO]])&amp;TRIM(TABELA2567[[#This Row],[COR]])</f>
        <v>43.01.04536209</v>
      </c>
      <c r="B235" s="17" t="s">
        <v>569</v>
      </c>
      <c r="C235" s="18" t="s">
        <v>570</v>
      </c>
      <c r="D235" s="18" t="s">
        <v>54</v>
      </c>
      <c r="E235" s="18" t="s">
        <v>55</v>
      </c>
      <c r="F235" s="19">
        <v>73.33</v>
      </c>
      <c r="G235" s="18" t="s">
        <v>69</v>
      </c>
      <c r="H235" s="18"/>
      <c r="I235" s="18"/>
      <c r="J235" s="18"/>
      <c r="K235" s="18"/>
      <c r="L235" s="18"/>
      <c r="M235" s="18"/>
      <c r="N235" s="18"/>
      <c r="O235" s="18">
        <f>SUM(TABELA2567[[#This Row],[T1]:[T7]])</f>
        <v>0</v>
      </c>
      <c r="P235" s="20">
        <f>TABELA2567[[#This Row],[QTDE]]*TABELA2567[[#This Row],[PREÇO]]</f>
        <v>0</v>
      </c>
      <c r="Q235" s="38">
        <f>VLOOKUP($A:$A,[1]Planilha1!$B:$L,7,0)</f>
        <v>198</v>
      </c>
      <c r="R235" s="38">
        <f>VLOOKUP($A:$A,[1]Planilha1!$B:$L,8,0)</f>
        <v>90</v>
      </c>
      <c r="S235" s="37">
        <f>TABELA2567[[#This Row],[PREÇO]]/TABELA2567[[#This Row],[Coluna1]]-1</f>
        <v>-0.62964646464646468</v>
      </c>
      <c r="T235" s="37">
        <f>TABELA2567[[#This Row],[PREÇO]]/TABELA2567[[#This Row],[Coluna2]]-1</f>
        <v>-0.18522222222222229</v>
      </c>
    </row>
    <row r="236" spans="1:20" x14ac:dyDescent="0.2">
      <c r="A236" s="1" t="str">
        <f>TRIM(TABELA2567[[#This Row],[PRODUTO]])&amp;TRIM(TABELA2567[[#This Row],[COR]])</f>
        <v>43.01.04550002</v>
      </c>
      <c r="B236" s="17" t="s">
        <v>571</v>
      </c>
      <c r="C236" s="18" t="s">
        <v>572</v>
      </c>
      <c r="D236" s="18" t="s">
        <v>44</v>
      </c>
      <c r="E236" s="18" t="s">
        <v>45</v>
      </c>
      <c r="F236" s="19">
        <v>65.930000000000007</v>
      </c>
      <c r="G236" s="18" t="s">
        <v>69</v>
      </c>
      <c r="H236" s="18"/>
      <c r="I236" s="18"/>
      <c r="J236" s="18"/>
      <c r="K236" s="18"/>
      <c r="L236" s="18"/>
      <c r="M236" s="18"/>
      <c r="N236" s="18"/>
      <c r="O236" s="18">
        <f>SUM(TABELA2567[[#This Row],[T1]:[T7]])</f>
        <v>0</v>
      </c>
      <c r="P236" s="20">
        <f>TABELA2567[[#This Row],[QTDE]]*TABELA2567[[#This Row],[PREÇO]]</f>
        <v>0</v>
      </c>
      <c r="Q236" s="38">
        <f>VLOOKUP($A:$A,[1]Planilha1!$B:$L,7,0)</f>
        <v>178</v>
      </c>
      <c r="R236" s="38">
        <f>VLOOKUP($A:$A,[1]Planilha1!$B:$L,8,0)</f>
        <v>80.91</v>
      </c>
      <c r="S236" s="37">
        <f>TABELA2567[[#This Row],[PREÇO]]/TABELA2567[[#This Row],[Coluna1]]-1</f>
        <v>-0.62960674157303365</v>
      </c>
      <c r="T236" s="37">
        <f>TABELA2567[[#This Row],[PREÇO]]/TABELA2567[[#This Row],[Coluna2]]-1</f>
        <v>-0.18514398714621172</v>
      </c>
    </row>
    <row r="237" spans="1:20" x14ac:dyDescent="0.2">
      <c r="A237" s="1" t="str">
        <f>TRIM(TABELA2567[[#This Row],[PRODUTO]])&amp;TRIM(TABELA2567[[#This Row],[COR]])</f>
        <v>43.01.04921407</v>
      </c>
      <c r="B237" s="17" t="s">
        <v>573</v>
      </c>
      <c r="C237" s="18" t="s">
        <v>574</v>
      </c>
      <c r="D237" s="18" t="s">
        <v>72</v>
      </c>
      <c r="E237" s="18" t="s">
        <v>73</v>
      </c>
      <c r="F237" s="19">
        <v>62.22</v>
      </c>
      <c r="G237" s="18" t="s">
        <v>69</v>
      </c>
      <c r="H237" s="18"/>
      <c r="I237" s="18"/>
      <c r="J237" s="18"/>
      <c r="K237" s="18"/>
      <c r="L237" s="18"/>
      <c r="M237" s="18"/>
      <c r="N237" s="18"/>
      <c r="O237" s="18">
        <f>SUM(TABELA2567[[#This Row],[T1]:[T7]])</f>
        <v>0</v>
      </c>
      <c r="P237" s="20">
        <f>TABELA2567[[#This Row],[QTDE]]*TABELA2567[[#This Row],[PREÇO]]</f>
        <v>0</v>
      </c>
      <c r="Q237" s="38">
        <f>VLOOKUP($A:$A,[1]Planilha1!$B:$L,7,0)</f>
        <v>168</v>
      </c>
      <c r="R237" s="38">
        <f>VLOOKUP($A:$A,[1]Planilha1!$B:$L,8,0)</f>
        <v>76.36</v>
      </c>
      <c r="S237" s="37">
        <f>TABELA2567[[#This Row],[PREÇO]]/TABELA2567[[#This Row],[Coluna1]]-1</f>
        <v>-0.62964285714285717</v>
      </c>
      <c r="T237" s="37">
        <f>TABELA2567[[#This Row],[PREÇO]]/TABELA2567[[#This Row],[Coluna2]]-1</f>
        <v>-0.18517548454688315</v>
      </c>
    </row>
    <row r="238" spans="1:20" x14ac:dyDescent="0.2">
      <c r="A238" s="1" t="str">
        <f>TRIM(TABELA2567[[#This Row],[PRODUTO]])&amp;TRIM(TABELA2567[[#This Row],[COR]])</f>
        <v>43.01.04930005</v>
      </c>
      <c r="B238" s="17" t="s">
        <v>575</v>
      </c>
      <c r="C238" s="18" t="s">
        <v>576</v>
      </c>
      <c r="D238" s="18" t="s">
        <v>32</v>
      </c>
      <c r="E238" s="18" t="s">
        <v>33</v>
      </c>
      <c r="F238" s="19">
        <v>73.33</v>
      </c>
      <c r="G238" s="18" t="s">
        <v>69</v>
      </c>
      <c r="H238" s="18"/>
      <c r="I238" s="18"/>
      <c r="J238" s="18"/>
      <c r="K238" s="18"/>
      <c r="L238" s="18"/>
      <c r="M238" s="18"/>
      <c r="N238" s="18"/>
      <c r="O238" s="18">
        <f>SUM(TABELA2567[[#This Row],[T1]:[T7]])</f>
        <v>0</v>
      </c>
      <c r="P238" s="20">
        <f>TABELA2567[[#This Row],[QTDE]]*TABELA2567[[#This Row],[PREÇO]]</f>
        <v>0</v>
      </c>
      <c r="Q238" s="38">
        <f>VLOOKUP($A:$A,[1]Planilha1!$B:$L,7,0)</f>
        <v>198</v>
      </c>
      <c r="R238" s="38">
        <f>VLOOKUP($A:$A,[1]Planilha1!$B:$L,8,0)</f>
        <v>90</v>
      </c>
      <c r="S238" s="37">
        <f>TABELA2567[[#This Row],[PREÇO]]/TABELA2567[[#This Row],[Coluna1]]-1</f>
        <v>-0.62964646464646468</v>
      </c>
      <c r="T238" s="37">
        <f>TABELA2567[[#This Row],[PREÇO]]/TABELA2567[[#This Row],[Coluna2]]-1</f>
        <v>-0.18522222222222229</v>
      </c>
    </row>
    <row r="239" spans="1:20" x14ac:dyDescent="0.2">
      <c r="A239" s="1" t="str">
        <f>TRIM(TABELA2567[[#This Row],[PRODUTO]])&amp;TRIM(TABELA2567[[#This Row],[COR]])</f>
        <v>43.01.050401040</v>
      </c>
      <c r="B239" s="17" t="s">
        <v>577</v>
      </c>
      <c r="C239" s="18" t="s">
        <v>578</v>
      </c>
      <c r="D239" s="18" t="s">
        <v>95</v>
      </c>
      <c r="E239" s="18" t="s">
        <v>96</v>
      </c>
      <c r="F239" s="19">
        <v>65.930000000000007</v>
      </c>
      <c r="G239" s="18" t="s">
        <v>69</v>
      </c>
      <c r="H239" s="18"/>
      <c r="I239" s="18"/>
      <c r="J239" s="18"/>
      <c r="K239" s="18"/>
      <c r="L239" s="18"/>
      <c r="M239" s="18"/>
      <c r="N239" s="18"/>
      <c r="O239" s="18">
        <f>SUM(TABELA2567[[#This Row],[T1]:[T7]])</f>
        <v>0</v>
      </c>
      <c r="P239" s="20">
        <f>TABELA2567[[#This Row],[QTDE]]*TABELA2567[[#This Row],[PREÇO]]</f>
        <v>0</v>
      </c>
      <c r="Q239" s="38">
        <f>VLOOKUP($A:$A,[1]Planilha1!$B:$L,7,0)</f>
        <v>178</v>
      </c>
      <c r="R239" s="38">
        <f>VLOOKUP($A:$A,[1]Planilha1!$B:$L,8,0)</f>
        <v>80.91</v>
      </c>
      <c r="S239" s="37">
        <f>TABELA2567[[#This Row],[PREÇO]]/TABELA2567[[#This Row],[Coluna1]]-1</f>
        <v>-0.62960674157303365</v>
      </c>
      <c r="T239" s="37">
        <f>TABELA2567[[#This Row],[PREÇO]]/TABELA2567[[#This Row],[Coluna2]]-1</f>
        <v>-0.18514398714621172</v>
      </c>
    </row>
    <row r="240" spans="1:20" x14ac:dyDescent="0.2">
      <c r="A240" s="1" t="str">
        <f>TRIM(TABELA2567[[#This Row],[PRODUTO]])&amp;TRIM(TABELA2567[[#This Row],[COR]])</f>
        <v>43.01.050501036</v>
      </c>
      <c r="B240" s="17" t="s">
        <v>579</v>
      </c>
      <c r="C240" s="18" t="s">
        <v>580</v>
      </c>
      <c r="D240" s="18" t="s">
        <v>113</v>
      </c>
      <c r="E240" s="18" t="s">
        <v>114</v>
      </c>
      <c r="F240" s="19">
        <v>65.930000000000007</v>
      </c>
      <c r="G240" s="18" t="s">
        <v>69</v>
      </c>
      <c r="H240" s="18"/>
      <c r="I240" s="18"/>
      <c r="J240" s="18"/>
      <c r="K240" s="18"/>
      <c r="L240" s="18"/>
      <c r="M240" s="18"/>
      <c r="N240" s="18"/>
      <c r="O240" s="18">
        <f>SUM(TABELA2567[[#This Row],[T1]:[T7]])</f>
        <v>0</v>
      </c>
      <c r="P240" s="20">
        <f>TABELA2567[[#This Row],[QTDE]]*TABELA2567[[#This Row],[PREÇO]]</f>
        <v>0</v>
      </c>
      <c r="Q240" s="38">
        <f>VLOOKUP($A:$A,[1]Planilha1!$B:$L,7,0)</f>
        <v>178</v>
      </c>
      <c r="R240" s="38">
        <f>VLOOKUP($A:$A,[1]Planilha1!$B:$L,8,0)</f>
        <v>80.91</v>
      </c>
      <c r="S240" s="37">
        <f>TABELA2567[[#This Row],[PREÇO]]/TABELA2567[[#This Row],[Coluna1]]-1</f>
        <v>-0.62960674157303365</v>
      </c>
      <c r="T240" s="37">
        <f>TABELA2567[[#This Row],[PREÇO]]/TABELA2567[[#This Row],[Coluna2]]-1</f>
        <v>-0.18514398714621172</v>
      </c>
    </row>
    <row r="241" spans="1:20" x14ac:dyDescent="0.2">
      <c r="A241" s="1" t="str">
        <f>TRIM(TABELA2567[[#This Row],[PRODUTO]])&amp;TRIM(TABELA2567[[#This Row],[COR]])</f>
        <v>43.01.05071407</v>
      </c>
      <c r="B241" s="17" t="s">
        <v>581</v>
      </c>
      <c r="C241" s="18" t="s">
        <v>582</v>
      </c>
      <c r="D241" s="18" t="s">
        <v>72</v>
      </c>
      <c r="E241" s="18" t="s">
        <v>73</v>
      </c>
      <c r="F241" s="19">
        <v>73.33</v>
      </c>
      <c r="G241" s="18" t="s">
        <v>69</v>
      </c>
      <c r="H241" s="18"/>
      <c r="I241" s="18"/>
      <c r="J241" s="18"/>
      <c r="K241" s="18"/>
      <c r="L241" s="18"/>
      <c r="M241" s="18"/>
      <c r="N241" s="18"/>
      <c r="O241" s="18">
        <f>SUM(TABELA2567[[#This Row],[T1]:[T7]])</f>
        <v>0</v>
      </c>
      <c r="P241" s="20">
        <f>TABELA2567[[#This Row],[QTDE]]*TABELA2567[[#This Row],[PREÇO]]</f>
        <v>0</v>
      </c>
      <c r="Q241" s="38">
        <f>VLOOKUP($A:$A,[1]Planilha1!$B:$L,7,0)</f>
        <v>198</v>
      </c>
      <c r="R241" s="38">
        <f>VLOOKUP($A:$A,[1]Planilha1!$B:$L,8,0)</f>
        <v>90</v>
      </c>
      <c r="S241" s="37">
        <f>TABELA2567[[#This Row],[PREÇO]]/TABELA2567[[#This Row],[Coluna1]]-1</f>
        <v>-0.62964646464646468</v>
      </c>
      <c r="T241" s="37">
        <f>TABELA2567[[#This Row],[PREÇO]]/TABELA2567[[#This Row],[Coluna2]]-1</f>
        <v>-0.18522222222222229</v>
      </c>
    </row>
    <row r="242" spans="1:20" x14ac:dyDescent="0.2">
      <c r="A242" s="1" t="str">
        <f>TRIM(TABELA2567[[#This Row],[PRODUTO]])&amp;TRIM(TABELA2567[[#This Row],[COR]])</f>
        <v>43.01.051101040</v>
      </c>
      <c r="B242" s="17" t="s">
        <v>583</v>
      </c>
      <c r="C242" s="18" t="s">
        <v>584</v>
      </c>
      <c r="D242" s="18" t="s">
        <v>95</v>
      </c>
      <c r="E242" s="18" t="s">
        <v>96</v>
      </c>
      <c r="F242" s="19">
        <v>58.52</v>
      </c>
      <c r="G242" s="18" t="s">
        <v>69</v>
      </c>
      <c r="H242" s="18"/>
      <c r="I242" s="18"/>
      <c r="J242" s="18"/>
      <c r="K242" s="18"/>
      <c r="L242" s="18"/>
      <c r="M242" s="18"/>
      <c r="N242" s="18"/>
      <c r="O242" s="18">
        <f>SUM(TABELA2567[[#This Row],[T1]:[T7]])</f>
        <v>0</v>
      </c>
      <c r="P242" s="20">
        <f>TABELA2567[[#This Row],[QTDE]]*TABELA2567[[#This Row],[PREÇO]]</f>
        <v>0</v>
      </c>
      <c r="Q242" s="38">
        <f>VLOOKUP($A:$A,[1]Planilha1!$B:$L,7,0)</f>
        <v>158</v>
      </c>
      <c r="R242" s="38">
        <f>VLOOKUP($A:$A,[1]Planilha1!$B:$L,8,0)</f>
        <v>71.819999999999993</v>
      </c>
      <c r="S242" s="37">
        <f>TABELA2567[[#This Row],[PREÇO]]/TABELA2567[[#This Row],[Coluna1]]-1</f>
        <v>-0.62962025316455694</v>
      </c>
      <c r="T242" s="37">
        <f>TABELA2567[[#This Row],[PREÇO]]/TABELA2567[[#This Row],[Coluna2]]-1</f>
        <v>-0.18518518518518512</v>
      </c>
    </row>
    <row r="243" spans="1:20" x14ac:dyDescent="0.2">
      <c r="A243" s="1" t="str">
        <f>TRIM(TABELA2567[[#This Row],[PRODUTO]])&amp;TRIM(TABELA2567[[#This Row],[COR]])</f>
        <v>43.01.05140002</v>
      </c>
      <c r="B243" s="17" t="s">
        <v>585</v>
      </c>
      <c r="C243" s="18" t="s">
        <v>586</v>
      </c>
      <c r="D243" s="18" t="s">
        <v>44</v>
      </c>
      <c r="E243" s="18" t="s">
        <v>45</v>
      </c>
      <c r="F243" s="19">
        <v>58.52</v>
      </c>
      <c r="G243" s="18" t="s">
        <v>69</v>
      </c>
      <c r="H243" s="18"/>
      <c r="I243" s="18"/>
      <c r="J243" s="18"/>
      <c r="K243" s="18"/>
      <c r="L243" s="18"/>
      <c r="M243" s="18"/>
      <c r="N243" s="18"/>
      <c r="O243" s="18">
        <f>SUM(TABELA2567[[#This Row],[T1]:[T7]])</f>
        <v>0</v>
      </c>
      <c r="P243" s="20">
        <f>TABELA2567[[#This Row],[QTDE]]*TABELA2567[[#This Row],[PREÇO]]</f>
        <v>0</v>
      </c>
      <c r="Q243" s="38">
        <f>VLOOKUP($A:$A,[1]Planilha1!$B:$L,7,0)</f>
        <v>158</v>
      </c>
      <c r="R243" s="38">
        <f>VLOOKUP($A:$A,[1]Planilha1!$B:$L,8,0)</f>
        <v>71.819999999999993</v>
      </c>
      <c r="S243" s="37">
        <f>TABELA2567[[#This Row],[PREÇO]]/TABELA2567[[#This Row],[Coluna1]]-1</f>
        <v>-0.62962025316455694</v>
      </c>
      <c r="T243" s="37">
        <f>TABELA2567[[#This Row],[PREÇO]]/TABELA2567[[#This Row],[Coluna2]]-1</f>
        <v>-0.18518518518518512</v>
      </c>
    </row>
    <row r="244" spans="1:20" x14ac:dyDescent="0.2">
      <c r="A244" s="1" t="str">
        <f>TRIM(TABELA2567[[#This Row],[PRODUTO]])&amp;TRIM(TABELA2567[[#This Row],[COR]])</f>
        <v>43.01.05140005</v>
      </c>
      <c r="B244" s="17" t="s">
        <v>585</v>
      </c>
      <c r="C244" s="18" t="s">
        <v>586</v>
      </c>
      <c r="D244" s="18" t="s">
        <v>32</v>
      </c>
      <c r="E244" s="18" t="s">
        <v>33</v>
      </c>
      <c r="F244" s="19">
        <v>58.52</v>
      </c>
      <c r="G244" s="18" t="s">
        <v>69</v>
      </c>
      <c r="H244" s="18"/>
      <c r="I244" s="18"/>
      <c r="J244" s="18"/>
      <c r="K244" s="18"/>
      <c r="L244" s="18"/>
      <c r="M244" s="18"/>
      <c r="N244" s="18"/>
      <c r="O244" s="18">
        <f>SUM(TABELA2567[[#This Row],[T1]:[T7]])</f>
        <v>0</v>
      </c>
      <c r="P244" s="20">
        <f>TABELA2567[[#This Row],[QTDE]]*TABELA2567[[#This Row],[PREÇO]]</f>
        <v>0</v>
      </c>
      <c r="Q244" s="38">
        <f>VLOOKUP($A:$A,[1]Planilha1!$B:$L,7,0)</f>
        <v>158</v>
      </c>
      <c r="R244" s="38">
        <f>VLOOKUP($A:$A,[1]Planilha1!$B:$L,8,0)</f>
        <v>71.819999999999993</v>
      </c>
      <c r="S244" s="37">
        <f>TABELA2567[[#This Row],[PREÇO]]/TABELA2567[[#This Row],[Coluna1]]-1</f>
        <v>-0.62962025316455694</v>
      </c>
      <c r="T244" s="37">
        <f>TABELA2567[[#This Row],[PREÇO]]/TABELA2567[[#This Row],[Coluna2]]-1</f>
        <v>-0.18518518518518512</v>
      </c>
    </row>
    <row r="245" spans="1:20" x14ac:dyDescent="0.2">
      <c r="A245" s="1" t="str">
        <f>TRIM(TABELA2567[[#This Row],[PRODUTO]])&amp;TRIM(TABELA2567[[#This Row],[COR]])</f>
        <v>43.01.051901028</v>
      </c>
      <c r="B245" s="17" t="s">
        <v>587</v>
      </c>
      <c r="C245" s="18" t="s">
        <v>588</v>
      </c>
      <c r="D245" s="18" t="s">
        <v>589</v>
      </c>
      <c r="E245" s="18" t="s">
        <v>590</v>
      </c>
      <c r="F245" s="19">
        <v>62.22</v>
      </c>
      <c r="G245" s="18" t="s">
        <v>69</v>
      </c>
      <c r="H245" s="18"/>
      <c r="I245" s="18"/>
      <c r="J245" s="18"/>
      <c r="K245" s="18"/>
      <c r="L245" s="18"/>
      <c r="M245" s="18"/>
      <c r="N245" s="18"/>
      <c r="O245" s="18">
        <f>SUM(TABELA2567[[#This Row],[T1]:[T7]])</f>
        <v>0</v>
      </c>
      <c r="P245" s="20">
        <f>TABELA2567[[#This Row],[QTDE]]*TABELA2567[[#This Row],[PREÇO]]</f>
        <v>0</v>
      </c>
      <c r="Q245" s="38">
        <f>VLOOKUP($A:$A,[1]Planilha1!$B:$L,7,0)</f>
        <v>168</v>
      </c>
      <c r="R245" s="38">
        <f>VLOOKUP($A:$A,[1]Planilha1!$B:$L,8,0)</f>
        <v>76.36</v>
      </c>
      <c r="S245" s="37">
        <f>TABELA2567[[#This Row],[PREÇO]]/TABELA2567[[#This Row],[Coluna1]]-1</f>
        <v>-0.62964285714285717</v>
      </c>
      <c r="T245" s="37">
        <f>TABELA2567[[#This Row],[PREÇO]]/TABELA2567[[#This Row],[Coluna2]]-1</f>
        <v>-0.18517548454688315</v>
      </c>
    </row>
    <row r="246" spans="1:20" x14ac:dyDescent="0.2">
      <c r="A246" s="1" t="str">
        <f>TRIM(TABELA2567[[#This Row],[PRODUTO]])&amp;TRIM(TABELA2567[[#This Row],[COR]])</f>
        <v>43.03.017801040</v>
      </c>
      <c r="B246" s="17" t="s">
        <v>591</v>
      </c>
      <c r="C246" s="18" t="s">
        <v>592</v>
      </c>
      <c r="D246" s="18" t="s">
        <v>95</v>
      </c>
      <c r="E246" s="18" t="s">
        <v>96</v>
      </c>
      <c r="F246" s="19">
        <v>43.7</v>
      </c>
      <c r="G246" s="18" t="s">
        <v>69</v>
      </c>
      <c r="H246" s="18"/>
      <c r="I246" s="18"/>
      <c r="J246" s="18"/>
      <c r="K246" s="18"/>
      <c r="L246" s="18"/>
      <c r="M246" s="18"/>
      <c r="N246" s="18"/>
      <c r="O246" s="18">
        <f>SUM(TABELA2567[[#This Row],[T1]:[T7]])</f>
        <v>0</v>
      </c>
      <c r="P246" s="20">
        <f>TABELA2567[[#This Row],[QTDE]]*TABELA2567[[#This Row],[PREÇO]]</f>
        <v>0</v>
      </c>
      <c r="Q246" s="38">
        <f>VLOOKUP($A:$A,[1]Planilha1!$B:$L,7,0)</f>
        <v>118</v>
      </c>
      <c r="R246" s="38">
        <f>VLOOKUP($A:$A,[1]Planilha1!$B:$L,8,0)</f>
        <v>53.64</v>
      </c>
      <c r="S246" s="37">
        <f>TABELA2567[[#This Row],[PREÇO]]/TABELA2567[[#This Row],[Coluna1]]-1</f>
        <v>-0.62966101694915255</v>
      </c>
      <c r="T246" s="37">
        <f>TABELA2567[[#This Row],[PREÇO]]/TABELA2567[[#This Row],[Coluna2]]-1</f>
        <v>-0.18530947054436986</v>
      </c>
    </row>
    <row r="247" spans="1:20" x14ac:dyDescent="0.2">
      <c r="A247" s="1" t="str">
        <f>TRIM(TABELA2567[[#This Row],[PRODUTO]])&amp;TRIM(TABELA2567[[#This Row],[COR]])</f>
        <v>43.03.01791407</v>
      </c>
      <c r="B247" s="17" t="s">
        <v>593</v>
      </c>
      <c r="C247" s="18" t="s">
        <v>594</v>
      </c>
      <c r="D247" s="18" t="s">
        <v>72</v>
      </c>
      <c r="E247" s="18" t="s">
        <v>73</v>
      </c>
      <c r="F247" s="19">
        <v>43.7</v>
      </c>
      <c r="G247" s="18" t="s">
        <v>69</v>
      </c>
      <c r="H247" s="18"/>
      <c r="I247" s="18"/>
      <c r="J247" s="18"/>
      <c r="K247" s="18"/>
      <c r="L247" s="18"/>
      <c r="M247" s="18"/>
      <c r="N247" s="18"/>
      <c r="O247" s="18">
        <f>SUM(TABELA2567[[#This Row],[T1]:[T7]])</f>
        <v>0</v>
      </c>
      <c r="P247" s="20">
        <f>TABELA2567[[#This Row],[QTDE]]*TABELA2567[[#This Row],[PREÇO]]</f>
        <v>0</v>
      </c>
      <c r="Q247" s="38">
        <f>VLOOKUP($A:$A,[1]Planilha1!$B:$L,7,0)</f>
        <v>118</v>
      </c>
      <c r="R247" s="38">
        <f>VLOOKUP($A:$A,[1]Planilha1!$B:$L,8,0)</f>
        <v>53.64</v>
      </c>
      <c r="S247" s="37">
        <f>TABELA2567[[#This Row],[PREÇO]]/TABELA2567[[#This Row],[Coluna1]]-1</f>
        <v>-0.62966101694915255</v>
      </c>
      <c r="T247" s="37">
        <f>TABELA2567[[#This Row],[PREÇO]]/TABELA2567[[#This Row],[Coluna2]]-1</f>
        <v>-0.18530947054436986</v>
      </c>
    </row>
    <row r="248" spans="1:20" x14ac:dyDescent="0.2">
      <c r="A248" s="1" t="str">
        <f>TRIM(TABELA2567[[#This Row],[PRODUTO]])&amp;TRIM(TABELA2567[[#This Row],[COR]])</f>
        <v>44.01.10670005</v>
      </c>
      <c r="B248" s="17" t="s">
        <v>595</v>
      </c>
      <c r="C248" s="18" t="s">
        <v>596</v>
      </c>
      <c r="D248" s="18" t="s">
        <v>32</v>
      </c>
      <c r="E248" s="18" t="s">
        <v>43</v>
      </c>
      <c r="F248" s="19">
        <v>202.96</v>
      </c>
      <c r="G248" s="18" t="s">
        <v>56</v>
      </c>
      <c r="H248" s="18"/>
      <c r="I248" s="18"/>
      <c r="J248" s="18"/>
      <c r="K248" s="18"/>
      <c r="L248" s="18"/>
      <c r="M248" s="18"/>
      <c r="N248" s="18"/>
      <c r="O248" s="18">
        <f>SUM(TABELA2567[[#This Row],[T1]:[T7]])</f>
        <v>0</v>
      </c>
      <c r="P248" s="20">
        <f>TABELA2567[[#This Row],[QTDE]]*TABELA2567[[#This Row],[PREÇO]]</f>
        <v>0</v>
      </c>
      <c r="Q248" s="38">
        <f>VLOOKUP($A:$A,[1]Planilha1!$B:$L,7,0)</f>
        <v>548</v>
      </c>
      <c r="R248" s="38">
        <f>VLOOKUP($A:$A,[1]Planilha1!$B:$L,8,0)</f>
        <v>249.09</v>
      </c>
      <c r="S248" s="37">
        <f>TABELA2567[[#This Row],[PREÇO]]/TABELA2567[[#This Row],[Coluna1]]-1</f>
        <v>-0.62963503649635033</v>
      </c>
      <c r="T248" s="37">
        <f>TABELA2567[[#This Row],[PREÇO]]/TABELA2567[[#This Row],[Coluna2]]-1</f>
        <v>-0.18519410654783408</v>
      </c>
    </row>
    <row r="249" spans="1:20" x14ac:dyDescent="0.2">
      <c r="A249" s="1" t="str">
        <f>TRIM(TABELA2567[[#This Row],[PRODUTO]])&amp;TRIM(TABELA2567[[#This Row],[COR]])</f>
        <v>44.11.004901035</v>
      </c>
      <c r="B249" s="17" t="s">
        <v>597</v>
      </c>
      <c r="C249" s="18" t="s">
        <v>598</v>
      </c>
      <c r="D249" s="18" t="s">
        <v>89</v>
      </c>
      <c r="E249" s="18" t="s">
        <v>90</v>
      </c>
      <c r="F249" s="19">
        <v>165.93</v>
      </c>
      <c r="G249" s="18" t="s">
        <v>56</v>
      </c>
      <c r="H249" s="18"/>
      <c r="I249" s="18"/>
      <c r="J249" s="18"/>
      <c r="K249" s="18"/>
      <c r="L249" s="18"/>
      <c r="M249" s="18"/>
      <c r="N249" s="18"/>
      <c r="O249" s="18">
        <f>SUM(TABELA2567[[#This Row],[T1]:[T7]])</f>
        <v>0</v>
      </c>
      <c r="P249" s="20">
        <f>TABELA2567[[#This Row],[QTDE]]*TABELA2567[[#This Row],[PREÇO]]</f>
        <v>0</v>
      </c>
      <c r="Q249" s="38">
        <f>VLOOKUP($A:$A,[1]Planilha1!$B:$L,7,0)</f>
        <v>448</v>
      </c>
      <c r="R249" s="38">
        <f>VLOOKUP($A:$A,[1]Planilha1!$B:$L,8,0)</f>
        <v>203.64</v>
      </c>
      <c r="S249" s="37">
        <f>TABELA2567[[#This Row],[PREÇO]]/TABELA2567[[#This Row],[Coluna1]]-1</f>
        <v>-0.62962053571428567</v>
      </c>
      <c r="T249" s="37">
        <f>TABELA2567[[#This Row],[PREÇO]]/TABELA2567[[#This Row],[Coluna2]]-1</f>
        <v>-0.18517972893341184</v>
      </c>
    </row>
    <row r="250" spans="1:20" x14ac:dyDescent="0.2">
      <c r="A250" s="1" t="str">
        <f>TRIM(TABELA2567[[#This Row],[PRODUTO]])&amp;TRIM(TABELA2567[[#This Row],[COR]])</f>
        <v>44.11.00500005</v>
      </c>
      <c r="B250" s="17" t="s">
        <v>599</v>
      </c>
      <c r="C250" s="18" t="s">
        <v>600</v>
      </c>
      <c r="D250" s="18" t="s">
        <v>32</v>
      </c>
      <c r="E250" s="18" t="s">
        <v>601</v>
      </c>
      <c r="F250" s="19">
        <v>184.44</v>
      </c>
      <c r="G250" s="18" t="s">
        <v>56</v>
      </c>
      <c r="H250" s="18"/>
      <c r="I250" s="18"/>
      <c r="J250" s="18"/>
      <c r="K250" s="18"/>
      <c r="L250" s="18"/>
      <c r="M250" s="18"/>
      <c r="N250" s="18"/>
      <c r="O250" s="18">
        <f>SUM(TABELA2567[[#This Row],[T1]:[T7]])</f>
        <v>0</v>
      </c>
      <c r="P250" s="20">
        <f>TABELA2567[[#This Row],[QTDE]]*TABELA2567[[#This Row],[PREÇO]]</f>
        <v>0</v>
      </c>
      <c r="Q250" s="38">
        <f>VLOOKUP($A:$A,[1]Planilha1!$B:$L,7,0)</f>
        <v>498</v>
      </c>
      <c r="R250" s="38">
        <f>VLOOKUP($A:$A,[1]Planilha1!$B:$L,8,0)</f>
        <v>226.36</v>
      </c>
      <c r="S250" s="37">
        <f>TABELA2567[[#This Row],[PREÇO]]/TABELA2567[[#This Row],[Coluna1]]-1</f>
        <v>-0.62963855421686743</v>
      </c>
      <c r="T250" s="37">
        <f>TABELA2567[[#This Row],[PREÇO]]/TABELA2567[[#This Row],[Coluna2]]-1</f>
        <v>-0.18519172998763034</v>
      </c>
    </row>
    <row r="251" spans="1:20" x14ac:dyDescent="0.2">
      <c r="A251" s="1" t="str">
        <f>TRIM(TABELA2567[[#This Row],[PRODUTO]])&amp;TRIM(TABELA2567[[#This Row],[COR]])</f>
        <v>44.11.00550005</v>
      </c>
      <c r="B251" s="17" t="s">
        <v>602</v>
      </c>
      <c r="C251" s="18" t="s">
        <v>603</v>
      </c>
      <c r="D251" s="18" t="s">
        <v>32</v>
      </c>
      <c r="E251" s="18" t="s">
        <v>604</v>
      </c>
      <c r="F251" s="19">
        <v>221.48</v>
      </c>
      <c r="G251" s="18" t="s">
        <v>56</v>
      </c>
      <c r="H251" s="18"/>
      <c r="I251" s="18"/>
      <c r="J251" s="18"/>
      <c r="K251" s="18"/>
      <c r="L251" s="18"/>
      <c r="M251" s="18"/>
      <c r="N251" s="18"/>
      <c r="O251" s="18">
        <f>SUM(TABELA2567[[#This Row],[T1]:[T7]])</f>
        <v>0</v>
      </c>
      <c r="P251" s="20">
        <f>TABELA2567[[#This Row],[QTDE]]*TABELA2567[[#This Row],[PREÇO]]</f>
        <v>0</v>
      </c>
      <c r="Q251" s="38">
        <f>VLOOKUP($A:$A,[1]Planilha1!$B:$L,7,0)</f>
        <v>598</v>
      </c>
      <c r="R251" s="38">
        <f>VLOOKUP($A:$A,[1]Planilha1!$B:$L,8,0)</f>
        <v>271.82</v>
      </c>
      <c r="S251" s="37">
        <f>TABELA2567[[#This Row],[PREÇO]]/TABELA2567[[#This Row],[Coluna1]]-1</f>
        <v>-0.62963210702341144</v>
      </c>
      <c r="T251" s="37">
        <f>TABELA2567[[#This Row],[PREÇO]]/TABELA2567[[#This Row],[Coluna2]]-1</f>
        <v>-0.18519608564491208</v>
      </c>
    </row>
    <row r="252" spans="1:20" x14ac:dyDescent="0.2">
      <c r="A252" s="1" t="str">
        <f>TRIM(TABELA2567[[#This Row],[PRODUTO]])&amp;TRIM(TABELA2567[[#This Row],[COR]])</f>
        <v>44.11.00600005</v>
      </c>
      <c r="B252" s="17" t="s">
        <v>605</v>
      </c>
      <c r="C252" s="18" t="s">
        <v>606</v>
      </c>
      <c r="D252" s="18" t="s">
        <v>32</v>
      </c>
      <c r="E252" s="18" t="s">
        <v>33</v>
      </c>
      <c r="F252" s="19">
        <v>202.96</v>
      </c>
      <c r="G252" s="18" t="s">
        <v>56</v>
      </c>
      <c r="H252" s="18"/>
      <c r="I252" s="18"/>
      <c r="J252" s="18"/>
      <c r="K252" s="18"/>
      <c r="L252" s="18"/>
      <c r="M252" s="18"/>
      <c r="N252" s="18"/>
      <c r="O252" s="18">
        <f>SUM(TABELA2567[[#This Row],[T1]:[T7]])</f>
        <v>0</v>
      </c>
      <c r="P252" s="20">
        <f>TABELA2567[[#This Row],[QTDE]]*TABELA2567[[#This Row],[PREÇO]]</f>
        <v>0</v>
      </c>
      <c r="Q252" s="38">
        <f>VLOOKUP($A:$A,[1]Planilha1!$B:$L,7,0)</f>
        <v>548</v>
      </c>
      <c r="R252" s="38">
        <f>VLOOKUP($A:$A,[1]Planilha1!$B:$L,8,0)</f>
        <v>249.09</v>
      </c>
      <c r="S252" s="37">
        <f>TABELA2567[[#This Row],[PREÇO]]/TABELA2567[[#This Row],[Coluna1]]-1</f>
        <v>-0.62963503649635033</v>
      </c>
      <c r="T252" s="37">
        <f>TABELA2567[[#This Row],[PREÇO]]/TABELA2567[[#This Row],[Coluna2]]-1</f>
        <v>-0.18519410654783408</v>
      </c>
    </row>
    <row r="253" spans="1:20" x14ac:dyDescent="0.2">
      <c r="A253" s="1" t="str">
        <f>TRIM(TABELA2567[[#This Row],[PRODUTO]])&amp;TRIM(TABELA2567[[#This Row],[COR]])</f>
        <v>44.11.00610005</v>
      </c>
      <c r="B253" s="17" t="s">
        <v>607</v>
      </c>
      <c r="C253" s="18" t="s">
        <v>608</v>
      </c>
      <c r="D253" s="18" t="s">
        <v>32</v>
      </c>
      <c r="E253" s="18" t="s">
        <v>33</v>
      </c>
      <c r="F253" s="19">
        <v>165.93</v>
      </c>
      <c r="G253" s="18" t="s">
        <v>56</v>
      </c>
      <c r="H253" s="18"/>
      <c r="I253" s="18"/>
      <c r="J253" s="18"/>
      <c r="K253" s="18"/>
      <c r="L253" s="18"/>
      <c r="M253" s="18"/>
      <c r="N253" s="18"/>
      <c r="O253" s="18">
        <f>SUM(TABELA2567[[#This Row],[T1]:[T7]])</f>
        <v>0</v>
      </c>
      <c r="P253" s="20">
        <f>TABELA2567[[#This Row],[QTDE]]*TABELA2567[[#This Row],[PREÇO]]</f>
        <v>0</v>
      </c>
      <c r="Q253" s="38">
        <f>VLOOKUP($A:$A,[1]Planilha1!$B:$L,7,0)</f>
        <v>448</v>
      </c>
      <c r="R253" s="38">
        <f>VLOOKUP($A:$A,[1]Planilha1!$B:$L,8,0)</f>
        <v>203.64</v>
      </c>
      <c r="S253" s="37">
        <f>TABELA2567[[#This Row],[PREÇO]]/TABELA2567[[#This Row],[Coluna1]]-1</f>
        <v>-0.62962053571428567</v>
      </c>
      <c r="T253" s="37">
        <f>TABELA2567[[#This Row],[PREÇO]]/TABELA2567[[#This Row],[Coluna2]]-1</f>
        <v>-0.18517972893341184</v>
      </c>
    </row>
    <row r="254" spans="1:20" x14ac:dyDescent="0.2">
      <c r="A254" s="1" t="str">
        <f>TRIM(TABELA2567[[#This Row],[PRODUTO]])&amp;TRIM(TABELA2567[[#This Row],[COR]])</f>
        <v>44.11.006301036</v>
      </c>
      <c r="B254" s="17" t="s">
        <v>609</v>
      </c>
      <c r="C254" s="18" t="s">
        <v>610</v>
      </c>
      <c r="D254" s="18" t="s">
        <v>113</v>
      </c>
      <c r="E254" s="18" t="s">
        <v>114</v>
      </c>
      <c r="F254" s="19">
        <v>165.93</v>
      </c>
      <c r="G254" s="18" t="s">
        <v>56</v>
      </c>
      <c r="H254" s="18"/>
      <c r="I254" s="18"/>
      <c r="J254" s="18"/>
      <c r="K254" s="18"/>
      <c r="L254" s="18"/>
      <c r="M254" s="18"/>
      <c r="N254" s="18"/>
      <c r="O254" s="18">
        <f>SUM(TABELA2567[[#This Row],[T1]:[T7]])</f>
        <v>0</v>
      </c>
      <c r="P254" s="20">
        <f>TABELA2567[[#This Row],[QTDE]]*TABELA2567[[#This Row],[PREÇO]]</f>
        <v>0</v>
      </c>
      <c r="Q254" s="38">
        <f>VLOOKUP($A:$A,[1]Planilha1!$B:$L,7,0)</f>
        <v>448</v>
      </c>
      <c r="R254" s="38">
        <f>VLOOKUP($A:$A,[1]Planilha1!$B:$L,8,0)</f>
        <v>203.64</v>
      </c>
      <c r="S254" s="37">
        <f>TABELA2567[[#This Row],[PREÇO]]/TABELA2567[[#This Row],[Coluna1]]-1</f>
        <v>-0.62962053571428567</v>
      </c>
      <c r="T254" s="37">
        <f>TABELA2567[[#This Row],[PREÇO]]/TABELA2567[[#This Row],[Coluna2]]-1</f>
        <v>-0.18517972893341184</v>
      </c>
    </row>
    <row r="255" spans="1:20" x14ac:dyDescent="0.2">
      <c r="A255" s="1" t="str">
        <f>TRIM(TABELA2567[[#This Row],[PRODUTO]])&amp;TRIM(TABELA2567[[#This Row],[COR]])</f>
        <v>44.11.006401035</v>
      </c>
      <c r="B255" s="17" t="s">
        <v>611</v>
      </c>
      <c r="C255" s="18" t="s">
        <v>612</v>
      </c>
      <c r="D255" s="18" t="s">
        <v>89</v>
      </c>
      <c r="E255" s="18" t="s">
        <v>96</v>
      </c>
      <c r="F255" s="19">
        <v>128.88999999999999</v>
      </c>
      <c r="G255" s="18" t="s">
        <v>56</v>
      </c>
      <c r="H255" s="18"/>
      <c r="I255" s="18"/>
      <c r="J255" s="18"/>
      <c r="K255" s="18"/>
      <c r="L255" s="18"/>
      <c r="M255" s="18"/>
      <c r="N255" s="18"/>
      <c r="O255" s="18">
        <f>SUM(TABELA2567[[#This Row],[T1]:[T7]])</f>
        <v>0</v>
      </c>
      <c r="P255" s="20">
        <f>TABELA2567[[#This Row],[QTDE]]*TABELA2567[[#This Row],[PREÇO]]</f>
        <v>0</v>
      </c>
      <c r="Q255" s="38">
        <f>VLOOKUP($A:$A,[1]Planilha1!$B:$L,7,0)</f>
        <v>348</v>
      </c>
      <c r="R255" s="38">
        <f>VLOOKUP($A:$A,[1]Planilha1!$B:$L,8,0)</f>
        <v>158.18</v>
      </c>
      <c r="S255" s="37">
        <f>TABELA2567[[#This Row],[PREÇO]]/TABELA2567[[#This Row],[Coluna1]]-1</f>
        <v>-0.62962643678160923</v>
      </c>
      <c r="T255" s="37">
        <f>TABELA2567[[#This Row],[PREÇO]]/TABELA2567[[#This Row],[Coluna2]]-1</f>
        <v>-0.18516879504362127</v>
      </c>
    </row>
    <row r="256" spans="1:20" x14ac:dyDescent="0.2">
      <c r="A256" s="1" t="str">
        <f>TRIM(TABELA2567[[#This Row],[PRODUTO]])&amp;TRIM(TABELA2567[[#This Row],[COR]])</f>
        <v>44.20.002121316</v>
      </c>
      <c r="B256" s="17" t="s">
        <v>613</v>
      </c>
      <c r="C256" s="18" t="s">
        <v>614</v>
      </c>
      <c r="D256" s="18" t="s">
        <v>399</v>
      </c>
      <c r="E256" s="18" t="s">
        <v>392</v>
      </c>
      <c r="F256" s="19">
        <v>110.37</v>
      </c>
      <c r="G256" s="18" t="s">
        <v>69</v>
      </c>
      <c r="H256" s="18"/>
      <c r="I256" s="18"/>
      <c r="J256" s="18"/>
      <c r="K256" s="18"/>
      <c r="L256" s="18"/>
      <c r="M256" s="18"/>
      <c r="N256" s="18"/>
      <c r="O256" s="18">
        <f>SUM(TABELA2567[[#This Row],[T1]:[T7]])</f>
        <v>0</v>
      </c>
      <c r="P256" s="20">
        <f>TABELA2567[[#This Row],[QTDE]]*TABELA2567[[#This Row],[PREÇO]]</f>
        <v>0</v>
      </c>
      <c r="Q256" s="38">
        <f>VLOOKUP($A:$A,[1]Planilha1!$B:$L,7,0)</f>
        <v>298</v>
      </c>
      <c r="R256" s="38">
        <f>VLOOKUP($A:$A,[1]Planilha1!$B:$L,8,0)</f>
        <v>135.44999999999999</v>
      </c>
      <c r="S256" s="37">
        <f>TABELA2567[[#This Row],[PREÇO]]/TABELA2567[[#This Row],[Coluna1]]-1</f>
        <v>-0.62963087248322147</v>
      </c>
      <c r="T256" s="37">
        <f>TABELA2567[[#This Row],[PREÇO]]/TABELA2567[[#This Row],[Coluna2]]-1</f>
        <v>-0.18516057585825019</v>
      </c>
    </row>
    <row r="257" spans="1:20" x14ac:dyDescent="0.2">
      <c r="A257" s="1" t="str">
        <f>TRIM(TABELA2567[[#This Row],[PRODUTO]])&amp;TRIM(TABELA2567[[#This Row],[COR]])</f>
        <v>44.20.002221308</v>
      </c>
      <c r="B257" s="17" t="s">
        <v>615</v>
      </c>
      <c r="C257" s="18" t="s">
        <v>616</v>
      </c>
      <c r="D257" s="18" t="s">
        <v>617</v>
      </c>
      <c r="E257" s="18" t="s">
        <v>618</v>
      </c>
      <c r="F257" s="19">
        <v>110.37</v>
      </c>
      <c r="G257" s="18" t="s">
        <v>69</v>
      </c>
      <c r="H257" s="18"/>
      <c r="I257" s="18"/>
      <c r="J257" s="18"/>
      <c r="K257" s="18"/>
      <c r="L257" s="18"/>
      <c r="M257" s="18"/>
      <c r="N257" s="18"/>
      <c r="O257" s="18">
        <f>SUM(TABELA2567[[#This Row],[T1]:[T7]])</f>
        <v>0</v>
      </c>
      <c r="P257" s="20">
        <f>TABELA2567[[#This Row],[QTDE]]*TABELA2567[[#This Row],[PREÇO]]</f>
        <v>0</v>
      </c>
      <c r="Q257" s="38">
        <f>VLOOKUP($A:$A,[1]Planilha1!$B:$L,7,0)</f>
        <v>298</v>
      </c>
      <c r="R257" s="38">
        <f>VLOOKUP($A:$A,[1]Planilha1!$B:$L,8,0)</f>
        <v>135.44999999999999</v>
      </c>
      <c r="S257" s="37">
        <f>TABELA2567[[#This Row],[PREÇO]]/TABELA2567[[#This Row],[Coluna1]]-1</f>
        <v>-0.62963087248322147</v>
      </c>
      <c r="T257" s="37">
        <f>TABELA2567[[#This Row],[PREÇO]]/TABELA2567[[#This Row],[Coluna2]]-1</f>
        <v>-0.18516057585825019</v>
      </c>
    </row>
    <row r="258" spans="1:20" x14ac:dyDescent="0.2">
      <c r="A258" s="1" t="str">
        <f>TRIM(TABELA2567[[#This Row],[PRODUTO]])&amp;TRIM(TABELA2567[[#This Row],[COR]])</f>
        <v>44.20.002821318</v>
      </c>
      <c r="B258" s="17" t="s">
        <v>619</v>
      </c>
      <c r="C258" s="18" t="s">
        <v>620</v>
      </c>
      <c r="D258" s="18" t="s">
        <v>621</v>
      </c>
      <c r="E258" s="18" t="s">
        <v>385</v>
      </c>
      <c r="F258" s="19">
        <v>84.44</v>
      </c>
      <c r="G258" s="18" t="s">
        <v>69</v>
      </c>
      <c r="H258" s="18"/>
      <c r="I258" s="18"/>
      <c r="J258" s="18"/>
      <c r="K258" s="18"/>
      <c r="L258" s="18"/>
      <c r="M258" s="18"/>
      <c r="N258" s="18"/>
      <c r="O258" s="18">
        <f>SUM(TABELA2567[[#This Row],[T1]:[T7]])</f>
        <v>0</v>
      </c>
      <c r="P258" s="20">
        <f>TABELA2567[[#This Row],[QTDE]]*TABELA2567[[#This Row],[PREÇO]]</f>
        <v>0</v>
      </c>
      <c r="Q258" s="38">
        <f>VLOOKUP($A:$A,[1]Planilha1!$B:$L,7,0)</f>
        <v>228</v>
      </c>
      <c r="R258" s="38">
        <f>VLOOKUP($A:$A,[1]Planilha1!$B:$L,8,0)</f>
        <v>103.64</v>
      </c>
      <c r="S258" s="37">
        <f>TABELA2567[[#This Row],[PREÇO]]/TABELA2567[[#This Row],[Coluna1]]-1</f>
        <v>-0.62964912280701757</v>
      </c>
      <c r="T258" s="37">
        <f>TABELA2567[[#This Row],[PREÇO]]/TABELA2567[[#This Row],[Coluna2]]-1</f>
        <v>-0.18525665766113475</v>
      </c>
    </row>
    <row r="259" spans="1:20" x14ac:dyDescent="0.2">
      <c r="A259" s="1" t="str">
        <f>TRIM(TABELA2567[[#This Row],[PRODUTO]])&amp;TRIM(TABELA2567[[#This Row],[COR]])</f>
        <v>44.20.00300003</v>
      </c>
      <c r="B259" s="17" t="s">
        <v>622</v>
      </c>
      <c r="C259" s="18" t="s">
        <v>623</v>
      </c>
      <c r="D259" s="18" t="s">
        <v>42</v>
      </c>
      <c r="E259" s="18" t="s">
        <v>43</v>
      </c>
      <c r="F259" s="19">
        <v>165.93</v>
      </c>
      <c r="G259" s="18" t="s">
        <v>56</v>
      </c>
      <c r="H259" s="18"/>
      <c r="I259" s="18"/>
      <c r="J259" s="18"/>
      <c r="K259" s="18"/>
      <c r="L259" s="18"/>
      <c r="M259" s="18"/>
      <c r="N259" s="18"/>
      <c r="O259" s="18">
        <f>SUM(TABELA2567[[#This Row],[T1]:[T7]])</f>
        <v>0</v>
      </c>
      <c r="P259" s="20">
        <f>TABELA2567[[#This Row],[QTDE]]*TABELA2567[[#This Row],[PREÇO]]</f>
        <v>0</v>
      </c>
      <c r="Q259" s="38">
        <f>VLOOKUP($A:$A,[1]Planilha1!$B:$L,7,0)</f>
        <v>448</v>
      </c>
      <c r="R259" s="38">
        <f>VLOOKUP($A:$A,[1]Planilha1!$B:$L,8,0)</f>
        <v>203.64</v>
      </c>
      <c r="S259" s="37">
        <f>TABELA2567[[#This Row],[PREÇO]]/TABELA2567[[#This Row],[Coluna1]]-1</f>
        <v>-0.62962053571428567</v>
      </c>
      <c r="T259" s="37">
        <f>TABELA2567[[#This Row],[PREÇO]]/TABELA2567[[#This Row],[Coluna2]]-1</f>
        <v>-0.18517972893341184</v>
      </c>
    </row>
    <row r="260" spans="1:20" x14ac:dyDescent="0.2">
      <c r="A260" s="1" t="str">
        <f>TRIM(TABELA2567[[#This Row],[PRODUTO]])&amp;TRIM(TABELA2567[[#This Row],[COR]])</f>
        <v>44.20.00300005</v>
      </c>
      <c r="B260" s="17" t="s">
        <v>622</v>
      </c>
      <c r="C260" s="18" t="s">
        <v>623</v>
      </c>
      <c r="D260" s="18" t="s">
        <v>32</v>
      </c>
      <c r="E260" s="18" t="s">
        <v>33</v>
      </c>
      <c r="F260" s="19">
        <v>165.93</v>
      </c>
      <c r="G260" s="18" t="s">
        <v>56</v>
      </c>
      <c r="H260" s="18"/>
      <c r="I260" s="18"/>
      <c r="J260" s="18"/>
      <c r="K260" s="18"/>
      <c r="L260" s="18"/>
      <c r="M260" s="18"/>
      <c r="N260" s="18"/>
      <c r="O260" s="18">
        <f>SUM(TABELA2567[[#This Row],[T1]:[T7]])</f>
        <v>0</v>
      </c>
      <c r="P260" s="20">
        <f>TABELA2567[[#This Row],[QTDE]]*TABELA2567[[#This Row],[PREÇO]]</f>
        <v>0</v>
      </c>
      <c r="Q260" s="38">
        <f>VLOOKUP($A:$A,[1]Planilha1!$B:$L,7,0)</f>
        <v>448</v>
      </c>
      <c r="R260" s="38">
        <f>VLOOKUP($A:$A,[1]Planilha1!$B:$L,8,0)</f>
        <v>203.64</v>
      </c>
      <c r="S260" s="37">
        <f>TABELA2567[[#This Row],[PREÇO]]/TABELA2567[[#This Row],[Coluna1]]-1</f>
        <v>-0.62962053571428567</v>
      </c>
      <c r="T260" s="37">
        <f>TABELA2567[[#This Row],[PREÇO]]/TABELA2567[[#This Row],[Coluna2]]-1</f>
        <v>-0.18517972893341184</v>
      </c>
    </row>
    <row r="261" spans="1:20" x14ac:dyDescent="0.2">
      <c r="A261" s="1" t="str">
        <f>TRIM(TABELA2567[[#This Row],[PRODUTO]])&amp;TRIM(TABELA2567[[#This Row],[COR]])</f>
        <v>44.20.003601033</v>
      </c>
      <c r="B261" s="17" t="s">
        <v>624</v>
      </c>
      <c r="C261" s="18" t="s">
        <v>625</v>
      </c>
      <c r="D261" s="18" t="s">
        <v>626</v>
      </c>
      <c r="E261" s="18" t="s">
        <v>627</v>
      </c>
      <c r="F261" s="19">
        <v>165.93</v>
      </c>
      <c r="G261" s="18" t="s">
        <v>56</v>
      </c>
      <c r="H261" s="18"/>
      <c r="I261" s="18"/>
      <c r="J261" s="18"/>
      <c r="K261" s="18"/>
      <c r="L261" s="18"/>
      <c r="M261" s="18"/>
      <c r="N261" s="18"/>
      <c r="O261" s="18">
        <f>SUM(TABELA2567[[#This Row],[T1]:[T7]])</f>
        <v>0</v>
      </c>
      <c r="P261" s="20">
        <f>TABELA2567[[#This Row],[QTDE]]*TABELA2567[[#This Row],[PREÇO]]</f>
        <v>0</v>
      </c>
      <c r="Q261" s="38">
        <f>VLOOKUP($A:$A,[1]Planilha1!$B:$L,7,0)</f>
        <v>448</v>
      </c>
      <c r="R261" s="38">
        <f>VLOOKUP($A:$A,[1]Planilha1!$B:$L,8,0)</f>
        <v>203.64</v>
      </c>
      <c r="S261" s="37">
        <f>TABELA2567[[#This Row],[PREÇO]]/TABELA2567[[#This Row],[Coluna1]]-1</f>
        <v>-0.62962053571428567</v>
      </c>
      <c r="T261" s="37">
        <f>TABELA2567[[#This Row],[PREÇO]]/TABELA2567[[#This Row],[Coluna2]]-1</f>
        <v>-0.18517972893341184</v>
      </c>
    </row>
    <row r="262" spans="1:20" x14ac:dyDescent="0.2">
      <c r="A262" s="1" t="str">
        <f>TRIM(TABELA2567[[#This Row],[PRODUTO]])&amp;TRIM(TABELA2567[[#This Row],[COR]])</f>
        <v>52.05.089721011</v>
      </c>
      <c r="B262" s="17" t="s">
        <v>628</v>
      </c>
      <c r="C262" s="18" t="s">
        <v>629</v>
      </c>
      <c r="D262" s="18" t="s">
        <v>135</v>
      </c>
      <c r="E262" s="18" t="s">
        <v>136</v>
      </c>
      <c r="F262" s="19">
        <v>128.88999999999999</v>
      </c>
      <c r="G262" s="18" t="s">
        <v>31</v>
      </c>
      <c r="H262" s="18"/>
      <c r="I262" s="18"/>
      <c r="J262" s="18"/>
      <c r="K262" s="18"/>
      <c r="L262" s="18"/>
      <c r="M262" s="18"/>
      <c r="N262" s="18"/>
      <c r="O262" s="18">
        <f>SUM(TABELA2567[[#This Row],[T1]:[T7]])</f>
        <v>0</v>
      </c>
      <c r="P262" s="20">
        <f>TABELA2567[[#This Row],[QTDE]]*TABELA2567[[#This Row],[PREÇO]]</f>
        <v>0</v>
      </c>
      <c r="Q262" s="38">
        <f>VLOOKUP($A:$A,[1]Planilha1!$B:$L,7,0)</f>
        <v>348</v>
      </c>
      <c r="R262" s="38">
        <f>VLOOKUP($A:$A,[1]Planilha1!$B:$L,8,0)</f>
        <v>158.18</v>
      </c>
      <c r="S262" s="37">
        <f>TABELA2567[[#This Row],[PREÇO]]/TABELA2567[[#This Row],[Coluna1]]-1</f>
        <v>-0.62962643678160923</v>
      </c>
      <c r="T262" s="37">
        <f>TABELA2567[[#This Row],[PREÇO]]/TABELA2567[[#This Row],[Coluna2]]-1</f>
        <v>-0.18516879504362127</v>
      </c>
    </row>
    <row r="263" spans="1:20" x14ac:dyDescent="0.2">
      <c r="A263" s="1" t="str">
        <f>TRIM(TABELA2567[[#This Row],[PRODUTO]])&amp;TRIM(TABELA2567[[#This Row],[COR]])</f>
        <v>52.09.00326026</v>
      </c>
      <c r="B263" s="17" t="s">
        <v>630</v>
      </c>
      <c r="C263" s="18" t="s">
        <v>631</v>
      </c>
      <c r="D263" s="18" t="s">
        <v>632</v>
      </c>
      <c r="E263" s="18" t="s">
        <v>633</v>
      </c>
      <c r="F263" s="19">
        <v>243.7</v>
      </c>
      <c r="G263" s="18" t="s">
        <v>56</v>
      </c>
      <c r="H263" s="18"/>
      <c r="I263" s="18"/>
      <c r="J263" s="18"/>
      <c r="K263" s="18"/>
      <c r="L263" s="18"/>
      <c r="M263" s="18"/>
      <c r="N263" s="18"/>
      <c r="O263" s="18">
        <f>SUM(TABELA2567[[#This Row],[T1]:[T7]])</f>
        <v>0</v>
      </c>
      <c r="P263" s="20">
        <f>TABELA2567[[#This Row],[QTDE]]*TABELA2567[[#This Row],[PREÇO]]</f>
        <v>0</v>
      </c>
      <c r="Q263" s="38">
        <f>VLOOKUP($A:$A,[1]Planilha1!$B:$L,7,0)</f>
        <v>658</v>
      </c>
      <c r="R263" s="38">
        <f>VLOOKUP($A:$A,[1]Planilha1!$B:$L,8,0)</f>
        <v>299.08999999999997</v>
      </c>
      <c r="S263" s="37">
        <f>TABELA2567[[#This Row],[PREÇO]]/TABELA2567[[#This Row],[Coluna1]]-1</f>
        <v>-0.62963525835866263</v>
      </c>
      <c r="T263" s="37">
        <f>TABELA2567[[#This Row],[PREÇO]]/TABELA2567[[#This Row],[Coluna2]]-1</f>
        <v>-0.18519509177839444</v>
      </c>
    </row>
    <row r="264" spans="1:20" x14ac:dyDescent="0.2">
      <c r="A264" s="1" t="str">
        <f>TRIM(TABELA2567[[#This Row],[PRODUTO]])&amp;TRIM(TABELA2567[[#This Row],[COR]])</f>
        <v>52.09.00326027</v>
      </c>
      <c r="B264" s="17" t="s">
        <v>630</v>
      </c>
      <c r="C264" s="18" t="s">
        <v>631</v>
      </c>
      <c r="D264" s="18" t="s">
        <v>634</v>
      </c>
      <c r="E264" s="18" t="s">
        <v>635</v>
      </c>
      <c r="F264" s="19">
        <v>243.7</v>
      </c>
      <c r="G264" s="18" t="s">
        <v>56</v>
      </c>
      <c r="H264" s="18"/>
      <c r="I264" s="18"/>
      <c r="J264" s="18"/>
      <c r="K264" s="18"/>
      <c r="L264" s="18"/>
      <c r="M264" s="18"/>
      <c r="N264" s="18"/>
      <c r="O264" s="18">
        <f>SUM(TABELA2567[[#This Row],[T1]:[T7]])</f>
        <v>0</v>
      </c>
      <c r="P264" s="20">
        <f>TABELA2567[[#This Row],[QTDE]]*TABELA2567[[#This Row],[PREÇO]]</f>
        <v>0</v>
      </c>
      <c r="Q264" s="38">
        <f>VLOOKUP($A:$A,[1]Planilha1!$B:$L,7,0)</f>
        <v>658</v>
      </c>
      <c r="R264" s="38">
        <f>VLOOKUP($A:$A,[1]Planilha1!$B:$L,8,0)</f>
        <v>299.08999999999997</v>
      </c>
      <c r="S264" s="37">
        <f>TABELA2567[[#This Row],[PREÇO]]/TABELA2567[[#This Row],[Coluna1]]-1</f>
        <v>-0.62963525835866263</v>
      </c>
      <c r="T264" s="37">
        <f>TABELA2567[[#This Row],[PREÇO]]/TABELA2567[[#This Row],[Coluna2]]-1</f>
        <v>-0.18519509177839444</v>
      </c>
    </row>
    <row r="265" spans="1:20" x14ac:dyDescent="0.2">
      <c r="A265" s="1" t="str">
        <f>TRIM(TABELA2567[[#This Row],[PRODUTO]])&amp;TRIM(TABELA2567[[#This Row],[COR]])</f>
        <v>52.10.40480005</v>
      </c>
      <c r="B265" s="17" t="s">
        <v>636</v>
      </c>
      <c r="C265" s="18" t="s">
        <v>637</v>
      </c>
      <c r="D265" s="18" t="s">
        <v>32</v>
      </c>
      <c r="E265" s="18" t="s">
        <v>33</v>
      </c>
      <c r="F265" s="19">
        <v>295.56</v>
      </c>
      <c r="G265" s="18" t="s">
        <v>638</v>
      </c>
      <c r="H265" s="18"/>
      <c r="I265" s="18"/>
      <c r="J265" s="18"/>
      <c r="K265" s="18"/>
      <c r="L265" s="18"/>
      <c r="M265" s="18"/>
      <c r="N265" s="18"/>
      <c r="O265" s="18">
        <f>SUM(TABELA2567[[#This Row],[T1]:[T7]])</f>
        <v>0</v>
      </c>
      <c r="P265" s="20">
        <f>TABELA2567[[#This Row],[QTDE]]*TABELA2567[[#This Row],[PREÇO]]</f>
        <v>0</v>
      </c>
      <c r="Q265" s="38">
        <f>VLOOKUP($A:$A,[1]Planilha1!$B:$L,7,0)</f>
        <v>798</v>
      </c>
      <c r="R265" s="38">
        <f>VLOOKUP($A:$A,[1]Planilha1!$B:$L,8,0)</f>
        <v>362.73</v>
      </c>
      <c r="S265" s="37">
        <f>TABELA2567[[#This Row],[PREÇO]]/TABELA2567[[#This Row],[Coluna1]]-1</f>
        <v>-0.62962406015037597</v>
      </c>
      <c r="T265" s="37">
        <f>TABELA2567[[#This Row],[PREÇO]]/TABELA2567[[#This Row],[Coluna2]]-1</f>
        <v>-0.18517905880406915</v>
      </c>
    </row>
    <row r="266" spans="1:20" x14ac:dyDescent="0.2">
      <c r="A266" s="1" t="str">
        <f>TRIM(TABELA2567[[#This Row],[PRODUTO]])&amp;TRIM(TABELA2567[[#This Row],[COR]])</f>
        <v>52.10.416321042</v>
      </c>
      <c r="B266" s="17" t="s">
        <v>639</v>
      </c>
      <c r="C266" s="18" t="s">
        <v>640</v>
      </c>
      <c r="D266" s="18" t="s">
        <v>235</v>
      </c>
      <c r="E266" s="18" t="s">
        <v>236</v>
      </c>
      <c r="F266" s="19">
        <v>147.41</v>
      </c>
      <c r="G266" s="18" t="s">
        <v>31</v>
      </c>
      <c r="H266" s="18"/>
      <c r="I266" s="18"/>
      <c r="J266" s="18"/>
      <c r="K266" s="18"/>
      <c r="L266" s="18"/>
      <c r="M266" s="18"/>
      <c r="N266" s="18"/>
      <c r="O266" s="18">
        <f>SUM(TABELA2567[[#This Row],[T1]:[T7]])</f>
        <v>0</v>
      </c>
      <c r="P266" s="20">
        <f>TABELA2567[[#This Row],[QTDE]]*TABELA2567[[#This Row],[PREÇO]]</f>
        <v>0</v>
      </c>
      <c r="Q266" s="38">
        <f>VLOOKUP($A:$A,[1]Planilha1!$B:$L,7,0)</f>
        <v>398</v>
      </c>
      <c r="R266" s="38">
        <f>VLOOKUP($A:$A,[1]Planilha1!$B:$L,8,0)</f>
        <v>180.91</v>
      </c>
      <c r="S266" s="37">
        <f>TABELA2567[[#This Row],[PREÇO]]/TABELA2567[[#This Row],[Coluna1]]-1</f>
        <v>-0.62962311557788952</v>
      </c>
      <c r="T266" s="37">
        <f>TABELA2567[[#This Row],[PREÇO]]/TABELA2567[[#This Row],[Coluna2]]-1</f>
        <v>-0.18517494886960373</v>
      </c>
    </row>
    <row r="267" spans="1:20" x14ac:dyDescent="0.2">
      <c r="A267" s="1" t="str">
        <f>TRIM(TABELA2567[[#This Row],[PRODUTO]])&amp;TRIM(TABELA2567[[#This Row],[COR]])</f>
        <v>52.10.417121060</v>
      </c>
      <c r="B267" s="17" t="s">
        <v>641</v>
      </c>
      <c r="C267" s="18" t="s">
        <v>642</v>
      </c>
      <c r="D267" s="18" t="s">
        <v>185</v>
      </c>
      <c r="E267" s="18" t="s">
        <v>643</v>
      </c>
      <c r="F267" s="19">
        <v>73.33</v>
      </c>
      <c r="G267" s="18" t="s">
        <v>31</v>
      </c>
      <c r="H267" s="18"/>
      <c r="I267" s="18"/>
      <c r="J267" s="18"/>
      <c r="K267" s="18"/>
      <c r="L267" s="18"/>
      <c r="M267" s="18"/>
      <c r="N267" s="18"/>
      <c r="O267" s="18">
        <f>SUM(TABELA2567[[#This Row],[T1]:[T7]])</f>
        <v>0</v>
      </c>
      <c r="P267" s="20">
        <f>TABELA2567[[#This Row],[QTDE]]*TABELA2567[[#This Row],[PREÇO]]</f>
        <v>0</v>
      </c>
      <c r="Q267" s="38">
        <f>VLOOKUP($A:$A,[1]Planilha1!$B:$L,7,0)</f>
        <v>198</v>
      </c>
      <c r="R267" s="38">
        <f>VLOOKUP($A:$A,[1]Planilha1!$B:$L,8,0)</f>
        <v>90</v>
      </c>
      <c r="S267" s="37">
        <f>TABELA2567[[#This Row],[PREÇO]]/TABELA2567[[#This Row],[Coluna1]]-1</f>
        <v>-0.62964646464646468</v>
      </c>
      <c r="T267" s="37">
        <f>TABELA2567[[#This Row],[PREÇO]]/TABELA2567[[#This Row],[Coluna2]]-1</f>
        <v>-0.18522222222222229</v>
      </c>
    </row>
    <row r="268" spans="1:20" x14ac:dyDescent="0.2">
      <c r="A268" s="1" t="str">
        <f>TRIM(TABELA2567[[#This Row],[PRODUTO]])&amp;TRIM(TABELA2567[[#This Row],[COR]])</f>
        <v>52.10.417421015</v>
      </c>
      <c r="B268" s="17" t="s">
        <v>644</v>
      </c>
      <c r="C268" s="18" t="s">
        <v>645</v>
      </c>
      <c r="D268" s="18" t="s">
        <v>142</v>
      </c>
      <c r="E268" s="18" t="s">
        <v>143</v>
      </c>
      <c r="F268" s="19">
        <v>258.52</v>
      </c>
      <c r="G268" s="18" t="s">
        <v>31</v>
      </c>
      <c r="H268" s="18"/>
      <c r="I268" s="18"/>
      <c r="J268" s="18"/>
      <c r="K268" s="18"/>
      <c r="L268" s="18"/>
      <c r="M268" s="18"/>
      <c r="N268" s="18"/>
      <c r="O268" s="18">
        <f>SUM(TABELA2567[[#This Row],[T1]:[T7]])</f>
        <v>0</v>
      </c>
      <c r="P268" s="20">
        <f>TABELA2567[[#This Row],[QTDE]]*TABELA2567[[#This Row],[PREÇO]]</f>
        <v>0</v>
      </c>
      <c r="Q268" s="38">
        <f>VLOOKUP($A:$A,[1]Planilha1!$B:$L,7,0)</f>
        <v>698</v>
      </c>
      <c r="R268" s="38">
        <f>VLOOKUP($A:$A,[1]Planilha1!$B:$L,8,0)</f>
        <v>317.27</v>
      </c>
      <c r="S268" s="37">
        <f>TABELA2567[[#This Row],[PREÇO]]/TABELA2567[[#This Row],[Coluna1]]-1</f>
        <v>-0.62962750716332383</v>
      </c>
      <c r="T268" s="37">
        <f>TABELA2567[[#This Row],[PREÇO]]/TABELA2567[[#This Row],[Coluna2]]-1</f>
        <v>-0.18517351152015638</v>
      </c>
    </row>
    <row r="269" spans="1:20" x14ac:dyDescent="0.2">
      <c r="A269" s="1" t="str">
        <f>TRIM(TABELA2567[[#This Row],[PRODUTO]])&amp;TRIM(TABELA2567[[#This Row],[COR]])</f>
        <v>52.10.417721104</v>
      </c>
      <c r="B269" s="17" t="s">
        <v>646</v>
      </c>
      <c r="C269" s="18" t="s">
        <v>647</v>
      </c>
      <c r="D269" s="18" t="s">
        <v>163</v>
      </c>
      <c r="E269" s="18" t="s">
        <v>164</v>
      </c>
      <c r="F269" s="19">
        <v>169.63</v>
      </c>
      <c r="G269" s="18" t="s">
        <v>41</v>
      </c>
      <c r="H269" s="18"/>
      <c r="I269" s="18"/>
      <c r="J269" s="18"/>
      <c r="K269" s="18"/>
      <c r="L269" s="18"/>
      <c r="M269" s="18"/>
      <c r="N269" s="18"/>
      <c r="O269" s="18">
        <f>SUM(TABELA2567[[#This Row],[T1]:[T7]])</f>
        <v>0</v>
      </c>
      <c r="P269" s="20">
        <f>TABELA2567[[#This Row],[QTDE]]*TABELA2567[[#This Row],[PREÇO]]</f>
        <v>0</v>
      </c>
      <c r="Q269" s="38">
        <f>VLOOKUP($A:$A,[1]Planilha1!$B:$L,7,0)</f>
        <v>458</v>
      </c>
      <c r="R269" s="38">
        <f>VLOOKUP($A:$A,[1]Planilha1!$B:$L,8,0)</f>
        <v>208.18</v>
      </c>
      <c r="S269" s="37">
        <f>TABELA2567[[#This Row],[PREÇO]]/TABELA2567[[#This Row],[Coluna1]]-1</f>
        <v>-0.62962882096069872</v>
      </c>
      <c r="T269" s="37">
        <f>TABELA2567[[#This Row],[PREÇO]]/TABELA2567[[#This Row],[Coluna2]]-1</f>
        <v>-0.18517628974925548</v>
      </c>
    </row>
    <row r="270" spans="1:20" x14ac:dyDescent="0.2">
      <c r="A270" s="1" t="str">
        <f>TRIM(TABELA2567[[#This Row],[PRODUTO]])&amp;TRIM(TABELA2567[[#This Row],[COR]])</f>
        <v>52.13.351921048</v>
      </c>
      <c r="B270" s="17" t="s">
        <v>648</v>
      </c>
      <c r="C270" s="18" t="s">
        <v>649</v>
      </c>
      <c r="D270" s="18" t="s">
        <v>159</v>
      </c>
      <c r="E270" s="18" t="s">
        <v>160</v>
      </c>
      <c r="F270" s="19">
        <v>147.41</v>
      </c>
      <c r="G270" s="18" t="s">
        <v>31</v>
      </c>
      <c r="H270" s="18"/>
      <c r="I270" s="18"/>
      <c r="J270" s="18"/>
      <c r="K270" s="18"/>
      <c r="L270" s="18"/>
      <c r="M270" s="18"/>
      <c r="N270" s="18"/>
      <c r="O270" s="18">
        <f>SUM(TABELA2567[[#This Row],[T1]:[T7]])</f>
        <v>0</v>
      </c>
      <c r="P270" s="20">
        <f>TABELA2567[[#This Row],[QTDE]]*TABELA2567[[#This Row],[PREÇO]]</f>
        <v>0</v>
      </c>
      <c r="Q270" s="38">
        <f>VLOOKUP($A:$A,[1]Planilha1!$B:$L,7,0)</f>
        <v>398</v>
      </c>
      <c r="R270" s="38">
        <f>VLOOKUP($A:$A,[1]Planilha1!$B:$L,8,0)</f>
        <v>180.91</v>
      </c>
      <c r="S270" s="37">
        <f>TABELA2567[[#This Row],[PREÇO]]/TABELA2567[[#This Row],[Coluna1]]-1</f>
        <v>-0.62962311557788952</v>
      </c>
      <c r="T270" s="37">
        <f>TABELA2567[[#This Row],[PREÇO]]/TABELA2567[[#This Row],[Coluna2]]-1</f>
        <v>-0.18517494886960373</v>
      </c>
    </row>
    <row r="271" spans="1:20" x14ac:dyDescent="0.2">
      <c r="A271" s="1" t="str">
        <f>TRIM(TABELA2567[[#This Row],[PRODUTO]])&amp;TRIM(TABELA2567[[#This Row],[COR]])</f>
        <v>52.13.352621096</v>
      </c>
      <c r="B271" s="17" t="s">
        <v>650</v>
      </c>
      <c r="C271" s="18" t="s">
        <v>651</v>
      </c>
      <c r="D271" s="18" t="s">
        <v>123</v>
      </c>
      <c r="E271" s="18" t="s">
        <v>124</v>
      </c>
      <c r="F271" s="19">
        <v>147.41</v>
      </c>
      <c r="G271" s="18" t="s">
        <v>31</v>
      </c>
      <c r="H271" s="18"/>
      <c r="I271" s="18"/>
      <c r="J271" s="18"/>
      <c r="K271" s="18"/>
      <c r="L271" s="18"/>
      <c r="M271" s="18"/>
      <c r="N271" s="18"/>
      <c r="O271" s="18">
        <f>SUM(TABELA2567[[#This Row],[T1]:[T7]])</f>
        <v>0</v>
      </c>
      <c r="P271" s="20">
        <f>TABELA2567[[#This Row],[QTDE]]*TABELA2567[[#This Row],[PREÇO]]</f>
        <v>0</v>
      </c>
      <c r="Q271" s="38">
        <f>VLOOKUP($A:$A,[1]Planilha1!$B:$L,7,0)</f>
        <v>398</v>
      </c>
      <c r="R271" s="38">
        <f>VLOOKUP($A:$A,[1]Planilha1!$B:$L,8,0)</f>
        <v>180.91</v>
      </c>
      <c r="S271" s="37">
        <f>TABELA2567[[#This Row],[PREÇO]]/TABELA2567[[#This Row],[Coluna1]]-1</f>
        <v>-0.62962311557788952</v>
      </c>
      <c r="T271" s="37">
        <f>TABELA2567[[#This Row],[PREÇO]]/TABELA2567[[#This Row],[Coluna2]]-1</f>
        <v>-0.18517494886960373</v>
      </c>
    </row>
    <row r="272" spans="1:20" x14ac:dyDescent="0.2">
      <c r="A272" s="1" t="str">
        <f>TRIM(TABELA2567[[#This Row],[PRODUTO]])&amp;TRIM(TABELA2567[[#This Row],[COR]])</f>
        <v>52.13.352721046</v>
      </c>
      <c r="B272" s="17" t="s">
        <v>652</v>
      </c>
      <c r="C272" s="18" t="s">
        <v>653</v>
      </c>
      <c r="D272" s="18" t="s">
        <v>243</v>
      </c>
      <c r="E272" s="18" t="s">
        <v>244</v>
      </c>
      <c r="F272" s="19">
        <v>169.63</v>
      </c>
      <c r="G272" s="18" t="s">
        <v>31</v>
      </c>
      <c r="H272" s="18"/>
      <c r="I272" s="18"/>
      <c r="J272" s="18"/>
      <c r="K272" s="18"/>
      <c r="L272" s="18"/>
      <c r="M272" s="18"/>
      <c r="N272" s="18"/>
      <c r="O272" s="18">
        <f>SUM(TABELA2567[[#This Row],[T1]:[T7]])</f>
        <v>0</v>
      </c>
      <c r="P272" s="20">
        <f>TABELA2567[[#This Row],[QTDE]]*TABELA2567[[#This Row],[PREÇO]]</f>
        <v>0</v>
      </c>
      <c r="Q272" s="38">
        <f>VLOOKUP($A:$A,[1]Planilha1!$B:$L,7,0)</f>
        <v>458</v>
      </c>
      <c r="R272" s="38">
        <f>VLOOKUP($A:$A,[1]Planilha1!$B:$L,8,0)</f>
        <v>208.18</v>
      </c>
      <c r="S272" s="37">
        <f>TABELA2567[[#This Row],[PREÇO]]/TABELA2567[[#This Row],[Coluna1]]-1</f>
        <v>-0.62962882096069872</v>
      </c>
      <c r="T272" s="37">
        <f>TABELA2567[[#This Row],[PREÇO]]/TABELA2567[[#This Row],[Coluna2]]-1</f>
        <v>-0.18517628974925548</v>
      </c>
    </row>
    <row r="273" spans="1:20" x14ac:dyDescent="0.2">
      <c r="A273" s="1" t="str">
        <f>TRIM(TABELA2567[[#This Row],[PRODUTO]])&amp;TRIM(TABELA2567[[#This Row],[COR]])</f>
        <v>52.13.353121015</v>
      </c>
      <c r="B273" s="17" t="s">
        <v>654</v>
      </c>
      <c r="C273" s="18" t="s">
        <v>655</v>
      </c>
      <c r="D273" s="18" t="s">
        <v>142</v>
      </c>
      <c r="E273" s="18" t="s">
        <v>143</v>
      </c>
      <c r="F273" s="19">
        <v>184.44</v>
      </c>
      <c r="G273" s="18" t="s">
        <v>31</v>
      </c>
      <c r="H273" s="18"/>
      <c r="I273" s="18"/>
      <c r="J273" s="18"/>
      <c r="K273" s="18"/>
      <c r="L273" s="18"/>
      <c r="M273" s="18"/>
      <c r="N273" s="18"/>
      <c r="O273" s="18">
        <f>SUM(TABELA2567[[#This Row],[T1]:[T7]])</f>
        <v>0</v>
      </c>
      <c r="P273" s="20">
        <f>TABELA2567[[#This Row],[QTDE]]*TABELA2567[[#This Row],[PREÇO]]</f>
        <v>0</v>
      </c>
      <c r="Q273" s="38">
        <f>VLOOKUP($A:$A,[1]Planilha1!$B:$L,7,0)</f>
        <v>498</v>
      </c>
      <c r="R273" s="38">
        <f>VLOOKUP($A:$A,[1]Planilha1!$B:$L,8,0)</f>
        <v>226.36</v>
      </c>
      <c r="S273" s="37">
        <f>TABELA2567[[#This Row],[PREÇO]]/TABELA2567[[#This Row],[Coluna1]]-1</f>
        <v>-0.62963855421686743</v>
      </c>
      <c r="T273" s="37">
        <f>TABELA2567[[#This Row],[PREÇO]]/TABELA2567[[#This Row],[Coluna2]]-1</f>
        <v>-0.18519172998763034</v>
      </c>
    </row>
    <row r="274" spans="1:20" x14ac:dyDescent="0.2">
      <c r="A274" s="1" t="str">
        <f>TRIM(TABELA2567[[#This Row],[PRODUTO]])&amp;TRIM(TABELA2567[[#This Row],[COR]])</f>
        <v>52.13.353321102</v>
      </c>
      <c r="B274" s="17" t="s">
        <v>656</v>
      </c>
      <c r="C274" s="18" t="s">
        <v>657</v>
      </c>
      <c r="D274" s="18" t="s">
        <v>249</v>
      </c>
      <c r="E274" s="18" t="s">
        <v>250</v>
      </c>
      <c r="F274" s="19">
        <v>147.41</v>
      </c>
      <c r="G274" s="18" t="s">
        <v>31</v>
      </c>
      <c r="H274" s="18"/>
      <c r="I274" s="18"/>
      <c r="J274" s="18"/>
      <c r="K274" s="18"/>
      <c r="L274" s="18"/>
      <c r="M274" s="18"/>
      <c r="N274" s="18"/>
      <c r="O274" s="18">
        <f>SUM(TABELA2567[[#This Row],[T1]:[T7]])</f>
        <v>0</v>
      </c>
      <c r="P274" s="20">
        <f>TABELA2567[[#This Row],[QTDE]]*TABELA2567[[#This Row],[PREÇO]]</f>
        <v>0</v>
      </c>
      <c r="Q274" s="38">
        <f>VLOOKUP($A:$A,[1]Planilha1!$B:$L,7,0)</f>
        <v>398</v>
      </c>
      <c r="R274" s="38">
        <f>VLOOKUP($A:$A,[1]Planilha1!$B:$L,8,0)</f>
        <v>180.91</v>
      </c>
      <c r="S274" s="37">
        <f>TABELA2567[[#This Row],[PREÇO]]/TABELA2567[[#This Row],[Coluna1]]-1</f>
        <v>-0.62962311557788952</v>
      </c>
      <c r="T274" s="37">
        <f>TABELA2567[[#This Row],[PREÇO]]/TABELA2567[[#This Row],[Coluna2]]-1</f>
        <v>-0.18517494886960373</v>
      </c>
    </row>
    <row r="275" spans="1:20" x14ac:dyDescent="0.2">
      <c r="A275" s="1" t="str">
        <f>TRIM(TABELA2567[[#This Row],[PRODUTO]])&amp;TRIM(TABELA2567[[#This Row],[COR]])</f>
        <v>52.13.353621361</v>
      </c>
      <c r="B275" s="17" t="s">
        <v>658</v>
      </c>
      <c r="C275" s="18" t="s">
        <v>659</v>
      </c>
      <c r="D275" s="18" t="s">
        <v>307</v>
      </c>
      <c r="E275" s="18" t="s">
        <v>308</v>
      </c>
      <c r="F275" s="19">
        <v>221.48</v>
      </c>
      <c r="G275" s="18" t="s">
        <v>31</v>
      </c>
      <c r="H275" s="18"/>
      <c r="I275" s="18"/>
      <c r="J275" s="18"/>
      <c r="K275" s="18"/>
      <c r="L275" s="18"/>
      <c r="M275" s="18"/>
      <c r="N275" s="18"/>
      <c r="O275" s="18">
        <f>SUM(TABELA2567[[#This Row],[T1]:[T7]])</f>
        <v>0</v>
      </c>
      <c r="P275" s="20">
        <f>TABELA2567[[#This Row],[QTDE]]*TABELA2567[[#This Row],[PREÇO]]</f>
        <v>0</v>
      </c>
      <c r="Q275" s="38">
        <f>VLOOKUP($A:$A,[1]Planilha1!$B:$L,7,0)</f>
        <v>598</v>
      </c>
      <c r="R275" s="38">
        <f>VLOOKUP($A:$A,[1]Planilha1!$B:$L,8,0)</f>
        <v>271.82</v>
      </c>
      <c r="S275" s="37">
        <f>TABELA2567[[#This Row],[PREÇO]]/TABELA2567[[#This Row],[Coluna1]]-1</f>
        <v>-0.62963210702341144</v>
      </c>
      <c r="T275" s="37">
        <f>TABELA2567[[#This Row],[PREÇO]]/TABELA2567[[#This Row],[Coluna2]]-1</f>
        <v>-0.18519608564491208</v>
      </c>
    </row>
    <row r="276" spans="1:20" x14ac:dyDescent="0.2">
      <c r="A276" s="1" t="str">
        <f>TRIM(TABELA2567[[#This Row],[PRODUTO]])&amp;TRIM(TABELA2567[[#This Row],[COR]])</f>
        <v>52.13.353721103</v>
      </c>
      <c r="B276" s="17" t="s">
        <v>660</v>
      </c>
      <c r="C276" s="18" t="s">
        <v>661</v>
      </c>
      <c r="D276" s="18" t="s">
        <v>295</v>
      </c>
      <c r="E276" s="18" t="s">
        <v>296</v>
      </c>
      <c r="F276" s="19">
        <v>258.52</v>
      </c>
      <c r="G276" s="18" t="s">
        <v>31</v>
      </c>
      <c r="H276" s="18"/>
      <c r="I276" s="18"/>
      <c r="J276" s="18"/>
      <c r="K276" s="18"/>
      <c r="L276" s="18"/>
      <c r="M276" s="18"/>
      <c r="N276" s="18"/>
      <c r="O276" s="18">
        <f>SUM(TABELA2567[[#This Row],[T1]:[T7]])</f>
        <v>0</v>
      </c>
      <c r="P276" s="20">
        <f>TABELA2567[[#This Row],[QTDE]]*TABELA2567[[#This Row],[PREÇO]]</f>
        <v>0</v>
      </c>
      <c r="Q276" s="38">
        <f>VLOOKUP($A:$A,[1]Planilha1!$B:$L,7,0)</f>
        <v>698</v>
      </c>
      <c r="R276" s="38">
        <f>VLOOKUP($A:$A,[1]Planilha1!$B:$L,8,0)</f>
        <v>317.27</v>
      </c>
      <c r="S276" s="37">
        <f>TABELA2567[[#This Row],[PREÇO]]/TABELA2567[[#This Row],[Coluna1]]-1</f>
        <v>-0.62962750716332383</v>
      </c>
      <c r="T276" s="37">
        <f>TABELA2567[[#This Row],[PREÇO]]/TABELA2567[[#This Row],[Coluna2]]-1</f>
        <v>-0.18517351152015638</v>
      </c>
    </row>
    <row r="277" spans="1:20" x14ac:dyDescent="0.2">
      <c r="A277" s="1" t="str">
        <f>TRIM(TABELA2567[[#This Row],[PRODUTO]])&amp;TRIM(TABELA2567[[#This Row],[COR]])</f>
        <v>52.13.354521104</v>
      </c>
      <c r="B277" s="17" t="s">
        <v>662</v>
      </c>
      <c r="C277" s="18" t="s">
        <v>663</v>
      </c>
      <c r="D277" s="18" t="s">
        <v>163</v>
      </c>
      <c r="E277" s="18" t="s">
        <v>164</v>
      </c>
      <c r="F277" s="19">
        <v>221.48</v>
      </c>
      <c r="G277" s="18" t="s">
        <v>31</v>
      </c>
      <c r="H277" s="18"/>
      <c r="I277" s="18"/>
      <c r="J277" s="18"/>
      <c r="K277" s="18"/>
      <c r="L277" s="18"/>
      <c r="M277" s="18"/>
      <c r="N277" s="18"/>
      <c r="O277" s="18">
        <f>SUM(TABELA2567[[#This Row],[T1]:[T7]])</f>
        <v>0</v>
      </c>
      <c r="P277" s="20">
        <f>TABELA2567[[#This Row],[QTDE]]*TABELA2567[[#This Row],[PREÇO]]</f>
        <v>0</v>
      </c>
      <c r="Q277" s="38">
        <f>VLOOKUP($A:$A,[1]Planilha1!$B:$L,7,0)</f>
        <v>598</v>
      </c>
      <c r="R277" s="38">
        <f>VLOOKUP($A:$A,[1]Planilha1!$B:$L,8,0)</f>
        <v>271.82</v>
      </c>
      <c r="S277" s="37">
        <f>TABELA2567[[#This Row],[PREÇO]]/TABELA2567[[#This Row],[Coluna1]]-1</f>
        <v>-0.62963210702341144</v>
      </c>
      <c r="T277" s="37">
        <f>TABELA2567[[#This Row],[PREÇO]]/TABELA2567[[#This Row],[Coluna2]]-1</f>
        <v>-0.18519608564491208</v>
      </c>
    </row>
    <row r="278" spans="1:20" x14ac:dyDescent="0.2">
      <c r="A278" s="1" t="str">
        <f>TRIM(TABELA2567[[#This Row],[PRODUTO]])&amp;TRIM(TABELA2567[[#This Row],[COR]])</f>
        <v>52.13.355721103</v>
      </c>
      <c r="B278" s="17" t="s">
        <v>664</v>
      </c>
      <c r="C278" s="18" t="s">
        <v>665</v>
      </c>
      <c r="D278" s="18" t="s">
        <v>295</v>
      </c>
      <c r="E278" s="18" t="s">
        <v>296</v>
      </c>
      <c r="F278" s="19">
        <v>184.44</v>
      </c>
      <c r="G278" s="18" t="s">
        <v>31</v>
      </c>
      <c r="H278" s="18"/>
      <c r="I278" s="18"/>
      <c r="J278" s="18"/>
      <c r="K278" s="18"/>
      <c r="L278" s="18"/>
      <c r="M278" s="18"/>
      <c r="N278" s="18"/>
      <c r="O278" s="18">
        <f>SUM(TABELA2567[[#This Row],[T1]:[T7]])</f>
        <v>0</v>
      </c>
      <c r="P278" s="20">
        <f>TABELA2567[[#This Row],[QTDE]]*TABELA2567[[#This Row],[PREÇO]]</f>
        <v>0</v>
      </c>
      <c r="Q278" s="38">
        <f>VLOOKUP($A:$A,[1]Planilha1!$B:$L,7,0)</f>
        <v>498</v>
      </c>
      <c r="R278" s="38">
        <f>VLOOKUP($A:$A,[1]Planilha1!$B:$L,8,0)</f>
        <v>226.36</v>
      </c>
      <c r="S278" s="37">
        <f>TABELA2567[[#This Row],[PREÇO]]/TABELA2567[[#This Row],[Coluna1]]-1</f>
        <v>-0.62963855421686743</v>
      </c>
      <c r="T278" s="37">
        <f>TABELA2567[[#This Row],[PREÇO]]/TABELA2567[[#This Row],[Coluna2]]-1</f>
        <v>-0.18519172998763034</v>
      </c>
    </row>
    <row r="279" spans="1:20" x14ac:dyDescent="0.2">
      <c r="A279" s="1" t="str">
        <f>TRIM(TABELA2567[[#This Row],[PRODUTO]])&amp;TRIM(TABELA2567[[#This Row],[COR]])</f>
        <v>52.39.016121361</v>
      </c>
      <c r="B279" s="17" t="s">
        <v>666</v>
      </c>
      <c r="C279" s="18" t="s">
        <v>667</v>
      </c>
      <c r="D279" s="18" t="s">
        <v>307</v>
      </c>
      <c r="E279" s="18" t="s">
        <v>308</v>
      </c>
      <c r="F279" s="19">
        <v>221.48</v>
      </c>
      <c r="G279" s="18" t="s">
        <v>31</v>
      </c>
      <c r="H279" s="18"/>
      <c r="I279" s="18"/>
      <c r="J279" s="18"/>
      <c r="K279" s="18"/>
      <c r="L279" s="18"/>
      <c r="M279" s="18"/>
      <c r="N279" s="18"/>
      <c r="O279" s="18">
        <f>SUM(TABELA2567[[#This Row],[T1]:[T7]])</f>
        <v>0</v>
      </c>
      <c r="P279" s="20">
        <f>TABELA2567[[#This Row],[QTDE]]*TABELA2567[[#This Row],[PREÇO]]</f>
        <v>0</v>
      </c>
      <c r="Q279" s="38">
        <f>VLOOKUP($A:$A,[1]Planilha1!$B:$L,7,0)</f>
        <v>598</v>
      </c>
      <c r="R279" s="38">
        <f>VLOOKUP($A:$A,[1]Planilha1!$B:$L,8,0)</f>
        <v>271.82</v>
      </c>
      <c r="S279" s="37">
        <f>TABELA2567[[#This Row],[PREÇO]]/TABELA2567[[#This Row],[Coluna1]]-1</f>
        <v>-0.62963210702341144</v>
      </c>
      <c r="T279" s="37">
        <f>TABELA2567[[#This Row],[PREÇO]]/TABELA2567[[#This Row],[Coluna2]]-1</f>
        <v>-0.18519608564491208</v>
      </c>
    </row>
    <row r="280" spans="1:20" x14ac:dyDescent="0.2">
      <c r="A280" s="1" t="str">
        <f>TRIM(TABELA2567[[#This Row],[PRODUTO]])&amp;TRIM(TABELA2567[[#This Row],[COR]])</f>
        <v>52.39.016221102</v>
      </c>
      <c r="B280" s="17" t="s">
        <v>668</v>
      </c>
      <c r="C280" s="18" t="s">
        <v>669</v>
      </c>
      <c r="D280" s="18" t="s">
        <v>249</v>
      </c>
      <c r="E280" s="18" t="s">
        <v>250</v>
      </c>
      <c r="F280" s="19">
        <v>221.48</v>
      </c>
      <c r="G280" s="18" t="s">
        <v>31</v>
      </c>
      <c r="H280" s="18"/>
      <c r="I280" s="18"/>
      <c r="J280" s="18"/>
      <c r="K280" s="18"/>
      <c r="L280" s="18"/>
      <c r="M280" s="18"/>
      <c r="N280" s="18"/>
      <c r="O280" s="18">
        <f>SUM(TABELA2567[[#This Row],[T1]:[T7]])</f>
        <v>0</v>
      </c>
      <c r="P280" s="20">
        <f>TABELA2567[[#This Row],[QTDE]]*TABELA2567[[#This Row],[PREÇO]]</f>
        <v>0</v>
      </c>
      <c r="Q280" s="38">
        <f>VLOOKUP($A:$A,[1]Planilha1!$B:$L,7,0)</f>
        <v>598</v>
      </c>
      <c r="R280" s="38">
        <f>VLOOKUP($A:$A,[1]Planilha1!$B:$L,8,0)</f>
        <v>271.82</v>
      </c>
      <c r="S280" s="37">
        <f>TABELA2567[[#This Row],[PREÇO]]/TABELA2567[[#This Row],[Coluna1]]-1</f>
        <v>-0.62963210702341144</v>
      </c>
      <c r="T280" s="37">
        <f>TABELA2567[[#This Row],[PREÇO]]/TABELA2567[[#This Row],[Coluna2]]-1</f>
        <v>-0.18519608564491208</v>
      </c>
    </row>
    <row r="281" spans="1:20" x14ac:dyDescent="0.2">
      <c r="A281" s="1" t="str">
        <f>TRIM(TABELA2567[[#This Row],[PRODUTO]])&amp;TRIM(TABELA2567[[#This Row],[COR]])</f>
        <v>59.08.00080002</v>
      </c>
      <c r="B281" s="17" t="s">
        <v>670</v>
      </c>
      <c r="C281" s="18" t="s">
        <v>671</v>
      </c>
      <c r="D281" s="18" t="s">
        <v>44</v>
      </c>
      <c r="E281" s="18" t="s">
        <v>45</v>
      </c>
      <c r="F281" s="19">
        <v>110.37</v>
      </c>
      <c r="G281" s="18" t="s">
        <v>56</v>
      </c>
      <c r="H281" s="18"/>
      <c r="I281" s="18"/>
      <c r="J281" s="18"/>
      <c r="K281" s="18"/>
      <c r="L281" s="18"/>
      <c r="M281" s="18"/>
      <c r="N281" s="18"/>
      <c r="O281" s="18">
        <f>SUM(TABELA2567[[#This Row],[T1]:[T7]])</f>
        <v>0</v>
      </c>
      <c r="P281" s="20">
        <f>TABELA2567[[#This Row],[QTDE]]*TABELA2567[[#This Row],[PREÇO]]</f>
        <v>0</v>
      </c>
      <c r="Q281" s="38">
        <f>VLOOKUP($A:$A,[1]Planilha1!$B:$L,7,0)</f>
        <v>298</v>
      </c>
      <c r="R281" s="38">
        <f>VLOOKUP($A:$A,[1]Planilha1!$B:$L,8,0)</f>
        <v>135.44999999999999</v>
      </c>
      <c r="S281" s="37">
        <f>TABELA2567[[#This Row],[PREÇO]]/TABELA2567[[#This Row],[Coluna1]]-1</f>
        <v>-0.62963087248322147</v>
      </c>
      <c r="T281" s="37">
        <f>TABELA2567[[#This Row],[PREÇO]]/TABELA2567[[#This Row],[Coluna2]]-1</f>
        <v>-0.18516057585825019</v>
      </c>
    </row>
    <row r="282" spans="1:20" x14ac:dyDescent="0.2">
      <c r="A282" s="1" t="str">
        <f>TRIM(TABELA2567[[#This Row],[PRODUTO]])&amp;TRIM(TABELA2567[[#This Row],[COR]])</f>
        <v>59.11.01470005</v>
      </c>
      <c r="B282" s="17" t="s">
        <v>672</v>
      </c>
      <c r="C282" s="18" t="s">
        <v>673</v>
      </c>
      <c r="D282" s="18" t="s">
        <v>32</v>
      </c>
      <c r="E282" s="18" t="s">
        <v>674</v>
      </c>
      <c r="F282" s="19">
        <v>121.48</v>
      </c>
      <c r="G282" s="18" t="s">
        <v>56</v>
      </c>
      <c r="H282" s="18"/>
      <c r="I282" s="18"/>
      <c r="J282" s="18"/>
      <c r="K282" s="18"/>
      <c r="L282" s="18"/>
      <c r="M282" s="18"/>
      <c r="N282" s="18"/>
      <c r="O282" s="18">
        <f>SUM(TABELA2567[[#This Row],[T1]:[T7]])</f>
        <v>0</v>
      </c>
      <c r="P282" s="20">
        <f>TABELA2567[[#This Row],[QTDE]]*TABELA2567[[#This Row],[PREÇO]]</f>
        <v>0</v>
      </c>
      <c r="Q282" s="38">
        <f>VLOOKUP($A:$A,[1]Planilha1!$B:$L,7,0)</f>
        <v>328</v>
      </c>
      <c r="R282" s="38">
        <f>VLOOKUP($A:$A,[1]Planilha1!$B:$L,8,0)</f>
        <v>149.09</v>
      </c>
      <c r="S282" s="37">
        <f>TABELA2567[[#This Row],[PREÇO]]/TABELA2567[[#This Row],[Coluna1]]-1</f>
        <v>-0.62963414634146342</v>
      </c>
      <c r="T282" s="37">
        <f>TABELA2567[[#This Row],[PREÇO]]/TABELA2567[[#This Row],[Coluna2]]-1</f>
        <v>-0.18519015359849755</v>
      </c>
    </row>
    <row r="283" spans="1:20" x14ac:dyDescent="0.2">
      <c r="A283" s="1" t="str">
        <f>TRIM(TABELA2567[[#This Row],[PRODUTO]])&amp;TRIM(TABELA2567[[#This Row],[COR]])</f>
        <v>59.12.02710002</v>
      </c>
      <c r="B283" s="17" t="s">
        <v>675</v>
      </c>
      <c r="C283" s="18" t="s">
        <v>676</v>
      </c>
      <c r="D283" s="18" t="s">
        <v>44</v>
      </c>
      <c r="E283" s="18" t="s">
        <v>45</v>
      </c>
      <c r="F283" s="19">
        <v>80.739999999999995</v>
      </c>
      <c r="G283" s="18" t="s">
        <v>56</v>
      </c>
      <c r="H283" s="18"/>
      <c r="I283" s="18"/>
      <c r="J283" s="18"/>
      <c r="K283" s="18"/>
      <c r="L283" s="18"/>
      <c r="M283" s="18"/>
      <c r="N283" s="18"/>
      <c r="O283" s="18">
        <f>SUM(TABELA2567[[#This Row],[T1]:[T7]])</f>
        <v>0</v>
      </c>
      <c r="P283" s="20">
        <f>TABELA2567[[#This Row],[QTDE]]*TABELA2567[[#This Row],[PREÇO]]</f>
        <v>0</v>
      </c>
      <c r="Q283" s="38">
        <f>VLOOKUP($A:$A,[1]Planilha1!$B:$L,7,0)</f>
        <v>218</v>
      </c>
      <c r="R283" s="38">
        <f>VLOOKUP($A:$A,[1]Planilha1!$B:$L,8,0)</f>
        <v>99.09</v>
      </c>
      <c r="S283" s="37">
        <f>TABELA2567[[#This Row],[PREÇO]]/TABELA2567[[#This Row],[Coluna1]]-1</f>
        <v>-0.62963302752293582</v>
      </c>
      <c r="T283" s="37">
        <f>TABELA2567[[#This Row],[PREÇO]]/TABELA2567[[#This Row],[Coluna2]]-1</f>
        <v>-0.18518518518518523</v>
      </c>
    </row>
    <row r="284" spans="1:20" x14ac:dyDescent="0.2">
      <c r="A284" s="1" t="str">
        <f>TRIM(TABELA2567[[#This Row],[PRODUTO]])&amp;TRIM(TABELA2567[[#This Row],[COR]])</f>
        <v>59.12.02720002</v>
      </c>
      <c r="B284" s="17" t="s">
        <v>677</v>
      </c>
      <c r="C284" s="18" t="s">
        <v>678</v>
      </c>
      <c r="D284" s="18" t="s">
        <v>44</v>
      </c>
      <c r="E284" s="18" t="s">
        <v>45</v>
      </c>
      <c r="F284" s="19">
        <v>80.739999999999995</v>
      </c>
      <c r="G284" s="18" t="s">
        <v>56</v>
      </c>
      <c r="H284" s="18"/>
      <c r="I284" s="18"/>
      <c r="J284" s="18"/>
      <c r="K284" s="18"/>
      <c r="L284" s="18"/>
      <c r="M284" s="18"/>
      <c r="N284" s="18"/>
      <c r="O284" s="18">
        <f>SUM(TABELA2567[[#This Row],[T1]:[T7]])</f>
        <v>0</v>
      </c>
      <c r="P284" s="20">
        <f>TABELA2567[[#This Row],[QTDE]]*TABELA2567[[#This Row],[PREÇO]]</f>
        <v>0</v>
      </c>
      <c r="Q284" s="38">
        <f>VLOOKUP($A:$A,[1]Planilha1!$B:$L,7,0)</f>
        <v>218</v>
      </c>
      <c r="R284" s="38">
        <f>VLOOKUP($A:$A,[1]Planilha1!$B:$L,8,0)</f>
        <v>99.09</v>
      </c>
      <c r="S284" s="37">
        <f>TABELA2567[[#This Row],[PREÇO]]/TABELA2567[[#This Row],[Coluna1]]-1</f>
        <v>-0.62963302752293582</v>
      </c>
      <c r="T284" s="37">
        <f>TABELA2567[[#This Row],[PREÇO]]/TABELA2567[[#This Row],[Coluna2]]-1</f>
        <v>-0.18518518518518523</v>
      </c>
    </row>
    <row r="285" spans="1:20" x14ac:dyDescent="0.2">
      <c r="A285" s="1" t="str">
        <f>TRIM(TABELA2567[[#This Row],[PRODUTO]])&amp;TRIM(TABELA2567[[#This Row],[COR]])</f>
        <v>59.12.02731407</v>
      </c>
      <c r="B285" s="17" t="s">
        <v>679</v>
      </c>
      <c r="C285" s="18" t="s">
        <v>680</v>
      </c>
      <c r="D285" s="18" t="s">
        <v>72</v>
      </c>
      <c r="E285" s="18" t="s">
        <v>73</v>
      </c>
      <c r="F285" s="19">
        <v>80.739999999999995</v>
      </c>
      <c r="G285" s="18" t="s">
        <v>56</v>
      </c>
      <c r="H285" s="18"/>
      <c r="I285" s="18"/>
      <c r="J285" s="18"/>
      <c r="K285" s="18"/>
      <c r="L285" s="18"/>
      <c r="M285" s="18"/>
      <c r="N285" s="18"/>
      <c r="O285" s="18">
        <f>SUM(TABELA2567[[#This Row],[T1]:[T7]])</f>
        <v>0</v>
      </c>
      <c r="P285" s="20">
        <f>TABELA2567[[#This Row],[QTDE]]*TABELA2567[[#This Row],[PREÇO]]</f>
        <v>0</v>
      </c>
      <c r="Q285" s="38">
        <f>VLOOKUP($A:$A,[1]Planilha1!$B:$L,7,0)</f>
        <v>218</v>
      </c>
      <c r="R285" s="38">
        <f>VLOOKUP($A:$A,[1]Planilha1!$B:$L,8,0)</f>
        <v>99.09</v>
      </c>
      <c r="S285" s="37">
        <f>TABELA2567[[#This Row],[PREÇO]]/TABELA2567[[#This Row],[Coluna1]]-1</f>
        <v>-0.62963302752293582</v>
      </c>
      <c r="T285" s="37">
        <f>TABELA2567[[#This Row],[PREÇO]]/TABELA2567[[#This Row],[Coluna2]]-1</f>
        <v>-0.18518518518518523</v>
      </c>
    </row>
    <row r="286" spans="1:20" x14ac:dyDescent="0.2">
      <c r="A286" s="1" t="str">
        <f>TRIM(TABELA2567[[#This Row],[PRODUTO]])&amp;TRIM(TABELA2567[[#This Row],[COR]])</f>
        <v>59.12.02781407</v>
      </c>
      <c r="B286" s="17" t="s">
        <v>681</v>
      </c>
      <c r="C286" s="18" t="s">
        <v>682</v>
      </c>
      <c r="D286" s="18" t="s">
        <v>72</v>
      </c>
      <c r="E286" s="18" t="s">
        <v>73</v>
      </c>
      <c r="F286" s="19">
        <v>80.739999999999995</v>
      </c>
      <c r="G286" s="18" t="s">
        <v>56</v>
      </c>
      <c r="H286" s="18"/>
      <c r="I286" s="18"/>
      <c r="J286" s="18"/>
      <c r="K286" s="18"/>
      <c r="L286" s="18"/>
      <c r="M286" s="18"/>
      <c r="N286" s="18"/>
      <c r="O286" s="18">
        <f>SUM(TABELA2567[[#This Row],[T1]:[T7]])</f>
        <v>0</v>
      </c>
      <c r="P286" s="20">
        <f>TABELA2567[[#This Row],[QTDE]]*TABELA2567[[#This Row],[PREÇO]]</f>
        <v>0</v>
      </c>
      <c r="Q286" s="38">
        <f>VLOOKUP($A:$A,[1]Planilha1!$B:$L,7,0)</f>
        <v>218</v>
      </c>
      <c r="R286" s="38">
        <f>VLOOKUP($A:$A,[1]Planilha1!$B:$L,8,0)</f>
        <v>99.09</v>
      </c>
      <c r="S286" s="37">
        <f>TABELA2567[[#This Row],[PREÇO]]/TABELA2567[[#This Row],[Coluna1]]-1</f>
        <v>-0.62963302752293582</v>
      </c>
      <c r="T286" s="37">
        <f>TABELA2567[[#This Row],[PREÇO]]/TABELA2567[[#This Row],[Coluna2]]-1</f>
        <v>-0.18518518518518523</v>
      </c>
    </row>
    <row r="287" spans="1:20" x14ac:dyDescent="0.2">
      <c r="A287" s="1" t="str">
        <f>TRIM(TABELA2567[[#This Row],[PRODUTO]])&amp;TRIM(TABELA2567[[#This Row],[COR]])</f>
        <v>59.12.02790002</v>
      </c>
      <c r="B287" s="17" t="s">
        <v>683</v>
      </c>
      <c r="C287" s="18" t="s">
        <v>684</v>
      </c>
      <c r="D287" s="18" t="s">
        <v>44</v>
      </c>
      <c r="E287" s="18" t="s">
        <v>45</v>
      </c>
      <c r="F287" s="19">
        <v>80.739999999999995</v>
      </c>
      <c r="G287" s="18" t="s">
        <v>56</v>
      </c>
      <c r="H287" s="18"/>
      <c r="I287" s="18"/>
      <c r="J287" s="18"/>
      <c r="K287" s="18"/>
      <c r="L287" s="18"/>
      <c r="M287" s="18"/>
      <c r="N287" s="18"/>
      <c r="O287" s="18">
        <f>SUM(TABELA2567[[#This Row],[T1]:[T7]])</f>
        <v>0</v>
      </c>
      <c r="P287" s="20">
        <f>TABELA2567[[#This Row],[QTDE]]*TABELA2567[[#This Row],[PREÇO]]</f>
        <v>0</v>
      </c>
      <c r="Q287" s="38">
        <f>VLOOKUP($A:$A,[1]Planilha1!$B:$L,7,0)</f>
        <v>218</v>
      </c>
      <c r="R287" s="38">
        <f>VLOOKUP($A:$A,[1]Planilha1!$B:$L,8,0)</f>
        <v>99.09</v>
      </c>
      <c r="S287" s="37">
        <f>TABELA2567[[#This Row],[PREÇO]]/TABELA2567[[#This Row],[Coluna1]]-1</f>
        <v>-0.62963302752293582</v>
      </c>
      <c r="T287" s="37">
        <f>TABELA2567[[#This Row],[PREÇO]]/TABELA2567[[#This Row],[Coluna2]]-1</f>
        <v>-0.18518518518518523</v>
      </c>
    </row>
    <row r="288" spans="1:20" x14ac:dyDescent="0.2">
      <c r="A288" s="1" t="str">
        <f>TRIM(TABELA2567[[#This Row],[PRODUTO]])&amp;TRIM(TABELA2567[[#This Row],[COR]])</f>
        <v>59.12.02800002</v>
      </c>
      <c r="B288" s="17" t="s">
        <v>685</v>
      </c>
      <c r="C288" s="18" t="s">
        <v>686</v>
      </c>
      <c r="D288" s="18" t="s">
        <v>44</v>
      </c>
      <c r="E288" s="18" t="s">
        <v>45</v>
      </c>
      <c r="F288" s="19">
        <v>80.739999999999995</v>
      </c>
      <c r="G288" s="18" t="s">
        <v>56</v>
      </c>
      <c r="H288" s="18"/>
      <c r="I288" s="18"/>
      <c r="J288" s="18"/>
      <c r="K288" s="18"/>
      <c r="L288" s="18"/>
      <c r="M288" s="18"/>
      <c r="N288" s="18"/>
      <c r="O288" s="18">
        <f>SUM(TABELA2567[[#This Row],[T1]:[T7]])</f>
        <v>0</v>
      </c>
      <c r="P288" s="20">
        <f>TABELA2567[[#This Row],[QTDE]]*TABELA2567[[#This Row],[PREÇO]]</f>
        <v>0</v>
      </c>
      <c r="Q288" s="38">
        <f>VLOOKUP($A:$A,[1]Planilha1!$B:$L,7,0)</f>
        <v>218</v>
      </c>
      <c r="R288" s="38">
        <f>VLOOKUP($A:$A,[1]Planilha1!$B:$L,8,0)</f>
        <v>99.09</v>
      </c>
      <c r="S288" s="37">
        <f>TABELA2567[[#This Row],[PREÇO]]/TABELA2567[[#This Row],[Coluna1]]-1</f>
        <v>-0.62963302752293582</v>
      </c>
      <c r="T288" s="37">
        <f>TABELA2567[[#This Row],[PREÇO]]/TABELA2567[[#This Row],[Coluna2]]-1</f>
        <v>-0.18518518518518523</v>
      </c>
    </row>
    <row r="289" spans="1:20" x14ac:dyDescent="0.2">
      <c r="A289" s="1" t="str">
        <f>TRIM(TABELA2567[[#This Row],[PRODUTO]])&amp;TRIM(TABELA2567[[#This Row],[COR]])</f>
        <v>59.12.02840002</v>
      </c>
      <c r="B289" s="17" t="s">
        <v>687</v>
      </c>
      <c r="C289" s="18" t="s">
        <v>688</v>
      </c>
      <c r="D289" s="18" t="s">
        <v>44</v>
      </c>
      <c r="E289" s="18" t="s">
        <v>45</v>
      </c>
      <c r="F289" s="19">
        <v>99.26</v>
      </c>
      <c r="G289" s="18" t="s">
        <v>56</v>
      </c>
      <c r="H289" s="18"/>
      <c r="I289" s="18"/>
      <c r="J289" s="18"/>
      <c r="K289" s="18"/>
      <c r="L289" s="18"/>
      <c r="M289" s="18"/>
      <c r="N289" s="18"/>
      <c r="O289" s="18">
        <f>SUM(TABELA2567[[#This Row],[T1]:[T7]])</f>
        <v>0</v>
      </c>
      <c r="P289" s="20">
        <f>TABELA2567[[#This Row],[QTDE]]*TABELA2567[[#This Row],[PREÇO]]</f>
        <v>0</v>
      </c>
      <c r="Q289" s="38">
        <f>VLOOKUP($A:$A,[1]Planilha1!$B:$L,7,0)</f>
        <v>268</v>
      </c>
      <c r="R289" s="38">
        <f>VLOOKUP($A:$A,[1]Planilha1!$B:$L,8,0)</f>
        <v>121.82</v>
      </c>
      <c r="S289" s="37">
        <f>TABELA2567[[#This Row],[PREÇO]]/TABELA2567[[#This Row],[Coluna1]]-1</f>
        <v>-0.62962686567164172</v>
      </c>
      <c r="T289" s="37">
        <f>TABELA2567[[#This Row],[PREÇO]]/TABELA2567[[#This Row],[Coluna2]]-1</f>
        <v>-0.18519126580200285</v>
      </c>
    </row>
    <row r="290" spans="1:20" x14ac:dyDescent="0.2">
      <c r="A290" s="1" t="str">
        <f>TRIM(TABELA2567[[#This Row],[PRODUTO]])&amp;TRIM(TABELA2567[[#This Row],[COR]])</f>
        <v>59.12.028501027</v>
      </c>
      <c r="B290" s="17" t="s">
        <v>689</v>
      </c>
      <c r="C290" s="18" t="s">
        <v>690</v>
      </c>
      <c r="D290" s="18" t="s">
        <v>691</v>
      </c>
      <c r="E290" s="18" t="s">
        <v>692</v>
      </c>
      <c r="F290" s="19">
        <v>99.26</v>
      </c>
      <c r="G290" s="18" t="s">
        <v>56</v>
      </c>
      <c r="H290" s="18"/>
      <c r="I290" s="18"/>
      <c r="J290" s="18"/>
      <c r="K290" s="18"/>
      <c r="L290" s="18"/>
      <c r="M290" s="18"/>
      <c r="N290" s="18"/>
      <c r="O290" s="18">
        <f>SUM(TABELA2567[[#This Row],[T1]:[T7]])</f>
        <v>0</v>
      </c>
      <c r="P290" s="20">
        <f>TABELA2567[[#This Row],[QTDE]]*TABELA2567[[#This Row],[PREÇO]]</f>
        <v>0</v>
      </c>
      <c r="Q290" s="38">
        <f>VLOOKUP($A:$A,[1]Planilha1!$B:$L,7,0)</f>
        <v>268</v>
      </c>
      <c r="R290" s="38">
        <f>VLOOKUP($A:$A,[1]Planilha1!$B:$L,8,0)</f>
        <v>121.82</v>
      </c>
      <c r="S290" s="37">
        <f>TABELA2567[[#This Row],[PREÇO]]/TABELA2567[[#This Row],[Coluna1]]-1</f>
        <v>-0.62962686567164172</v>
      </c>
      <c r="T290" s="37">
        <f>TABELA2567[[#This Row],[PREÇO]]/TABELA2567[[#This Row],[Coluna2]]-1</f>
        <v>-0.18519126580200285</v>
      </c>
    </row>
    <row r="291" spans="1:20" x14ac:dyDescent="0.2">
      <c r="A291" s="1" t="str">
        <f>TRIM(TABELA2567[[#This Row],[PRODUTO]])&amp;TRIM(TABELA2567[[#This Row],[COR]])</f>
        <v>59.12.02871407</v>
      </c>
      <c r="B291" s="17" t="s">
        <v>693</v>
      </c>
      <c r="C291" s="18" t="s">
        <v>694</v>
      </c>
      <c r="D291" s="18" t="s">
        <v>72</v>
      </c>
      <c r="E291" s="18" t="s">
        <v>73</v>
      </c>
      <c r="F291" s="19">
        <v>80.739999999999995</v>
      </c>
      <c r="G291" s="18" t="s">
        <v>56</v>
      </c>
      <c r="H291" s="18"/>
      <c r="I291" s="18"/>
      <c r="J291" s="18"/>
      <c r="K291" s="18"/>
      <c r="L291" s="18"/>
      <c r="M291" s="18"/>
      <c r="N291" s="18"/>
      <c r="O291" s="18">
        <f>SUM(TABELA2567[[#This Row],[T1]:[T7]])</f>
        <v>0</v>
      </c>
      <c r="P291" s="20">
        <f>TABELA2567[[#This Row],[QTDE]]*TABELA2567[[#This Row],[PREÇO]]</f>
        <v>0</v>
      </c>
      <c r="Q291" s="38">
        <f>VLOOKUP($A:$A,[1]Planilha1!$B:$L,7,0)</f>
        <v>218</v>
      </c>
      <c r="R291" s="38">
        <f>VLOOKUP($A:$A,[1]Planilha1!$B:$L,8,0)</f>
        <v>99.09</v>
      </c>
      <c r="S291" s="37">
        <f>TABELA2567[[#This Row],[PREÇO]]/TABELA2567[[#This Row],[Coluna1]]-1</f>
        <v>-0.62963302752293582</v>
      </c>
      <c r="T291" s="37">
        <f>TABELA2567[[#This Row],[PREÇO]]/TABELA2567[[#This Row],[Coluna2]]-1</f>
        <v>-0.18518518518518523</v>
      </c>
    </row>
    <row r="292" spans="1:20" x14ac:dyDescent="0.2">
      <c r="A292" s="1" t="str">
        <f>TRIM(TABELA2567[[#This Row],[PRODUTO]])&amp;TRIM(TABELA2567[[#This Row],[COR]])</f>
        <v>59.12.02881407</v>
      </c>
      <c r="B292" s="17" t="s">
        <v>695</v>
      </c>
      <c r="C292" s="18" t="s">
        <v>696</v>
      </c>
      <c r="D292" s="18" t="s">
        <v>72</v>
      </c>
      <c r="E292" s="18" t="s">
        <v>73</v>
      </c>
      <c r="F292" s="19">
        <v>80.739999999999995</v>
      </c>
      <c r="G292" s="18" t="s">
        <v>56</v>
      </c>
      <c r="H292" s="18"/>
      <c r="I292" s="18"/>
      <c r="J292" s="18"/>
      <c r="K292" s="18"/>
      <c r="L292" s="18"/>
      <c r="M292" s="18"/>
      <c r="N292" s="18"/>
      <c r="O292" s="18">
        <f>SUM(TABELA2567[[#This Row],[T1]:[T7]])</f>
        <v>0</v>
      </c>
      <c r="P292" s="20">
        <f>TABELA2567[[#This Row],[QTDE]]*TABELA2567[[#This Row],[PREÇO]]</f>
        <v>0</v>
      </c>
      <c r="Q292" s="38">
        <f>VLOOKUP($A:$A,[1]Planilha1!$B:$L,7,0)</f>
        <v>218</v>
      </c>
      <c r="R292" s="38">
        <f>VLOOKUP($A:$A,[1]Planilha1!$B:$L,8,0)</f>
        <v>99.09</v>
      </c>
      <c r="S292" s="37">
        <f>TABELA2567[[#This Row],[PREÇO]]/TABELA2567[[#This Row],[Coluna1]]-1</f>
        <v>-0.62963302752293582</v>
      </c>
      <c r="T292" s="37">
        <f>TABELA2567[[#This Row],[PREÇO]]/TABELA2567[[#This Row],[Coluna2]]-1</f>
        <v>-0.18518518518518523</v>
      </c>
    </row>
    <row r="293" spans="1:20" x14ac:dyDescent="0.2">
      <c r="A293" s="1" t="str">
        <f>TRIM(TABELA2567[[#This Row],[PRODUTO]])&amp;TRIM(TABELA2567[[#This Row],[COR]])</f>
        <v>59.12.02891407</v>
      </c>
      <c r="B293" s="17" t="s">
        <v>697</v>
      </c>
      <c r="C293" s="18" t="s">
        <v>698</v>
      </c>
      <c r="D293" s="18" t="s">
        <v>72</v>
      </c>
      <c r="E293" s="18" t="s">
        <v>73</v>
      </c>
      <c r="F293" s="19">
        <v>80.739999999999995</v>
      </c>
      <c r="G293" s="18" t="s">
        <v>56</v>
      </c>
      <c r="H293" s="18"/>
      <c r="I293" s="18"/>
      <c r="J293" s="18"/>
      <c r="K293" s="18"/>
      <c r="L293" s="18"/>
      <c r="M293" s="18"/>
      <c r="N293" s="18"/>
      <c r="O293" s="18">
        <f>SUM(TABELA2567[[#This Row],[T1]:[T7]])</f>
        <v>0</v>
      </c>
      <c r="P293" s="20">
        <f>TABELA2567[[#This Row],[QTDE]]*TABELA2567[[#This Row],[PREÇO]]</f>
        <v>0</v>
      </c>
      <c r="Q293" s="38">
        <f>VLOOKUP($A:$A,[1]Planilha1!$B:$L,7,0)</f>
        <v>218</v>
      </c>
      <c r="R293" s="38">
        <f>VLOOKUP($A:$A,[1]Planilha1!$B:$L,8,0)</f>
        <v>99.09</v>
      </c>
      <c r="S293" s="37">
        <f>TABELA2567[[#This Row],[PREÇO]]/TABELA2567[[#This Row],[Coluna1]]-1</f>
        <v>-0.62963302752293582</v>
      </c>
      <c r="T293" s="37">
        <f>TABELA2567[[#This Row],[PREÇO]]/TABELA2567[[#This Row],[Coluna2]]-1</f>
        <v>-0.18518518518518523</v>
      </c>
    </row>
    <row r="294" spans="1:20" x14ac:dyDescent="0.2">
      <c r="A294" s="1" t="str">
        <f>TRIM(TABELA2567[[#This Row],[PRODUTO]])&amp;TRIM(TABELA2567[[#This Row],[COR]])</f>
        <v>59.12.02900002</v>
      </c>
      <c r="B294" s="17" t="s">
        <v>699</v>
      </c>
      <c r="C294" s="18" t="s">
        <v>700</v>
      </c>
      <c r="D294" s="18" t="s">
        <v>44</v>
      </c>
      <c r="E294" s="18" t="s">
        <v>45</v>
      </c>
      <c r="F294" s="19">
        <v>80.739999999999995</v>
      </c>
      <c r="G294" s="18" t="s">
        <v>56</v>
      </c>
      <c r="H294" s="18"/>
      <c r="I294" s="18"/>
      <c r="J294" s="18"/>
      <c r="K294" s="18"/>
      <c r="L294" s="18"/>
      <c r="M294" s="18"/>
      <c r="N294" s="18"/>
      <c r="O294" s="18">
        <f>SUM(TABELA2567[[#This Row],[T1]:[T7]])</f>
        <v>0</v>
      </c>
      <c r="P294" s="20">
        <f>TABELA2567[[#This Row],[QTDE]]*TABELA2567[[#This Row],[PREÇO]]</f>
        <v>0</v>
      </c>
      <c r="Q294" s="38">
        <f>VLOOKUP($A:$A,[1]Planilha1!$B:$L,7,0)</f>
        <v>218</v>
      </c>
      <c r="R294" s="38">
        <f>VLOOKUP($A:$A,[1]Planilha1!$B:$L,8,0)</f>
        <v>99.09</v>
      </c>
      <c r="S294" s="37">
        <f>TABELA2567[[#This Row],[PREÇO]]/TABELA2567[[#This Row],[Coluna1]]-1</f>
        <v>-0.62963302752293582</v>
      </c>
      <c r="T294" s="37">
        <f>TABELA2567[[#This Row],[PREÇO]]/TABELA2567[[#This Row],[Coluna2]]-1</f>
        <v>-0.18518518518518523</v>
      </c>
    </row>
    <row r="295" spans="1:20" x14ac:dyDescent="0.2">
      <c r="A295" s="1" t="str">
        <f>TRIM(TABELA2567[[#This Row],[PRODUTO]])&amp;TRIM(TABELA2567[[#This Row],[COR]])</f>
        <v>59.12.02911407</v>
      </c>
      <c r="B295" s="17" t="s">
        <v>701</v>
      </c>
      <c r="C295" s="18" t="s">
        <v>702</v>
      </c>
      <c r="D295" s="18" t="s">
        <v>72</v>
      </c>
      <c r="E295" s="18" t="s">
        <v>73</v>
      </c>
      <c r="F295" s="19">
        <v>80.739999999999995</v>
      </c>
      <c r="G295" s="18" t="s">
        <v>56</v>
      </c>
      <c r="H295" s="18"/>
      <c r="I295" s="18"/>
      <c r="J295" s="18"/>
      <c r="K295" s="18"/>
      <c r="L295" s="18"/>
      <c r="M295" s="18"/>
      <c r="N295" s="18"/>
      <c r="O295" s="18">
        <f>SUM(TABELA2567[[#This Row],[T1]:[T7]])</f>
        <v>0</v>
      </c>
      <c r="P295" s="20">
        <f>TABELA2567[[#This Row],[QTDE]]*TABELA2567[[#This Row],[PREÇO]]</f>
        <v>0</v>
      </c>
      <c r="Q295" s="38">
        <f>VLOOKUP($A:$A,[1]Planilha1!$B:$L,7,0)</f>
        <v>218</v>
      </c>
      <c r="R295" s="38">
        <f>VLOOKUP($A:$A,[1]Planilha1!$B:$L,8,0)</f>
        <v>99.09</v>
      </c>
      <c r="S295" s="37">
        <f>TABELA2567[[#This Row],[PREÇO]]/TABELA2567[[#This Row],[Coluna1]]-1</f>
        <v>-0.62963302752293582</v>
      </c>
      <c r="T295" s="37">
        <f>TABELA2567[[#This Row],[PREÇO]]/TABELA2567[[#This Row],[Coluna2]]-1</f>
        <v>-0.18518518518518523</v>
      </c>
    </row>
    <row r="296" spans="1:20" x14ac:dyDescent="0.2">
      <c r="A296" s="1" t="str">
        <f>TRIM(TABELA2567[[#This Row],[PRODUTO]])&amp;TRIM(TABELA2567[[#This Row],[COR]])</f>
        <v>59.12.030301032</v>
      </c>
      <c r="B296" s="17" t="s">
        <v>703</v>
      </c>
      <c r="C296" s="18" t="s">
        <v>704</v>
      </c>
      <c r="D296" s="18" t="s">
        <v>205</v>
      </c>
      <c r="E296" s="18" t="s">
        <v>206</v>
      </c>
      <c r="F296" s="19">
        <v>99.26</v>
      </c>
      <c r="G296" s="18" t="s">
        <v>56</v>
      </c>
      <c r="H296" s="18"/>
      <c r="I296" s="18"/>
      <c r="J296" s="18"/>
      <c r="K296" s="18"/>
      <c r="L296" s="18"/>
      <c r="M296" s="18"/>
      <c r="N296" s="18"/>
      <c r="O296" s="18">
        <f>SUM(TABELA2567[[#This Row],[T1]:[T7]])</f>
        <v>0</v>
      </c>
      <c r="P296" s="20">
        <f>TABELA2567[[#This Row],[QTDE]]*TABELA2567[[#This Row],[PREÇO]]</f>
        <v>0</v>
      </c>
      <c r="Q296" s="38">
        <f>VLOOKUP($A:$A,[1]Planilha1!$B:$L,7,0)</f>
        <v>268</v>
      </c>
      <c r="R296" s="38">
        <f>VLOOKUP($A:$A,[1]Planilha1!$B:$L,8,0)</f>
        <v>121.82</v>
      </c>
      <c r="S296" s="37">
        <f>TABELA2567[[#This Row],[PREÇO]]/TABELA2567[[#This Row],[Coluna1]]-1</f>
        <v>-0.62962686567164172</v>
      </c>
      <c r="T296" s="37">
        <f>TABELA2567[[#This Row],[PREÇO]]/TABELA2567[[#This Row],[Coluna2]]-1</f>
        <v>-0.18519126580200285</v>
      </c>
    </row>
    <row r="297" spans="1:20" x14ac:dyDescent="0.2">
      <c r="A297" s="1" t="str">
        <f>TRIM(TABELA2567[[#This Row],[PRODUTO]])&amp;TRIM(TABELA2567[[#This Row],[COR]])</f>
        <v>59.12.03050002</v>
      </c>
      <c r="B297" s="17" t="s">
        <v>705</v>
      </c>
      <c r="C297" s="18" t="s">
        <v>706</v>
      </c>
      <c r="D297" s="18" t="s">
        <v>44</v>
      </c>
      <c r="E297" s="18" t="s">
        <v>45</v>
      </c>
      <c r="F297" s="19">
        <v>80.739999999999995</v>
      </c>
      <c r="G297" s="18" t="s">
        <v>56</v>
      </c>
      <c r="H297" s="18"/>
      <c r="I297" s="18"/>
      <c r="J297" s="18"/>
      <c r="K297" s="18"/>
      <c r="L297" s="18"/>
      <c r="M297" s="18"/>
      <c r="N297" s="18"/>
      <c r="O297" s="18">
        <f>SUM(TABELA2567[[#This Row],[T1]:[T7]])</f>
        <v>0</v>
      </c>
      <c r="P297" s="20">
        <f>TABELA2567[[#This Row],[QTDE]]*TABELA2567[[#This Row],[PREÇO]]</f>
        <v>0</v>
      </c>
      <c r="Q297" s="38">
        <f>VLOOKUP($A:$A,[1]Planilha1!$B:$L,7,0)</f>
        <v>218</v>
      </c>
      <c r="R297" s="38">
        <f>VLOOKUP($A:$A,[1]Planilha1!$B:$L,8,0)</f>
        <v>99.09</v>
      </c>
      <c r="S297" s="37">
        <f>TABELA2567[[#This Row],[PREÇO]]/TABELA2567[[#This Row],[Coluna1]]-1</f>
        <v>-0.62963302752293582</v>
      </c>
      <c r="T297" s="37">
        <f>TABELA2567[[#This Row],[PREÇO]]/TABELA2567[[#This Row],[Coluna2]]-1</f>
        <v>-0.18518518518518523</v>
      </c>
    </row>
    <row r="298" spans="1:20" x14ac:dyDescent="0.2">
      <c r="A298" s="1" t="str">
        <f>TRIM(TABELA2567[[#This Row],[PRODUTO]])&amp;TRIM(TABELA2567[[#This Row],[COR]])</f>
        <v>65.04.00540005</v>
      </c>
      <c r="B298" s="17" t="s">
        <v>707</v>
      </c>
      <c r="C298" s="18" t="s">
        <v>708</v>
      </c>
      <c r="D298" s="18" t="s">
        <v>32</v>
      </c>
      <c r="E298" s="18" t="s">
        <v>33</v>
      </c>
      <c r="F298" s="19">
        <v>740</v>
      </c>
      <c r="G298" s="18" t="s">
        <v>31</v>
      </c>
      <c r="H298" s="18"/>
      <c r="I298" s="18"/>
      <c r="J298" s="18"/>
      <c r="K298" s="18"/>
      <c r="L298" s="18"/>
      <c r="M298" s="18"/>
      <c r="N298" s="18"/>
      <c r="O298" s="18">
        <f>SUM(TABELA2567[[#This Row],[T1]:[T7]])</f>
        <v>0</v>
      </c>
      <c r="P298" s="20">
        <f>TABELA2567[[#This Row],[QTDE]]*TABELA2567[[#This Row],[PREÇO]]</f>
        <v>0</v>
      </c>
      <c r="Q298" s="38">
        <f>VLOOKUP($A:$A,[1]Planilha1!$B:$L,7,0)</f>
        <v>1998</v>
      </c>
      <c r="R298" s="38">
        <f>VLOOKUP($A:$A,[1]Planilha1!$B:$L,8,0)</f>
        <v>908.18</v>
      </c>
      <c r="S298" s="37">
        <f>TABELA2567[[#This Row],[PREÇO]]/TABELA2567[[#This Row],[Coluna1]]-1</f>
        <v>-0.62962962962962965</v>
      </c>
      <c r="T298" s="37">
        <f>TABELA2567[[#This Row],[PREÇO]]/TABELA2567[[#This Row],[Coluna2]]-1</f>
        <v>-0.18518355392102881</v>
      </c>
    </row>
    <row r="299" spans="1:20" x14ac:dyDescent="0.2">
      <c r="A299" s="1" t="str">
        <f>TRIM(TABELA2567[[#This Row],[PRODUTO]])&amp;TRIM(TABELA2567[[#This Row],[COR]])</f>
        <v>65.04.005601019</v>
      </c>
      <c r="B299" s="17" t="s">
        <v>709</v>
      </c>
      <c r="C299" s="18" t="s">
        <v>710</v>
      </c>
      <c r="D299" s="18" t="s">
        <v>711</v>
      </c>
      <c r="E299" s="18" t="s">
        <v>712</v>
      </c>
      <c r="F299" s="19">
        <v>591.85</v>
      </c>
      <c r="G299" s="18" t="s">
        <v>31</v>
      </c>
      <c r="H299" s="18"/>
      <c r="I299" s="18"/>
      <c r="J299" s="18"/>
      <c r="K299" s="18"/>
      <c r="L299" s="18"/>
      <c r="M299" s="18"/>
      <c r="N299" s="18"/>
      <c r="O299" s="18">
        <f>SUM(TABELA2567[[#This Row],[T1]:[T7]])</f>
        <v>0</v>
      </c>
      <c r="P299" s="20">
        <f>TABELA2567[[#This Row],[QTDE]]*TABELA2567[[#This Row],[PREÇO]]</f>
        <v>0</v>
      </c>
      <c r="Q299" s="38">
        <f>VLOOKUP($A:$A,[1]Planilha1!$B:$L,7,0)</f>
        <v>1598</v>
      </c>
      <c r="R299" s="38">
        <f>VLOOKUP($A:$A,[1]Planilha1!$B:$L,8,0)</f>
        <v>726.36</v>
      </c>
      <c r="S299" s="37">
        <f>TABELA2567[[#This Row],[PREÇO]]/TABELA2567[[#This Row],[Coluna1]]-1</f>
        <v>-0.62963078848560694</v>
      </c>
      <c r="T299" s="37">
        <f>TABELA2567[[#This Row],[PREÇO]]/TABELA2567[[#This Row],[Coluna2]]-1</f>
        <v>-0.18518365548763693</v>
      </c>
    </row>
    <row r="300" spans="1:20" x14ac:dyDescent="0.2">
      <c r="A300" s="1" t="str">
        <f>TRIM(TABELA2567[[#This Row],[PRODUTO]])&amp;TRIM(TABELA2567[[#This Row],[COR]])</f>
        <v>65.04.005701021</v>
      </c>
      <c r="B300" s="17" t="s">
        <v>713</v>
      </c>
      <c r="C300" s="18" t="s">
        <v>714</v>
      </c>
      <c r="D300" s="18" t="s">
        <v>715</v>
      </c>
      <c r="E300" s="18" t="s">
        <v>716</v>
      </c>
      <c r="F300" s="19">
        <v>591.85</v>
      </c>
      <c r="G300" s="18" t="s">
        <v>31</v>
      </c>
      <c r="H300" s="18"/>
      <c r="I300" s="18"/>
      <c r="J300" s="18"/>
      <c r="K300" s="18"/>
      <c r="L300" s="18"/>
      <c r="M300" s="18"/>
      <c r="N300" s="18"/>
      <c r="O300" s="18">
        <f>SUM(TABELA2567[[#This Row],[T1]:[T7]])</f>
        <v>0</v>
      </c>
      <c r="P300" s="20">
        <f>TABELA2567[[#This Row],[QTDE]]*TABELA2567[[#This Row],[PREÇO]]</f>
        <v>0</v>
      </c>
      <c r="Q300" s="38">
        <f>VLOOKUP($A:$A,[1]Planilha1!$B:$L,7,0)</f>
        <v>1598</v>
      </c>
      <c r="R300" s="38">
        <f>VLOOKUP($A:$A,[1]Planilha1!$B:$L,8,0)</f>
        <v>726.36</v>
      </c>
      <c r="S300" s="37">
        <f>TABELA2567[[#This Row],[PREÇO]]/TABELA2567[[#This Row],[Coluna1]]-1</f>
        <v>-0.62963078848560694</v>
      </c>
      <c r="T300" s="37">
        <f>TABELA2567[[#This Row],[PREÇO]]/TABELA2567[[#This Row],[Coluna2]]-1</f>
        <v>-0.18518365548763693</v>
      </c>
    </row>
    <row r="301" spans="1:20" x14ac:dyDescent="0.2">
      <c r="A301" s="1" t="str">
        <f>TRIM(TABELA2567[[#This Row],[PRODUTO]])&amp;TRIM(TABELA2567[[#This Row],[COR]])</f>
        <v>65.04.00580005</v>
      </c>
      <c r="B301" s="17" t="s">
        <v>717</v>
      </c>
      <c r="C301" s="18" t="s">
        <v>718</v>
      </c>
      <c r="D301" s="18" t="s">
        <v>32</v>
      </c>
      <c r="E301" s="18" t="s">
        <v>33</v>
      </c>
      <c r="F301" s="19">
        <v>591.85</v>
      </c>
      <c r="G301" s="18" t="s">
        <v>31</v>
      </c>
      <c r="H301" s="18"/>
      <c r="I301" s="18"/>
      <c r="J301" s="18"/>
      <c r="K301" s="18"/>
      <c r="L301" s="18"/>
      <c r="M301" s="18"/>
      <c r="N301" s="18"/>
      <c r="O301" s="18">
        <f>SUM(TABELA2567[[#This Row],[T1]:[T7]])</f>
        <v>0</v>
      </c>
      <c r="P301" s="20">
        <f>TABELA2567[[#This Row],[QTDE]]*TABELA2567[[#This Row],[PREÇO]]</f>
        <v>0</v>
      </c>
      <c r="Q301" s="38">
        <f>VLOOKUP($A:$A,[1]Planilha1!$B:$L,7,0)</f>
        <v>1598</v>
      </c>
      <c r="R301" s="38">
        <f>VLOOKUP($A:$A,[1]Planilha1!$B:$L,8,0)</f>
        <v>726.36</v>
      </c>
      <c r="S301" s="37">
        <f>TABELA2567[[#This Row],[PREÇO]]/TABELA2567[[#This Row],[Coluna1]]-1</f>
        <v>-0.62963078848560694</v>
      </c>
      <c r="T301" s="37">
        <f>TABELA2567[[#This Row],[PREÇO]]/TABELA2567[[#This Row],[Coluna2]]-1</f>
        <v>-0.18518365548763693</v>
      </c>
    </row>
    <row r="302" spans="1:20" x14ac:dyDescent="0.2">
      <c r="A302" s="1" t="str">
        <f>TRIM(TABELA2567[[#This Row],[PRODUTO]])&amp;TRIM(TABELA2567[[#This Row],[COR]])</f>
        <v>65.04.005901032</v>
      </c>
      <c r="B302" s="17" t="s">
        <v>719</v>
      </c>
      <c r="C302" s="18" t="s">
        <v>720</v>
      </c>
      <c r="D302" s="18" t="s">
        <v>205</v>
      </c>
      <c r="E302" s="18" t="s">
        <v>206</v>
      </c>
      <c r="F302" s="19">
        <v>591.85</v>
      </c>
      <c r="G302" s="18" t="s">
        <v>31</v>
      </c>
      <c r="H302" s="18"/>
      <c r="I302" s="18"/>
      <c r="J302" s="18"/>
      <c r="K302" s="18"/>
      <c r="L302" s="18"/>
      <c r="M302" s="18"/>
      <c r="N302" s="18"/>
      <c r="O302" s="18">
        <f>SUM(TABELA2567[[#This Row],[T1]:[T7]])</f>
        <v>0</v>
      </c>
      <c r="P302" s="20">
        <f>TABELA2567[[#This Row],[QTDE]]*TABELA2567[[#This Row],[PREÇO]]</f>
        <v>0</v>
      </c>
      <c r="Q302" s="38">
        <f>VLOOKUP($A:$A,[1]Planilha1!$B:$L,7,0)</f>
        <v>1598</v>
      </c>
      <c r="R302" s="38">
        <f>VLOOKUP($A:$A,[1]Planilha1!$B:$L,8,0)</f>
        <v>726.36</v>
      </c>
      <c r="S302" s="37">
        <f>TABELA2567[[#This Row],[PREÇO]]/TABELA2567[[#This Row],[Coluna1]]-1</f>
        <v>-0.62963078848560694</v>
      </c>
      <c r="T302" s="37">
        <f>TABELA2567[[#This Row],[PREÇO]]/TABELA2567[[#This Row],[Coluna2]]-1</f>
        <v>-0.18518365548763693</v>
      </c>
    </row>
    <row r="303" spans="1:20" x14ac:dyDescent="0.2">
      <c r="A303" s="1" t="str">
        <f>TRIM(TABELA2567[[#This Row],[PRODUTO]])&amp;TRIM(TABELA2567[[#This Row],[COR]])</f>
        <v>69.03.003921103</v>
      </c>
      <c r="B303" s="17" t="s">
        <v>721</v>
      </c>
      <c r="C303" s="18" t="s">
        <v>722</v>
      </c>
      <c r="D303" s="18" t="s">
        <v>295</v>
      </c>
      <c r="E303" s="18" t="s">
        <v>296</v>
      </c>
      <c r="F303" s="19">
        <v>110.37</v>
      </c>
      <c r="G303" s="18" t="s">
        <v>69</v>
      </c>
      <c r="H303" s="18"/>
      <c r="I303" s="18"/>
      <c r="J303" s="18"/>
      <c r="K303" s="18"/>
      <c r="L303" s="18"/>
      <c r="M303" s="18"/>
      <c r="N303" s="18"/>
      <c r="O303" s="18">
        <f>SUM(TABELA2567[[#This Row],[T1]:[T7]])</f>
        <v>0</v>
      </c>
      <c r="P303" s="20">
        <f>TABELA2567[[#This Row],[QTDE]]*TABELA2567[[#This Row],[PREÇO]]</f>
        <v>0</v>
      </c>
      <c r="Q303" s="38">
        <f>VLOOKUP($A:$A,[1]Planilha1!$B:$L,7,0)</f>
        <v>298</v>
      </c>
      <c r="R303" s="38">
        <f>VLOOKUP($A:$A,[1]Planilha1!$B:$L,8,0)</f>
        <v>135.44999999999999</v>
      </c>
      <c r="S303" s="37">
        <f>TABELA2567[[#This Row],[PREÇO]]/TABELA2567[[#This Row],[Coluna1]]-1</f>
        <v>-0.62963087248322147</v>
      </c>
      <c r="T303" s="37">
        <f>TABELA2567[[#This Row],[PREÇO]]/TABELA2567[[#This Row],[Coluna2]]-1</f>
        <v>-0.18516057585825019</v>
      </c>
    </row>
    <row r="304" spans="1:20" x14ac:dyDescent="0.2">
      <c r="A304" s="1" t="str">
        <f>TRIM(TABELA2567[[#This Row],[PRODUTO]])&amp;TRIM(TABELA2567[[#This Row],[COR]])</f>
        <v>69.03.004221015</v>
      </c>
      <c r="B304" s="17" t="s">
        <v>723</v>
      </c>
      <c r="C304" s="18" t="s">
        <v>724</v>
      </c>
      <c r="D304" s="18" t="s">
        <v>142</v>
      </c>
      <c r="E304" s="18" t="s">
        <v>143</v>
      </c>
      <c r="F304" s="19">
        <v>110.37</v>
      </c>
      <c r="G304" s="18" t="s">
        <v>69</v>
      </c>
      <c r="H304" s="18"/>
      <c r="I304" s="18"/>
      <c r="J304" s="18"/>
      <c r="K304" s="18"/>
      <c r="L304" s="18"/>
      <c r="M304" s="18"/>
      <c r="N304" s="18"/>
      <c r="O304" s="18">
        <f>SUM(TABELA2567[[#This Row],[T1]:[T7]])</f>
        <v>0</v>
      </c>
      <c r="P304" s="20">
        <f>TABELA2567[[#This Row],[QTDE]]*TABELA2567[[#This Row],[PREÇO]]</f>
        <v>0</v>
      </c>
      <c r="Q304" s="38">
        <f>VLOOKUP($A:$A,[1]Planilha1!$B:$L,7,0)</f>
        <v>298</v>
      </c>
      <c r="R304" s="38">
        <f>VLOOKUP($A:$A,[1]Planilha1!$B:$L,8,0)</f>
        <v>135.44999999999999</v>
      </c>
      <c r="S304" s="37">
        <f>TABELA2567[[#This Row],[PREÇO]]/TABELA2567[[#This Row],[Coluna1]]-1</f>
        <v>-0.62963087248322147</v>
      </c>
      <c r="T304" s="37">
        <f>TABELA2567[[#This Row],[PREÇO]]/TABELA2567[[#This Row],[Coluna2]]-1</f>
        <v>-0.18516057585825019</v>
      </c>
    </row>
    <row r="305" spans="1:20" x14ac:dyDescent="0.2">
      <c r="A305" s="1" t="str">
        <f>TRIM(TABELA2567[[#This Row],[PRODUTO]])&amp;TRIM(TABELA2567[[#This Row],[COR]])</f>
        <v>69.11.066301032</v>
      </c>
      <c r="B305" s="17" t="s">
        <v>725</v>
      </c>
      <c r="C305" s="18" t="s">
        <v>726</v>
      </c>
      <c r="D305" s="18" t="s">
        <v>205</v>
      </c>
      <c r="E305" s="18" t="s">
        <v>206</v>
      </c>
      <c r="F305" s="19">
        <v>206.67</v>
      </c>
      <c r="G305" s="18" t="s">
        <v>31</v>
      </c>
      <c r="H305" s="18"/>
      <c r="I305" s="18"/>
      <c r="J305" s="18"/>
      <c r="K305" s="18"/>
      <c r="L305" s="18"/>
      <c r="M305" s="18"/>
      <c r="N305" s="18"/>
      <c r="O305" s="18">
        <f>SUM(TABELA2567[[#This Row],[T1]:[T7]])</f>
        <v>0</v>
      </c>
      <c r="P305" s="20">
        <f>TABELA2567[[#This Row],[QTDE]]*TABELA2567[[#This Row],[PREÇO]]</f>
        <v>0</v>
      </c>
      <c r="Q305" s="38">
        <f>VLOOKUP($A:$A,[1]Planilha1!$B:$L,7,0)</f>
        <v>558</v>
      </c>
      <c r="R305" s="38">
        <f>VLOOKUP($A:$A,[1]Planilha1!$B:$L,8,0)</f>
        <v>253.64</v>
      </c>
      <c r="S305" s="37">
        <f>TABELA2567[[#This Row],[PREÇO]]/TABELA2567[[#This Row],[Coluna1]]-1</f>
        <v>-0.62962365591397851</v>
      </c>
      <c r="T305" s="37">
        <f>TABELA2567[[#This Row],[PREÇO]]/TABELA2567[[#This Row],[Coluna2]]-1</f>
        <v>-0.18518372496451663</v>
      </c>
    </row>
    <row r="306" spans="1:20" x14ac:dyDescent="0.2">
      <c r="A306" s="1" t="str">
        <f>TRIM(TABELA2567[[#This Row],[PRODUTO]])&amp;TRIM(TABELA2567[[#This Row],[COR]])</f>
        <v>69.11.06656228</v>
      </c>
      <c r="B306" s="17" t="s">
        <v>727</v>
      </c>
      <c r="C306" s="18" t="s">
        <v>728</v>
      </c>
      <c r="D306" s="18" t="s">
        <v>74</v>
      </c>
      <c r="E306" s="18" t="s">
        <v>75</v>
      </c>
      <c r="F306" s="19">
        <v>258.52</v>
      </c>
      <c r="G306" s="18" t="s">
        <v>31</v>
      </c>
      <c r="H306" s="18"/>
      <c r="I306" s="18"/>
      <c r="J306" s="18"/>
      <c r="K306" s="18"/>
      <c r="L306" s="18"/>
      <c r="M306" s="18"/>
      <c r="N306" s="18"/>
      <c r="O306" s="18">
        <f>SUM(TABELA2567[[#This Row],[T1]:[T7]])</f>
        <v>0</v>
      </c>
      <c r="P306" s="20">
        <f>TABELA2567[[#This Row],[QTDE]]*TABELA2567[[#This Row],[PREÇO]]</f>
        <v>0</v>
      </c>
      <c r="Q306" s="38">
        <f>VLOOKUP($A:$A,[1]Planilha1!$B:$L,7,0)</f>
        <v>698</v>
      </c>
      <c r="R306" s="38">
        <f>VLOOKUP($A:$A,[1]Planilha1!$B:$L,8,0)</f>
        <v>317.27</v>
      </c>
      <c r="S306" s="37">
        <f>TABELA2567[[#This Row],[PREÇO]]/TABELA2567[[#This Row],[Coluna1]]-1</f>
        <v>-0.62962750716332383</v>
      </c>
      <c r="T306" s="37">
        <f>TABELA2567[[#This Row],[PREÇO]]/TABELA2567[[#This Row],[Coluna2]]-1</f>
        <v>-0.18517351152015638</v>
      </c>
    </row>
    <row r="307" spans="1:20" x14ac:dyDescent="0.2">
      <c r="A307" s="1" t="str">
        <f>TRIM(TABELA2567[[#This Row],[PRODUTO]])&amp;TRIM(TABELA2567[[#This Row],[COR]])</f>
        <v>69.11.067221013</v>
      </c>
      <c r="B307" s="17" t="s">
        <v>729</v>
      </c>
      <c r="C307" s="18" t="s">
        <v>730</v>
      </c>
      <c r="D307" s="18" t="s">
        <v>369</v>
      </c>
      <c r="E307" s="18" t="s">
        <v>370</v>
      </c>
      <c r="F307" s="19">
        <v>99.26</v>
      </c>
      <c r="G307" s="18" t="s">
        <v>69</v>
      </c>
      <c r="H307" s="18"/>
      <c r="I307" s="18"/>
      <c r="J307" s="18"/>
      <c r="K307" s="18"/>
      <c r="L307" s="18"/>
      <c r="M307" s="18"/>
      <c r="N307" s="18"/>
      <c r="O307" s="18">
        <f>SUM(TABELA2567[[#This Row],[T1]:[T7]])</f>
        <v>0</v>
      </c>
      <c r="P307" s="20">
        <f>TABELA2567[[#This Row],[QTDE]]*TABELA2567[[#This Row],[PREÇO]]</f>
        <v>0</v>
      </c>
      <c r="Q307" s="38">
        <f>VLOOKUP($A:$A,[1]Planilha1!$B:$L,7,0)</f>
        <v>268</v>
      </c>
      <c r="R307" s="38">
        <f>VLOOKUP($A:$A,[1]Planilha1!$B:$L,8,0)</f>
        <v>121.82</v>
      </c>
      <c r="S307" s="37">
        <f>TABELA2567[[#This Row],[PREÇO]]/TABELA2567[[#This Row],[Coluna1]]-1</f>
        <v>-0.62962686567164172</v>
      </c>
      <c r="T307" s="37">
        <f>TABELA2567[[#This Row],[PREÇO]]/TABELA2567[[#This Row],[Coluna2]]-1</f>
        <v>-0.18519126580200285</v>
      </c>
    </row>
    <row r="308" spans="1:20" x14ac:dyDescent="0.2">
      <c r="A308" s="1" t="str">
        <f>TRIM(TABELA2567[[#This Row],[PRODUTO]])&amp;TRIM(TABELA2567[[#This Row],[COR]])</f>
        <v>69.11.067521092</v>
      </c>
      <c r="B308" s="17" t="s">
        <v>731</v>
      </c>
      <c r="C308" s="18" t="s">
        <v>732</v>
      </c>
      <c r="D308" s="18" t="s">
        <v>119</v>
      </c>
      <c r="E308" s="18" t="s">
        <v>120</v>
      </c>
      <c r="F308" s="19">
        <v>99.26</v>
      </c>
      <c r="G308" s="18" t="s">
        <v>69</v>
      </c>
      <c r="H308" s="18"/>
      <c r="I308" s="18"/>
      <c r="J308" s="18"/>
      <c r="K308" s="18"/>
      <c r="L308" s="18"/>
      <c r="M308" s="18"/>
      <c r="N308" s="18"/>
      <c r="O308" s="18">
        <f>SUM(TABELA2567[[#This Row],[T1]:[T7]])</f>
        <v>0</v>
      </c>
      <c r="P308" s="20">
        <f>TABELA2567[[#This Row],[QTDE]]*TABELA2567[[#This Row],[PREÇO]]</f>
        <v>0</v>
      </c>
      <c r="Q308" s="38">
        <f>VLOOKUP($A:$A,[1]Planilha1!$B:$L,7,0)</f>
        <v>268</v>
      </c>
      <c r="R308" s="38">
        <f>VLOOKUP($A:$A,[1]Planilha1!$B:$L,8,0)</f>
        <v>121.82</v>
      </c>
      <c r="S308" s="37">
        <f>TABELA2567[[#This Row],[PREÇO]]/TABELA2567[[#This Row],[Coluna1]]-1</f>
        <v>-0.62962686567164172</v>
      </c>
      <c r="T308" s="37">
        <f>TABELA2567[[#This Row],[PREÇO]]/TABELA2567[[#This Row],[Coluna2]]-1</f>
        <v>-0.18519126580200285</v>
      </c>
    </row>
    <row r="309" spans="1:20" x14ac:dyDescent="0.2">
      <c r="A309" s="1" t="str">
        <f>TRIM(TABELA2567[[#This Row],[PRODUTO]])&amp;TRIM(TABELA2567[[#This Row],[COR]])</f>
        <v>69.11.067821011</v>
      </c>
      <c r="B309" s="17" t="s">
        <v>733</v>
      </c>
      <c r="C309" s="18" t="s">
        <v>734</v>
      </c>
      <c r="D309" s="18" t="s">
        <v>135</v>
      </c>
      <c r="E309" s="18" t="s">
        <v>136</v>
      </c>
      <c r="F309" s="19">
        <v>99.26</v>
      </c>
      <c r="G309" s="18" t="s">
        <v>69</v>
      </c>
      <c r="H309" s="18"/>
      <c r="I309" s="18"/>
      <c r="J309" s="18"/>
      <c r="K309" s="18"/>
      <c r="L309" s="18"/>
      <c r="M309" s="18"/>
      <c r="N309" s="18"/>
      <c r="O309" s="18">
        <f>SUM(TABELA2567[[#This Row],[T1]:[T7]])</f>
        <v>0</v>
      </c>
      <c r="P309" s="20">
        <f>TABELA2567[[#This Row],[QTDE]]*TABELA2567[[#This Row],[PREÇO]]</f>
        <v>0</v>
      </c>
      <c r="Q309" s="38">
        <f>VLOOKUP($A:$A,[1]Planilha1!$B:$L,7,0)</f>
        <v>268</v>
      </c>
      <c r="R309" s="38">
        <f>VLOOKUP($A:$A,[1]Planilha1!$B:$L,8,0)</f>
        <v>121.82</v>
      </c>
      <c r="S309" s="37">
        <f>TABELA2567[[#This Row],[PREÇO]]/TABELA2567[[#This Row],[Coluna1]]-1</f>
        <v>-0.62962686567164172</v>
      </c>
      <c r="T309" s="37">
        <f>TABELA2567[[#This Row],[PREÇO]]/TABELA2567[[#This Row],[Coluna2]]-1</f>
        <v>-0.18519126580200285</v>
      </c>
    </row>
    <row r="310" spans="1:20" x14ac:dyDescent="0.2">
      <c r="A310" s="1" t="str">
        <f>TRIM(TABELA2567[[#This Row],[PRODUTO]])&amp;TRIM(TABELA2567[[#This Row],[COR]])</f>
        <v>69.12.027721013</v>
      </c>
      <c r="B310" s="17" t="s">
        <v>735</v>
      </c>
      <c r="C310" s="18" t="s">
        <v>736</v>
      </c>
      <c r="D310" s="18" t="s">
        <v>369</v>
      </c>
      <c r="E310" s="18" t="s">
        <v>737</v>
      </c>
      <c r="F310" s="19">
        <v>110.37</v>
      </c>
      <c r="G310" s="18" t="s">
        <v>69</v>
      </c>
      <c r="H310" s="18"/>
      <c r="I310" s="18"/>
      <c r="J310" s="18"/>
      <c r="K310" s="18"/>
      <c r="L310" s="18"/>
      <c r="M310" s="18"/>
      <c r="N310" s="18"/>
      <c r="O310" s="18">
        <f>SUM(TABELA2567[[#This Row],[T1]:[T7]])</f>
        <v>0</v>
      </c>
      <c r="P310" s="20">
        <f>TABELA2567[[#This Row],[QTDE]]*TABELA2567[[#This Row],[PREÇO]]</f>
        <v>0</v>
      </c>
      <c r="Q310" s="38">
        <f>VLOOKUP($A:$A,[1]Planilha1!$B:$L,7,0)</f>
        <v>298</v>
      </c>
      <c r="R310" s="38">
        <f>VLOOKUP($A:$A,[1]Planilha1!$B:$L,8,0)</f>
        <v>135.44999999999999</v>
      </c>
      <c r="S310" s="37">
        <f>TABELA2567[[#This Row],[PREÇO]]/TABELA2567[[#This Row],[Coluna1]]-1</f>
        <v>-0.62963087248322147</v>
      </c>
      <c r="T310" s="37">
        <f>TABELA2567[[#This Row],[PREÇO]]/TABELA2567[[#This Row],[Coluna2]]-1</f>
        <v>-0.18516057585825019</v>
      </c>
    </row>
    <row r="311" spans="1:20" x14ac:dyDescent="0.2">
      <c r="A311" s="1" t="str">
        <f>TRIM(TABELA2567[[#This Row],[PRODUTO]])&amp;TRIM(TABELA2567[[#This Row],[COR]])</f>
        <v>69.12.030021092</v>
      </c>
      <c r="B311" s="17" t="s">
        <v>738</v>
      </c>
      <c r="C311" s="18" t="s">
        <v>739</v>
      </c>
      <c r="D311" s="18" t="s">
        <v>119</v>
      </c>
      <c r="E311" s="18" t="s">
        <v>120</v>
      </c>
      <c r="F311" s="19">
        <v>73.33</v>
      </c>
      <c r="G311" s="18" t="s">
        <v>69</v>
      </c>
      <c r="H311" s="18"/>
      <c r="I311" s="18"/>
      <c r="J311" s="18"/>
      <c r="K311" s="18"/>
      <c r="L311" s="18"/>
      <c r="M311" s="18"/>
      <c r="N311" s="18"/>
      <c r="O311" s="18">
        <f>SUM(TABELA2567[[#This Row],[T1]:[T7]])</f>
        <v>0</v>
      </c>
      <c r="P311" s="20">
        <f>TABELA2567[[#This Row],[QTDE]]*TABELA2567[[#This Row],[PREÇO]]</f>
        <v>0</v>
      </c>
      <c r="Q311" s="38">
        <f>VLOOKUP($A:$A,[1]Planilha1!$B:$L,7,0)</f>
        <v>198</v>
      </c>
      <c r="R311" s="38">
        <f>VLOOKUP($A:$A,[1]Planilha1!$B:$L,8,0)</f>
        <v>90</v>
      </c>
      <c r="S311" s="37">
        <f>TABELA2567[[#This Row],[PREÇO]]/TABELA2567[[#This Row],[Coluna1]]-1</f>
        <v>-0.62964646464646468</v>
      </c>
      <c r="T311" s="37">
        <f>TABELA2567[[#This Row],[PREÇO]]/TABELA2567[[#This Row],[Coluna2]]-1</f>
        <v>-0.18522222222222229</v>
      </c>
    </row>
    <row r="312" spans="1:20" x14ac:dyDescent="0.2">
      <c r="A312" s="1" t="str">
        <f>TRIM(TABELA2567[[#This Row],[PRODUTO]])&amp;TRIM(TABELA2567[[#This Row],[COR]])</f>
        <v>78.01.03460005</v>
      </c>
      <c r="B312" s="17" t="s">
        <v>740</v>
      </c>
      <c r="C312" s="18" t="s">
        <v>741</v>
      </c>
      <c r="D312" s="18" t="s">
        <v>32</v>
      </c>
      <c r="E312" s="18" t="s">
        <v>33</v>
      </c>
      <c r="F312" s="19">
        <v>258.52</v>
      </c>
      <c r="G312" s="18" t="s">
        <v>56</v>
      </c>
      <c r="H312" s="18"/>
      <c r="I312" s="18"/>
      <c r="J312" s="18"/>
      <c r="K312" s="18"/>
      <c r="L312" s="18"/>
      <c r="M312" s="18"/>
      <c r="N312" s="18"/>
      <c r="O312" s="18">
        <f>SUM(TABELA2567[[#This Row],[T1]:[T7]])</f>
        <v>0</v>
      </c>
      <c r="P312" s="20">
        <f>TABELA2567[[#This Row],[QTDE]]*TABELA2567[[#This Row],[PREÇO]]</f>
        <v>0</v>
      </c>
      <c r="Q312" s="38">
        <f>VLOOKUP($A:$A,[1]Planilha1!$B:$L,7,0)</f>
        <v>698</v>
      </c>
      <c r="R312" s="38">
        <f>VLOOKUP($A:$A,[1]Planilha1!$B:$L,8,0)</f>
        <v>317.27</v>
      </c>
      <c r="S312" s="37">
        <f>TABELA2567[[#This Row],[PREÇO]]/TABELA2567[[#This Row],[Coluna1]]-1</f>
        <v>-0.62962750716332383</v>
      </c>
      <c r="T312" s="37">
        <f>TABELA2567[[#This Row],[PREÇO]]/TABELA2567[[#This Row],[Coluna2]]-1</f>
        <v>-0.18517351152015638</v>
      </c>
    </row>
    <row r="313" spans="1:20" x14ac:dyDescent="0.2">
      <c r="A313" s="1" t="str">
        <f>TRIM(TABELA2567[[#This Row],[PRODUTO]])&amp;TRIM(TABELA2567[[#This Row],[COR]])</f>
        <v>78.01.03466006</v>
      </c>
      <c r="B313" s="17" t="s">
        <v>740</v>
      </c>
      <c r="C313" s="18" t="s">
        <v>741</v>
      </c>
      <c r="D313" s="18" t="s">
        <v>77</v>
      </c>
      <c r="E313" s="18" t="s">
        <v>742</v>
      </c>
      <c r="F313" s="19">
        <v>258.52</v>
      </c>
      <c r="G313" s="18" t="s">
        <v>56</v>
      </c>
      <c r="H313" s="18"/>
      <c r="I313" s="18"/>
      <c r="J313" s="18"/>
      <c r="K313" s="18"/>
      <c r="L313" s="18"/>
      <c r="M313" s="18"/>
      <c r="N313" s="18"/>
      <c r="O313" s="18">
        <f>SUM(TABELA2567[[#This Row],[T1]:[T7]])</f>
        <v>0</v>
      </c>
      <c r="P313" s="20">
        <f>TABELA2567[[#This Row],[QTDE]]*TABELA2567[[#This Row],[PREÇO]]</f>
        <v>0</v>
      </c>
      <c r="Q313" s="38">
        <f>VLOOKUP($A:$A,[1]Planilha1!$B:$L,7,0)</f>
        <v>698</v>
      </c>
      <c r="R313" s="38">
        <f>VLOOKUP($A:$A,[1]Planilha1!$B:$L,8,0)</f>
        <v>317.27</v>
      </c>
      <c r="S313" s="37">
        <f>TABELA2567[[#This Row],[PREÇO]]/TABELA2567[[#This Row],[Coluna1]]-1</f>
        <v>-0.62962750716332383</v>
      </c>
      <c r="T313" s="37">
        <f>TABELA2567[[#This Row],[PREÇO]]/TABELA2567[[#This Row],[Coluna2]]-1</f>
        <v>-0.18517351152015638</v>
      </c>
    </row>
    <row r="314" spans="1:20" x14ac:dyDescent="0.2">
      <c r="A314" s="1" t="str">
        <f>TRIM(TABELA2567[[#This Row],[PRODUTO]])&amp;TRIM(TABELA2567[[#This Row],[COR]])</f>
        <v>78.01.03940005</v>
      </c>
      <c r="B314" s="17" t="s">
        <v>743</v>
      </c>
      <c r="C314" s="18" t="s">
        <v>744</v>
      </c>
      <c r="D314" s="18" t="s">
        <v>32</v>
      </c>
      <c r="E314" s="18" t="s">
        <v>745</v>
      </c>
      <c r="F314" s="19">
        <v>184.44</v>
      </c>
      <c r="G314" s="18" t="s">
        <v>56</v>
      </c>
      <c r="H314" s="18"/>
      <c r="I314" s="18"/>
      <c r="J314" s="18"/>
      <c r="K314" s="18"/>
      <c r="L314" s="18"/>
      <c r="M314" s="18"/>
      <c r="N314" s="18"/>
      <c r="O314" s="18">
        <f>SUM(TABELA2567[[#This Row],[T1]:[T7]])</f>
        <v>0</v>
      </c>
      <c r="P314" s="20">
        <f>TABELA2567[[#This Row],[QTDE]]*TABELA2567[[#This Row],[PREÇO]]</f>
        <v>0</v>
      </c>
      <c r="Q314" s="38">
        <f>VLOOKUP($A:$A,[1]Planilha1!$B:$L,7,0)</f>
        <v>498</v>
      </c>
      <c r="R314" s="38">
        <f>VLOOKUP($A:$A,[1]Planilha1!$B:$L,8,0)</f>
        <v>226.36</v>
      </c>
      <c r="S314" s="37">
        <f>TABELA2567[[#This Row],[PREÇO]]/TABELA2567[[#This Row],[Coluna1]]-1</f>
        <v>-0.62963855421686743</v>
      </c>
      <c r="T314" s="37">
        <f>TABELA2567[[#This Row],[PREÇO]]/TABELA2567[[#This Row],[Coluna2]]-1</f>
        <v>-0.18519172998763034</v>
      </c>
    </row>
    <row r="315" spans="1:20" x14ac:dyDescent="0.2">
      <c r="A315" s="1" t="str">
        <f>TRIM(TABELA2567[[#This Row],[PRODUTO]])&amp;TRIM(TABELA2567[[#This Row],[COR]])</f>
        <v>78.01.03970005</v>
      </c>
      <c r="B315" s="17" t="s">
        <v>746</v>
      </c>
      <c r="C315" s="18" t="s">
        <v>747</v>
      </c>
      <c r="D315" s="18" t="s">
        <v>32</v>
      </c>
      <c r="E315" s="18" t="s">
        <v>66</v>
      </c>
      <c r="F315" s="19">
        <v>221.48</v>
      </c>
      <c r="G315" s="18" t="s">
        <v>56</v>
      </c>
      <c r="H315" s="18"/>
      <c r="I315" s="18"/>
      <c r="J315" s="18"/>
      <c r="K315" s="18"/>
      <c r="L315" s="18"/>
      <c r="M315" s="18"/>
      <c r="N315" s="18"/>
      <c r="O315" s="18">
        <f>SUM(TABELA2567[[#This Row],[T1]:[T7]])</f>
        <v>0</v>
      </c>
      <c r="P315" s="20">
        <f>TABELA2567[[#This Row],[QTDE]]*TABELA2567[[#This Row],[PREÇO]]</f>
        <v>0</v>
      </c>
      <c r="Q315" s="38">
        <f>VLOOKUP($A:$A,[1]Planilha1!$B:$L,7,0)</f>
        <v>598</v>
      </c>
      <c r="R315" s="38">
        <f>VLOOKUP($A:$A,[1]Planilha1!$B:$L,8,0)</f>
        <v>271.82</v>
      </c>
      <c r="S315" s="37">
        <f>TABELA2567[[#This Row],[PREÇO]]/TABELA2567[[#This Row],[Coluna1]]-1</f>
        <v>-0.62963210702341144</v>
      </c>
      <c r="T315" s="37">
        <f>TABELA2567[[#This Row],[PREÇO]]/TABELA2567[[#This Row],[Coluna2]]-1</f>
        <v>-0.18519608564491208</v>
      </c>
    </row>
    <row r="316" spans="1:20" x14ac:dyDescent="0.2">
      <c r="A316" s="1" t="str">
        <f>TRIM(TABELA2567[[#This Row],[PRODUTO]])&amp;TRIM(TABELA2567[[#This Row],[COR]])</f>
        <v>78.01.04416216</v>
      </c>
      <c r="B316" s="17" t="s">
        <v>748</v>
      </c>
      <c r="C316" s="18" t="s">
        <v>749</v>
      </c>
      <c r="D316" s="18" t="s">
        <v>47</v>
      </c>
      <c r="E316" s="18" t="s">
        <v>60</v>
      </c>
      <c r="F316" s="19">
        <v>243.7</v>
      </c>
      <c r="G316" s="18" t="s">
        <v>56</v>
      </c>
      <c r="H316" s="18"/>
      <c r="I316" s="18"/>
      <c r="J316" s="18"/>
      <c r="K316" s="18"/>
      <c r="L316" s="18"/>
      <c r="M316" s="18"/>
      <c r="N316" s="18"/>
      <c r="O316" s="18">
        <f>SUM(TABELA2567[[#This Row],[T1]:[T7]])</f>
        <v>0</v>
      </c>
      <c r="P316" s="20">
        <f>TABELA2567[[#This Row],[QTDE]]*TABELA2567[[#This Row],[PREÇO]]</f>
        <v>0</v>
      </c>
      <c r="Q316" s="38">
        <f>VLOOKUP($A:$A,[1]Planilha1!$B:$L,7,0)</f>
        <v>658</v>
      </c>
      <c r="R316" s="38">
        <f>VLOOKUP($A:$A,[1]Planilha1!$B:$L,8,0)</f>
        <v>299.08999999999997</v>
      </c>
      <c r="S316" s="37">
        <f>TABELA2567[[#This Row],[PREÇO]]/TABELA2567[[#This Row],[Coluna1]]-1</f>
        <v>-0.62963525835866263</v>
      </c>
      <c r="T316" s="37">
        <f>TABELA2567[[#This Row],[PREÇO]]/TABELA2567[[#This Row],[Coluna2]]-1</f>
        <v>-0.18519509177839444</v>
      </c>
    </row>
    <row r="317" spans="1:20" x14ac:dyDescent="0.2">
      <c r="A317" s="1" t="str">
        <f>TRIM(TABELA2567[[#This Row],[PRODUTO]])&amp;TRIM(TABELA2567[[#This Row],[COR]])</f>
        <v>78.01.04510003</v>
      </c>
      <c r="B317" s="17" t="s">
        <v>750</v>
      </c>
      <c r="C317" s="18" t="s">
        <v>751</v>
      </c>
      <c r="D317" s="18" t="s">
        <v>42</v>
      </c>
      <c r="E317" s="18" t="s">
        <v>752</v>
      </c>
      <c r="F317" s="19">
        <v>221.48</v>
      </c>
      <c r="G317" s="18" t="s">
        <v>56</v>
      </c>
      <c r="H317" s="18"/>
      <c r="I317" s="18"/>
      <c r="J317" s="18"/>
      <c r="K317" s="18"/>
      <c r="L317" s="18"/>
      <c r="M317" s="18"/>
      <c r="N317" s="18"/>
      <c r="O317" s="18">
        <f>SUM(TABELA2567[[#This Row],[T1]:[T7]])</f>
        <v>0</v>
      </c>
      <c r="P317" s="20">
        <f>TABELA2567[[#This Row],[QTDE]]*TABELA2567[[#This Row],[PREÇO]]</f>
        <v>0</v>
      </c>
      <c r="Q317" s="38">
        <f>VLOOKUP($A:$A,[1]Planilha1!$B:$L,7,0)</f>
        <v>598</v>
      </c>
      <c r="R317" s="38">
        <f>VLOOKUP($A:$A,[1]Planilha1!$B:$L,8,0)</f>
        <v>271.82</v>
      </c>
      <c r="S317" s="37">
        <f>TABELA2567[[#This Row],[PREÇO]]/TABELA2567[[#This Row],[Coluna1]]-1</f>
        <v>-0.62963210702341144</v>
      </c>
      <c r="T317" s="37">
        <f>TABELA2567[[#This Row],[PREÇO]]/TABELA2567[[#This Row],[Coluna2]]-1</f>
        <v>-0.18519608564491208</v>
      </c>
    </row>
    <row r="318" spans="1:20" x14ac:dyDescent="0.2">
      <c r="A318" s="1" t="str">
        <f>TRIM(TABELA2567[[#This Row],[PRODUTO]])&amp;TRIM(TABELA2567[[#This Row],[COR]])</f>
        <v>78.01.04660005</v>
      </c>
      <c r="B318" s="17" t="s">
        <v>753</v>
      </c>
      <c r="C318" s="18" t="s">
        <v>754</v>
      </c>
      <c r="D318" s="18" t="s">
        <v>32</v>
      </c>
      <c r="E318" s="18" t="s">
        <v>33</v>
      </c>
      <c r="F318" s="19">
        <v>258.52</v>
      </c>
      <c r="G318" s="18" t="s">
        <v>61</v>
      </c>
      <c r="H318" s="18"/>
      <c r="I318" s="18"/>
      <c r="J318" s="18"/>
      <c r="K318" s="18"/>
      <c r="L318" s="18"/>
      <c r="M318" s="18"/>
      <c r="N318" s="18"/>
      <c r="O318" s="18">
        <f>SUM(TABELA2567[[#This Row],[T1]:[T7]])</f>
        <v>0</v>
      </c>
      <c r="P318" s="20">
        <f>TABELA2567[[#This Row],[QTDE]]*TABELA2567[[#This Row],[PREÇO]]</f>
        <v>0</v>
      </c>
      <c r="Q318" s="38">
        <f>VLOOKUP($A:$A,[1]Planilha1!$B:$L,7,0)</f>
        <v>698</v>
      </c>
      <c r="R318" s="38">
        <f>VLOOKUP($A:$A,[1]Planilha1!$B:$L,8,0)</f>
        <v>317.27</v>
      </c>
      <c r="S318" s="37">
        <f>TABELA2567[[#This Row],[PREÇO]]/TABELA2567[[#This Row],[Coluna1]]-1</f>
        <v>-0.62962750716332383</v>
      </c>
      <c r="T318" s="37">
        <f>TABELA2567[[#This Row],[PREÇO]]/TABELA2567[[#This Row],[Coluna2]]-1</f>
        <v>-0.18517351152015638</v>
      </c>
    </row>
    <row r="319" spans="1:20" x14ac:dyDescent="0.2">
      <c r="A319" s="1" t="str">
        <f>TRIM(TABELA2567[[#This Row],[PRODUTO]])&amp;TRIM(TABELA2567[[#This Row],[COR]])</f>
        <v>78.01.04980005</v>
      </c>
      <c r="B319" s="17" t="s">
        <v>755</v>
      </c>
      <c r="C319" s="18" t="s">
        <v>756</v>
      </c>
      <c r="D319" s="18" t="s">
        <v>32</v>
      </c>
      <c r="E319" s="18" t="s">
        <v>33</v>
      </c>
      <c r="F319" s="19">
        <v>169.63</v>
      </c>
      <c r="G319" s="18" t="s">
        <v>56</v>
      </c>
      <c r="H319" s="18"/>
      <c r="I319" s="18"/>
      <c r="J319" s="18"/>
      <c r="K319" s="18"/>
      <c r="L319" s="18"/>
      <c r="M319" s="18"/>
      <c r="N319" s="18"/>
      <c r="O319" s="18">
        <f>SUM(TABELA2567[[#This Row],[T1]:[T7]])</f>
        <v>0</v>
      </c>
      <c r="P319" s="20">
        <f>TABELA2567[[#This Row],[QTDE]]*TABELA2567[[#This Row],[PREÇO]]</f>
        <v>0</v>
      </c>
      <c r="Q319" s="38">
        <f>VLOOKUP($A:$A,[1]Planilha1!$B:$L,7,0)</f>
        <v>458</v>
      </c>
      <c r="R319" s="38">
        <f>VLOOKUP($A:$A,[1]Planilha1!$B:$L,8,0)</f>
        <v>208.18</v>
      </c>
      <c r="S319" s="37">
        <f>TABELA2567[[#This Row],[PREÇO]]/TABELA2567[[#This Row],[Coluna1]]-1</f>
        <v>-0.62962882096069872</v>
      </c>
      <c r="T319" s="37">
        <f>TABELA2567[[#This Row],[PREÇO]]/TABELA2567[[#This Row],[Coluna2]]-1</f>
        <v>-0.18517628974925548</v>
      </c>
    </row>
    <row r="320" spans="1:20" x14ac:dyDescent="0.2">
      <c r="A320" s="1" t="str">
        <f>TRIM(TABELA2567[[#This Row],[PRODUTO]])&amp;TRIM(TABELA2567[[#This Row],[COR]])</f>
        <v>78.01.05000005</v>
      </c>
      <c r="B320" s="17" t="s">
        <v>757</v>
      </c>
      <c r="C320" s="18" t="s">
        <v>758</v>
      </c>
      <c r="D320" s="18" t="s">
        <v>32</v>
      </c>
      <c r="E320" s="18" t="s">
        <v>33</v>
      </c>
      <c r="F320" s="19">
        <v>184.44</v>
      </c>
      <c r="G320" s="18" t="s">
        <v>56</v>
      </c>
      <c r="H320" s="18"/>
      <c r="I320" s="18"/>
      <c r="J320" s="18"/>
      <c r="K320" s="18"/>
      <c r="L320" s="18"/>
      <c r="M320" s="18"/>
      <c r="N320" s="18"/>
      <c r="O320" s="18">
        <f>SUM(TABELA2567[[#This Row],[T1]:[T7]])</f>
        <v>0</v>
      </c>
      <c r="P320" s="20">
        <f>TABELA2567[[#This Row],[QTDE]]*TABELA2567[[#This Row],[PREÇO]]</f>
        <v>0</v>
      </c>
      <c r="Q320" s="38">
        <f>VLOOKUP($A:$A,[1]Planilha1!$B:$L,7,0)</f>
        <v>498</v>
      </c>
      <c r="R320" s="38">
        <f>VLOOKUP($A:$A,[1]Planilha1!$B:$L,8,0)</f>
        <v>226.36</v>
      </c>
      <c r="S320" s="37">
        <f>TABELA2567[[#This Row],[PREÇO]]/TABELA2567[[#This Row],[Coluna1]]-1</f>
        <v>-0.62963855421686743</v>
      </c>
      <c r="T320" s="37">
        <f>TABELA2567[[#This Row],[PREÇO]]/TABELA2567[[#This Row],[Coluna2]]-1</f>
        <v>-0.18519172998763034</v>
      </c>
    </row>
    <row r="321" spans="1:20" x14ac:dyDescent="0.2">
      <c r="A321" s="1" t="str">
        <f>TRIM(TABELA2567[[#This Row],[PRODUTO]])&amp;TRIM(TABELA2567[[#This Row],[COR]])</f>
        <v>78.01.05030003</v>
      </c>
      <c r="B321" s="17" t="s">
        <v>759</v>
      </c>
      <c r="C321" s="18" t="s">
        <v>760</v>
      </c>
      <c r="D321" s="18" t="s">
        <v>42</v>
      </c>
      <c r="E321" s="18" t="s">
        <v>43</v>
      </c>
      <c r="F321" s="19">
        <v>221.48</v>
      </c>
      <c r="G321" s="18" t="s">
        <v>56</v>
      </c>
      <c r="H321" s="18"/>
      <c r="I321" s="18"/>
      <c r="J321" s="18"/>
      <c r="K321" s="18"/>
      <c r="L321" s="18"/>
      <c r="M321" s="18"/>
      <c r="N321" s="18"/>
      <c r="O321" s="18">
        <f>SUM(TABELA2567[[#This Row],[T1]:[T7]])</f>
        <v>0</v>
      </c>
      <c r="P321" s="20">
        <f>TABELA2567[[#This Row],[QTDE]]*TABELA2567[[#This Row],[PREÇO]]</f>
        <v>0</v>
      </c>
      <c r="Q321" s="38">
        <f>VLOOKUP($A:$A,[1]Planilha1!$B:$L,7,0)</f>
        <v>598</v>
      </c>
      <c r="R321" s="38">
        <f>VLOOKUP($A:$A,[1]Planilha1!$B:$L,8,0)</f>
        <v>271.82</v>
      </c>
      <c r="S321" s="37">
        <f>TABELA2567[[#This Row],[PREÇO]]/TABELA2567[[#This Row],[Coluna1]]-1</f>
        <v>-0.62963210702341144</v>
      </c>
      <c r="T321" s="37">
        <f>TABELA2567[[#This Row],[PREÇO]]/TABELA2567[[#This Row],[Coluna2]]-1</f>
        <v>-0.18519608564491208</v>
      </c>
    </row>
    <row r="322" spans="1:20" x14ac:dyDescent="0.2">
      <c r="A322" s="1" t="str">
        <f>TRIM(TABELA2567[[#This Row],[PRODUTO]])&amp;TRIM(TABELA2567[[#This Row],[COR]])</f>
        <v>78.01.05030005</v>
      </c>
      <c r="B322" s="17" t="s">
        <v>759</v>
      </c>
      <c r="C322" s="18" t="s">
        <v>760</v>
      </c>
      <c r="D322" s="18" t="s">
        <v>32</v>
      </c>
      <c r="E322" s="18" t="s">
        <v>33</v>
      </c>
      <c r="F322" s="19">
        <v>221.48</v>
      </c>
      <c r="G322" s="18" t="s">
        <v>56</v>
      </c>
      <c r="H322" s="18"/>
      <c r="I322" s="18"/>
      <c r="J322" s="18"/>
      <c r="K322" s="18"/>
      <c r="L322" s="18"/>
      <c r="M322" s="18"/>
      <c r="N322" s="18"/>
      <c r="O322" s="18">
        <f>SUM(TABELA2567[[#This Row],[T1]:[T7]])</f>
        <v>0</v>
      </c>
      <c r="P322" s="20">
        <f>TABELA2567[[#This Row],[QTDE]]*TABELA2567[[#This Row],[PREÇO]]</f>
        <v>0</v>
      </c>
      <c r="Q322" s="38">
        <f>VLOOKUP($A:$A,[1]Planilha1!$B:$L,7,0)</f>
        <v>598</v>
      </c>
      <c r="R322" s="38">
        <f>VLOOKUP($A:$A,[1]Planilha1!$B:$L,8,0)</f>
        <v>271.82</v>
      </c>
      <c r="S322" s="37">
        <f>TABELA2567[[#This Row],[PREÇO]]/TABELA2567[[#This Row],[Coluna1]]-1</f>
        <v>-0.62963210702341144</v>
      </c>
      <c r="T322" s="37">
        <f>TABELA2567[[#This Row],[PREÇO]]/TABELA2567[[#This Row],[Coluna2]]-1</f>
        <v>-0.18519608564491208</v>
      </c>
    </row>
    <row r="323" spans="1:20" x14ac:dyDescent="0.2">
      <c r="A323" s="1" t="str">
        <f>TRIM(TABELA2567[[#This Row],[PRODUTO]])&amp;TRIM(TABELA2567[[#This Row],[COR]])</f>
        <v>78.01.05060005</v>
      </c>
      <c r="B323" s="17" t="s">
        <v>761</v>
      </c>
      <c r="C323" s="18" t="s">
        <v>762</v>
      </c>
      <c r="D323" s="18" t="s">
        <v>32</v>
      </c>
      <c r="E323" s="18" t="s">
        <v>763</v>
      </c>
      <c r="F323" s="19">
        <v>147.41</v>
      </c>
      <c r="G323" s="18" t="s">
        <v>56</v>
      </c>
      <c r="H323" s="18"/>
      <c r="I323" s="18"/>
      <c r="J323" s="18"/>
      <c r="K323" s="18"/>
      <c r="L323" s="18"/>
      <c r="M323" s="18"/>
      <c r="N323" s="18"/>
      <c r="O323" s="18">
        <f>SUM(TABELA2567[[#This Row],[T1]:[T7]])</f>
        <v>0</v>
      </c>
      <c r="P323" s="20">
        <f>TABELA2567[[#This Row],[QTDE]]*TABELA2567[[#This Row],[PREÇO]]</f>
        <v>0</v>
      </c>
      <c r="Q323" s="38">
        <f>VLOOKUP($A:$A,[1]Planilha1!$B:$L,7,0)</f>
        <v>398</v>
      </c>
      <c r="R323" s="38">
        <f>VLOOKUP($A:$A,[1]Planilha1!$B:$L,8,0)</f>
        <v>180.91</v>
      </c>
      <c r="S323" s="37">
        <f>TABELA2567[[#This Row],[PREÇO]]/TABELA2567[[#This Row],[Coluna1]]-1</f>
        <v>-0.62962311557788952</v>
      </c>
      <c r="T323" s="37">
        <f>TABELA2567[[#This Row],[PREÇO]]/TABELA2567[[#This Row],[Coluna2]]-1</f>
        <v>-0.18517494886960373</v>
      </c>
    </row>
    <row r="324" spans="1:20" x14ac:dyDescent="0.2">
      <c r="A324" s="1" t="str">
        <f>TRIM(TABELA2567[[#This Row],[PRODUTO]])&amp;TRIM(TABELA2567[[#This Row],[COR]])</f>
        <v>78.01.05061100</v>
      </c>
      <c r="B324" s="17" t="s">
        <v>761</v>
      </c>
      <c r="C324" s="18" t="s">
        <v>762</v>
      </c>
      <c r="D324" s="18" t="s">
        <v>764</v>
      </c>
      <c r="E324" s="18" t="s">
        <v>765</v>
      </c>
      <c r="F324" s="19">
        <v>147.41</v>
      </c>
      <c r="G324" s="18" t="s">
        <v>56</v>
      </c>
      <c r="H324" s="18"/>
      <c r="I324" s="18"/>
      <c r="J324" s="18"/>
      <c r="K324" s="18"/>
      <c r="L324" s="18"/>
      <c r="M324" s="18"/>
      <c r="N324" s="18"/>
      <c r="O324" s="18">
        <f>SUM(TABELA2567[[#This Row],[T1]:[T7]])</f>
        <v>0</v>
      </c>
      <c r="P324" s="20">
        <f>TABELA2567[[#This Row],[QTDE]]*TABELA2567[[#This Row],[PREÇO]]</f>
        <v>0</v>
      </c>
      <c r="Q324" s="38">
        <f>VLOOKUP($A:$A,[1]Planilha1!$B:$L,7,0)</f>
        <v>398</v>
      </c>
      <c r="R324" s="38">
        <f>VLOOKUP($A:$A,[1]Planilha1!$B:$L,8,0)</f>
        <v>180.91</v>
      </c>
      <c r="S324" s="37">
        <f>TABELA2567[[#This Row],[PREÇO]]/TABELA2567[[#This Row],[Coluna1]]-1</f>
        <v>-0.62962311557788952</v>
      </c>
      <c r="T324" s="37">
        <f>TABELA2567[[#This Row],[PREÇO]]/TABELA2567[[#This Row],[Coluna2]]-1</f>
        <v>-0.18517494886960373</v>
      </c>
    </row>
    <row r="325" spans="1:20" x14ac:dyDescent="0.2">
      <c r="A325" s="1" t="str">
        <f>TRIM(TABELA2567[[#This Row],[PRODUTO]])&amp;TRIM(TABELA2567[[#This Row],[COR]])</f>
        <v>78.01.05090005</v>
      </c>
      <c r="B325" s="17" t="s">
        <v>766</v>
      </c>
      <c r="C325" s="18" t="s">
        <v>767</v>
      </c>
      <c r="D325" s="18" t="s">
        <v>32</v>
      </c>
      <c r="E325" s="18" t="s">
        <v>33</v>
      </c>
      <c r="F325" s="19">
        <v>221.48</v>
      </c>
      <c r="G325" s="18" t="s">
        <v>56</v>
      </c>
      <c r="H325" s="18"/>
      <c r="I325" s="18"/>
      <c r="J325" s="18"/>
      <c r="K325" s="18"/>
      <c r="L325" s="18"/>
      <c r="M325" s="18"/>
      <c r="N325" s="18"/>
      <c r="O325" s="18">
        <f>SUM(TABELA2567[[#This Row],[T1]:[T7]])</f>
        <v>0</v>
      </c>
      <c r="P325" s="20">
        <f>TABELA2567[[#This Row],[QTDE]]*TABELA2567[[#This Row],[PREÇO]]</f>
        <v>0</v>
      </c>
      <c r="Q325" s="38">
        <f>VLOOKUP($A:$A,[1]Planilha1!$B:$L,7,0)</f>
        <v>598</v>
      </c>
      <c r="R325" s="38">
        <f>VLOOKUP($A:$A,[1]Planilha1!$B:$L,8,0)</f>
        <v>271.82</v>
      </c>
      <c r="S325" s="37">
        <f>TABELA2567[[#This Row],[PREÇO]]/TABELA2567[[#This Row],[Coluna1]]-1</f>
        <v>-0.62963210702341144</v>
      </c>
      <c r="T325" s="37">
        <f>TABELA2567[[#This Row],[PREÇO]]/TABELA2567[[#This Row],[Coluna2]]-1</f>
        <v>-0.18519608564491208</v>
      </c>
    </row>
    <row r="326" spans="1:20" x14ac:dyDescent="0.2">
      <c r="A326" s="1" t="str">
        <f>TRIM(TABELA2567[[#This Row],[PRODUTO]])&amp;TRIM(TABELA2567[[#This Row],[COR]])</f>
        <v>78.01.051201041</v>
      </c>
      <c r="B326" s="17" t="s">
        <v>768</v>
      </c>
      <c r="C326" s="18" t="s">
        <v>760</v>
      </c>
      <c r="D326" s="18" t="s">
        <v>769</v>
      </c>
      <c r="E326" s="18" t="s">
        <v>770</v>
      </c>
      <c r="F326" s="19">
        <v>221.48</v>
      </c>
      <c r="G326" s="18" t="s">
        <v>56</v>
      </c>
      <c r="H326" s="18"/>
      <c r="I326" s="18"/>
      <c r="J326" s="18"/>
      <c r="K326" s="18"/>
      <c r="L326" s="18"/>
      <c r="M326" s="18"/>
      <c r="N326" s="18"/>
      <c r="O326" s="18">
        <f>SUM(TABELA2567[[#This Row],[T1]:[T7]])</f>
        <v>0</v>
      </c>
      <c r="P326" s="20">
        <f>TABELA2567[[#This Row],[QTDE]]*TABELA2567[[#This Row],[PREÇO]]</f>
        <v>0</v>
      </c>
      <c r="Q326" s="38">
        <f>VLOOKUP($A:$A,[1]Planilha1!$B:$L,7,0)</f>
        <v>598</v>
      </c>
      <c r="R326" s="38">
        <f>VLOOKUP($A:$A,[1]Planilha1!$B:$L,8,0)</f>
        <v>271.82</v>
      </c>
      <c r="S326" s="37">
        <f>TABELA2567[[#This Row],[PREÇO]]/TABELA2567[[#This Row],[Coluna1]]-1</f>
        <v>-0.62963210702341144</v>
      </c>
      <c r="T326" s="37">
        <f>TABELA2567[[#This Row],[PREÇO]]/TABELA2567[[#This Row],[Coluna2]]-1</f>
        <v>-0.18519608564491208</v>
      </c>
    </row>
    <row r="327" spans="1:20" x14ac:dyDescent="0.2">
      <c r="A327" s="1" t="str">
        <f>TRIM(TABELA2567[[#This Row],[PRODUTO]])&amp;TRIM(TABELA2567[[#This Row],[COR]])</f>
        <v>78.01.051401040</v>
      </c>
      <c r="B327" s="17" t="s">
        <v>771</v>
      </c>
      <c r="C327" s="18" t="s">
        <v>758</v>
      </c>
      <c r="D327" s="18" t="s">
        <v>95</v>
      </c>
      <c r="E327" s="18" t="s">
        <v>96</v>
      </c>
      <c r="F327" s="19">
        <v>184.44</v>
      </c>
      <c r="G327" s="18" t="s">
        <v>56</v>
      </c>
      <c r="H327" s="18"/>
      <c r="I327" s="18"/>
      <c r="J327" s="18"/>
      <c r="K327" s="18"/>
      <c r="L327" s="18"/>
      <c r="M327" s="18"/>
      <c r="N327" s="18"/>
      <c r="O327" s="18">
        <f>SUM(TABELA2567[[#This Row],[T1]:[T7]])</f>
        <v>0</v>
      </c>
      <c r="P327" s="20">
        <f>TABELA2567[[#This Row],[QTDE]]*TABELA2567[[#This Row],[PREÇO]]</f>
        <v>0</v>
      </c>
      <c r="Q327" s="38">
        <f>VLOOKUP($A:$A,[1]Planilha1!$B:$L,7,0)</f>
        <v>498</v>
      </c>
      <c r="R327" s="38">
        <f>VLOOKUP($A:$A,[1]Planilha1!$B:$L,8,0)</f>
        <v>226.36</v>
      </c>
      <c r="S327" s="37">
        <f>TABELA2567[[#This Row],[PREÇO]]/TABELA2567[[#This Row],[Coluna1]]-1</f>
        <v>-0.62963855421686743</v>
      </c>
      <c r="T327" s="37">
        <f>TABELA2567[[#This Row],[PREÇO]]/TABELA2567[[#This Row],[Coluna2]]-1</f>
        <v>-0.18519172998763034</v>
      </c>
    </row>
    <row r="328" spans="1:20" x14ac:dyDescent="0.2">
      <c r="A328" s="1" t="str">
        <f>TRIM(TABELA2567[[#This Row],[PRODUTO]])&amp;TRIM(TABELA2567[[#This Row],[COR]])</f>
        <v>78.01.051701040</v>
      </c>
      <c r="B328" s="17" t="s">
        <v>772</v>
      </c>
      <c r="C328" s="18" t="s">
        <v>773</v>
      </c>
      <c r="D328" s="18" t="s">
        <v>95</v>
      </c>
      <c r="E328" s="18" t="s">
        <v>96</v>
      </c>
      <c r="F328" s="19">
        <v>110.37</v>
      </c>
      <c r="G328" s="18" t="s">
        <v>69</v>
      </c>
      <c r="H328" s="18"/>
      <c r="I328" s="18"/>
      <c r="J328" s="18"/>
      <c r="K328" s="18"/>
      <c r="L328" s="18"/>
      <c r="M328" s="18"/>
      <c r="N328" s="18"/>
      <c r="O328" s="18">
        <f>SUM(TABELA2567[[#This Row],[T1]:[T7]])</f>
        <v>0</v>
      </c>
      <c r="P328" s="20">
        <f>TABELA2567[[#This Row],[QTDE]]*TABELA2567[[#This Row],[PREÇO]]</f>
        <v>0</v>
      </c>
      <c r="Q328" s="38">
        <f>VLOOKUP($A:$A,[1]Planilha1!$B:$L,7,0)</f>
        <v>298</v>
      </c>
      <c r="R328" s="38">
        <f>VLOOKUP($A:$A,[1]Planilha1!$B:$L,8,0)</f>
        <v>135.44999999999999</v>
      </c>
      <c r="S328" s="37">
        <f>TABELA2567[[#This Row],[PREÇO]]/TABELA2567[[#This Row],[Coluna1]]-1</f>
        <v>-0.62963087248322147</v>
      </c>
      <c r="T328" s="37">
        <f>TABELA2567[[#This Row],[PREÇO]]/TABELA2567[[#This Row],[Coluna2]]-1</f>
        <v>-0.18516057585825019</v>
      </c>
    </row>
    <row r="329" spans="1:20" x14ac:dyDescent="0.2">
      <c r="A329" s="1" t="str">
        <f>TRIM(TABELA2567[[#This Row],[PRODUTO]])&amp;TRIM(TABELA2567[[#This Row],[COR]])</f>
        <v>78.06.00960005</v>
      </c>
      <c r="B329" s="17" t="s">
        <v>774</v>
      </c>
      <c r="C329" s="18" t="s">
        <v>775</v>
      </c>
      <c r="D329" s="18" t="s">
        <v>32</v>
      </c>
      <c r="E329" s="18" t="s">
        <v>66</v>
      </c>
      <c r="F329" s="19">
        <v>295.56</v>
      </c>
      <c r="G329" s="18" t="s">
        <v>56</v>
      </c>
      <c r="H329" s="18"/>
      <c r="I329" s="18"/>
      <c r="J329" s="18"/>
      <c r="K329" s="18"/>
      <c r="L329" s="18"/>
      <c r="M329" s="18"/>
      <c r="N329" s="18"/>
      <c r="O329" s="18">
        <f>SUM(TABELA2567[[#This Row],[T1]:[T7]])</f>
        <v>0</v>
      </c>
      <c r="P329" s="20">
        <f>TABELA2567[[#This Row],[QTDE]]*TABELA2567[[#This Row],[PREÇO]]</f>
        <v>0</v>
      </c>
      <c r="Q329" s="38">
        <f>VLOOKUP($A:$A,[1]Planilha1!$B:$L,7,0)</f>
        <v>798</v>
      </c>
      <c r="R329" s="38">
        <f>VLOOKUP($A:$A,[1]Planilha1!$B:$L,8,0)</f>
        <v>362.73</v>
      </c>
      <c r="S329" s="37">
        <f>TABELA2567[[#This Row],[PREÇO]]/TABELA2567[[#This Row],[Coluna1]]-1</f>
        <v>-0.62962406015037597</v>
      </c>
      <c r="T329" s="37">
        <f>TABELA2567[[#This Row],[PREÇO]]/TABELA2567[[#This Row],[Coluna2]]-1</f>
        <v>-0.18517905880406915</v>
      </c>
    </row>
    <row r="330" spans="1:20" x14ac:dyDescent="0.2">
      <c r="A330" s="1" t="str">
        <f>TRIM(TABELA2567[[#This Row],[PRODUTO]])&amp;TRIM(TABELA2567[[#This Row],[COR]])</f>
        <v>78.06.01220003</v>
      </c>
      <c r="B330" s="17" t="s">
        <v>776</v>
      </c>
      <c r="C330" s="18" t="s">
        <v>777</v>
      </c>
      <c r="D330" s="18" t="s">
        <v>42</v>
      </c>
      <c r="E330" s="18" t="s">
        <v>43</v>
      </c>
      <c r="F330" s="19">
        <v>132.59</v>
      </c>
      <c r="G330" s="18" t="s">
        <v>56</v>
      </c>
      <c r="H330" s="18"/>
      <c r="I330" s="18"/>
      <c r="J330" s="18"/>
      <c r="K330" s="18"/>
      <c r="L330" s="18"/>
      <c r="M330" s="18"/>
      <c r="N330" s="18"/>
      <c r="O330" s="18">
        <f>SUM(TABELA2567[[#This Row],[T1]:[T7]])</f>
        <v>0</v>
      </c>
      <c r="P330" s="20">
        <f>TABELA2567[[#This Row],[QTDE]]*TABELA2567[[#This Row],[PREÇO]]</f>
        <v>0</v>
      </c>
      <c r="Q330" s="38">
        <f>VLOOKUP($A:$A,[1]Planilha1!$B:$L,7,0)</f>
        <v>358</v>
      </c>
      <c r="R330" s="38">
        <f>VLOOKUP($A:$A,[1]Planilha1!$B:$L,8,0)</f>
        <v>162.72999999999999</v>
      </c>
      <c r="S330" s="37">
        <f>TABELA2567[[#This Row],[PREÇO]]/TABELA2567[[#This Row],[Coluna1]]-1</f>
        <v>-0.62963687150837988</v>
      </c>
      <c r="T330" s="37">
        <f>TABELA2567[[#This Row],[PREÇO]]/TABELA2567[[#This Row],[Coluna2]]-1</f>
        <v>-0.18521477293676636</v>
      </c>
    </row>
    <row r="331" spans="1:20" x14ac:dyDescent="0.2">
      <c r="A331" s="1" t="str">
        <f>TRIM(TABELA2567[[#This Row],[PRODUTO]])&amp;TRIM(TABELA2567[[#This Row],[COR]])</f>
        <v>78.06.01220005</v>
      </c>
      <c r="B331" s="17" t="s">
        <v>776</v>
      </c>
      <c r="C331" s="18" t="s">
        <v>777</v>
      </c>
      <c r="D331" s="18" t="s">
        <v>32</v>
      </c>
      <c r="E331" s="18" t="s">
        <v>33</v>
      </c>
      <c r="F331" s="19">
        <v>132.59</v>
      </c>
      <c r="G331" s="18" t="s">
        <v>56</v>
      </c>
      <c r="H331" s="18"/>
      <c r="I331" s="18"/>
      <c r="J331" s="18"/>
      <c r="K331" s="18"/>
      <c r="L331" s="18"/>
      <c r="M331" s="18"/>
      <c r="N331" s="18"/>
      <c r="O331" s="18">
        <f>SUM(TABELA2567[[#This Row],[T1]:[T7]])</f>
        <v>0</v>
      </c>
      <c r="P331" s="20">
        <f>TABELA2567[[#This Row],[QTDE]]*TABELA2567[[#This Row],[PREÇO]]</f>
        <v>0</v>
      </c>
      <c r="Q331" s="38">
        <f>VLOOKUP($A:$A,[1]Planilha1!$B:$L,7,0)</f>
        <v>358</v>
      </c>
      <c r="R331" s="38">
        <f>VLOOKUP($A:$A,[1]Planilha1!$B:$L,8,0)</f>
        <v>162.72999999999999</v>
      </c>
      <c r="S331" s="37">
        <f>TABELA2567[[#This Row],[PREÇO]]/TABELA2567[[#This Row],[Coluna1]]-1</f>
        <v>-0.62963687150837988</v>
      </c>
      <c r="T331" s="37">
        <f>TABELA2567[[#This Row],[PREÇO]]/TABELA2567[[#This Row],[Coluna2]]-1</f>
        <v>-0.18521477293676636</v>
      </c>
    </row>
    <row r="332" spans="1:20" x14ac:dyDescent="0.2">
      <c r="A332" s="1" t="str">
        <f>TRIM(TABELA2567[[#This Row],[PRODUTO]])&amp;TRIM(TABELA2567[[#This Row],[COR]])</f>
        <v>78.06.01260005</v>
      </c>
      <c r="B332" s="17" t="s">
        <v>778</v>
      </c>
      <c r="C332" s="18" t="s">
        <v>779</v>
      </c>
      <c r="D332" s="18" t="s">
        <v>32</v>
      </c>
      <c r="E332" s="18" t="s">
        <v>33</v>
      </c>
      <c r="F332" s="19">
        <v>295.56</v>
      </c>
      <c r="G332" s="18" t="s">
        <v>56</v>
      </c>
      <c r="H332" s="18"/>
      <c r="I332" s="18"/>
      <c r="J332" s="18"/>
      <c r="K332" s="18"/>
      <c r="L332" s="18"/>
      <c r="M332" s="18"/>
      <c r="N332" s="18"/>
      <c r="O332" s="18">
        <f>SUM(TABELA2567[[#This Row],[T1]:[T7]])</f>
        <v>0</v>
      </c>
      <c r="P332" s="20">
        <f>TABELA2567[[#This Row],[QTDE]]*TABELA2567[[#This Row],[PREÇO]]</f>
        <v>0</v>
      </c>
      <c r="Q332" s="38">
        <f>VLOOKUP($A:$A,[1]Planilha1!$B:$L,7,0)</f>
        <v>798</v>
      </c>
      <c r="R332" s="38">
        <f>VLOOKUP($A:$A,[1]Planilha1!$B:$L,8,0)</f>
        <v>362.73</v>
      </c>
      <c r="S332" s="37">
        <f>TABELA2567[[#This Row],[PREÇO]]/TABELA2567[[#This Row],[Coluna1]]-1</f>
        <v>-0.62962406015037597</v>
      </c>
      <c r="T332" s="37">
        <f>TABELA2567[[#This Row],[PREÇO]]/TABELA2567[[#This Row],[Coluna2]]-1</f>
        <v>-0.18517905880406915</v>
      </c>
    </row>
    <row r="333" spans="1:20" x14ac:dyDescent="0.2">
      <c r="A333" s="1" t="str">
        <f>TRIM(TABELA2567[[#This Row],[PRODUTO]])&amp;TRIM(TABELA2567[[#This Row],[COR]])</f>
        <v>78.06.012801041</v>
      </c>
      <c r="B333" s="17" t="s">
        <v>780</v>
      </c>
      <c r="C333" s="18" t="s">
        <v>781</v>
      </c>
      <c r="D333" s="18" t="s">
        <v>769</v>
      </c>
      <c r="E333" s="18" t="s">
        <v>770</v>
      </c>
      <c r="F333" s="19">
        <v>132.59</v>
      </c>
      <c r="G333" s="18" t="s">
        <v>56</v>
      </c>
      <c r="H333" s="18"/>
      <c r="I333" s="18"/>
      <c r="J333" s="18"/>
      <c r="K333" s="18"/>
      <c r="L333" s="18"/>
      <c r="M333" s="18"/>
      <c r="N333" s="18"/>
      <c r="O333" s="18">
        <f>SUM(TABELA2567[[#This Row],[T1]:[T7]])</f>
        <v>0</v>
      </c>
      <c r="P333" s="20">
        <f>TABELA2567[[#This Row],[QTDE]]*TABELA2567[[#This Row],[PREÇO]]</f>
        <v>0</v>
      </c>
      <c r="Q333" s="38">
        <f>VLOOKUP($A:$A,[1]Planilha1!$B:$L,7,0)</f>
        <v>358</v>
      </c>
      <c r="R333" s="38">
        <f>VLOOKUP($A:$A,[1]Planilha1!$B:$L,8,0)</f>
        <v>162.72999999999999</v>
      </c>
      <c r="S333" s="37">
        <f>TABELA2567[[#This Row],[PREÇO]]/TABELA2567[[#This Row],[Coluna1]]-1</f>
        <v>-0.62963687150837988</v>
      </c>
      <c r="T333" s="37">
        <f>TABELA2567[[#This Row],[PREÇO]]/TABELA2567[[#This Row],[Coluna2]]-1</f>
        <v>-0.18521477293676636</v>
      </c>
    </row>
    <row r="334" spans="1:20" x14ac:dyDescent="0.2">
      <c r="A334" s="1" t="str">
        <f>TRIM(TABELA2567[[#This Row],[PRODUTO]])&amp;TRIM(TABELA2567[[#This Row],[COR]])</f>
        <v>79.01.00650005</v>
      </c>
      <c r="B334" s="17" t="s">
        <v>782</v>
      </c>
      <c r="C334" s="18" t="s">
        <v>783</v>
      </c>
      <c r="D334" s="18" t="s">
        <v>32</v>
      </c>
      <c r="E334" s="18" t="s">
        <v>33</v>
      </c>
      <c r="F334" s="19">
        <v>221.48</v>
      </c>
      <c r="G334" s="18" t="s">
        <v>69</v>
      </c>
      <c r="H334" s="18"/>
      <c r="I334" s="18"/>
      <c r="J334" s="18"/>
      <c r="K334" s="18"/>
      <c r="L334" s="18"/>
      <c r="M334" s="18"/>
      <c r="N334" s="18"/>
      <c r="O334" s="18">
        <f>SUM(TABELA2567[[#This Row],[T1]:[T7]])</f>
        <v>0</v>
      </c>
      <c r="P334" s="20">
        <f>TABELA2567[[#This Row],[QTDE]]*TABELA2567[[#This Row],[PREÇO]]</f>
        <v>0</v>
      </c>
      <c r="Q334" s="38">
        <f>VLOOKUP($A:$A,[1]Planilha1!$B:$L,7,0)</f>
        <v>598</v>
      </c>
      <c r="R334" s="38">
        <f>VLOOKUP($A:$A,[1]Planilha1!$B:$L,8,0)</f>
        <v>271.82</v>
      </c>
      <c r="S334" s="37">
        <f>TABELA2567[[#This Row],[PREÇO]]/TABELA2567[[#This Row],[Coluna1]]-1</f>
        <v>-0.62963210702341144</v>
      </c>
      <c r="T334" s="37">
        <f>TABELA2567[[#This Row],[PREÇO]]/TABELA2567[[#This Row],[Coluna2]]-1</f>
        <v>-0.18519608564491208</v>
      </c>
    </row>
    <row r="335" spans="1:20" x14ac:dyDescent="0.2">
      <c r="A335" s="1" t="str">
        <f>TRIM(TABELA2567[[#This Row],[PRODUTO]])&amp;TRIM(TABELA2567[[#This Row],[COR]])</f>
        <v>79.01.00680003</v>
      </c>
      <c r="B335" s="17" t="s">
        <v>784</v>
      </c>
      <c r="C335" s="18" t="s">
        <v>785</v>
      </c>
      <c r="D335" s="18" t="s">
        <v>42</v>
      </c>
      <c r="E335" s="18" t="s">
        <v>43</v>
      </c>
      <c r="F335" s="19">
        <v>221.48</v>
      </c>
      <c r="G335" s="18" t="s">
        <v>56</v>
      </c>
      <c r="H335" s="18"/>
      <c r="I335" s="18"/>
      <c r="J335" s="18"/>
      <c r="K335" s="18"/>
      <c r="L335" s="18"/>
      <c r="M335" s="18"/>
      <c r="N335" s="18"/>
      <c r="O335" s="18">
        <f>SUM(TABELA2567[[#This Row],[T1]:[T7]])</f>
        <v>0</v>
      </c>
      <c r="P335" s="20">
        <f>TABELA2567[[#This Row],[QTDE]]*TABELA2567[[#This Row],[PREÇO]]</f>
        <v>0</v>
      </c>
      <c r="Q335" s="38">
        <f>VLOOKUP($A:$A,[1]Planilha1!$B:$L,7,0)</f>
        <v>598</v>
      </c>
      <c r="R335" s="38">
        <f>VLOOKUP($A:$A,[1]Planilha1!$B:$L,8,0)</f>
        <v>271.82</v>
      </c>
      <c r="S335" s="37">
        <f>TABELA2567[[#This Row],[PREÇO]]/TABELA2567[[#This Row],[Coluna1]]-1</f>
        <v>-0.62963210702341144</v>
      </c>
      <c r="T335" s="37">
        <f>TABELA2567[[#This Row],[PREÇO]]/TABELA2567[[#This Row],[Coluna2]]-1</f>
        <v>-0.18519608564491208</v>
      </c>
    </row>
    <row r="336" spans="1:20" x14ac:dyDescent="0.2">
      <c r="A336" s="1" t="str">
        <f>TRIM(TABELA2567[[#This Row],[PRODUTO]])&amp;TRIM(TABELA2567[[#This Row],[COR]])</f>
        <v>79.01.00680005</v>
      </c>
      <c r="B336" s="17" t="s">
        <v>784</v>
      </c>
      <c r="C336" s="18" t="s">
        <v>785</v>
      </c>
      <c r="D336" s="18" t="s">
        <v>32</v>
      </c>
      <c r="E336" s="18" t="s">
        <v>33</v>
      </c>
      <c r="F336" s="19">
        <v>221.48</v>
      </c>
      <c r="G336" s="18" t="s">
        <v>56</v>
      </c>
      <c r="H336" s="18"/>
      <c r="I336" s="18"/>
      <c r="J336" s="18"/>
      <c r="K336" s="18"/>
      <c r="L336" s="18"/>
      <c r="M336" s="18"/>
      <c r="N336" s="18"/>
      <c r="O336" s="18">
        <f>SUM(TABELA2567[[#This Row],[T1]:[T7]])</f>
        <v>0</v>
      </c>
      <c r="P336" s="20">
        <f>TABELA2567[[#This Row],[QTDE]]*TABELA2567[[#This Row],[PREÇO]]</f>
        <v>0</v>
      </c>
      <c r="Q336" s="38">
        <f>VLOOKUP($A:$A,[1]Planilha1!$B:$L,7,0)</f>
        <v>598</v>
      </c>
      <c r="R336" s="38">
        <f>VLOOKUP($A:$A,[1]Planilha1!$B:$L,8,0)</f>
        <v>271.82</v>
      </c>
      <c r="S336" s="37">
        <f>TABELA2567[[#This Row],[PREÇO]]/TABELA2567[[#This Row],[Coluna1]]-1</f>
        <v>-0.62963210702341144</v>
      </c>
      <c r="T336" s="37">
        <f>TABELA2567[[#This Row],[PREÇO]]/TABELA2567[[#This Row],[Coluna2]]-1</f>
        <v>-0.18519608564491208</v>
      </c>
    </row>
    <row r="337" spans="1:20" x14ac:dyDescent="0.2">
      <c r="A337" s="1" t="str">
        <f>TRIM(TABELA2567[[#This Row],[PRODUTO]])&amp;TRIM(TABELA2567[[#This Row],[COR]])</f>
        <v>79.01.00682090</v>
      </c>
      <c r="B337" s="17" t="s">
        <v>784</v>
      </c>
      <c r="C337" s="18" t="s">
        <v>785</v>
      </c>
      <c r="D337" s="18" t="s">
        <v>786</v>
      </c>
      <c r="E337" s="18" t="s">
        <v>787</v>
      </c>
      <c r="F337" s="19">
        <v>221.48</v>
      </c>
      <c r="G337" s="18" t="s">
        <v>56</v>
      </c>
      <c r="H337" s="18"/>
      <c r="I337" s="18"/>
      <c r="J337" s="18"/>
      <c r="K337" s="18"/>
      <c r="L337" s="18"/>
      <c r="M337" s="18"/>
      <c r="N337" s="18"/>
      <c r="O337" s="18">
        <f>SUM(TABELA2567[[#This Row],[T1]:[T7]])</f>
        <v>0</v>
      </c>
      <c r="P337" s="20">
        <f>TABELA2567[[#This Row],[QTDE]]*TABELA2567[[#This Row],[PREÇO]]</f>
        <v>0</v>
      </c>
      <c r="Q337" s="38">
        <f>VLOOKUP($A:$A,[1]Planilha1!$B:$L,7,0)</f>
        <v>598</v>
      </c>
      <c r="R337" s="38">
        <f>VLOOKUP($A:$A,[1]Planilha1!$B:$L,8,0)</f>
        <v>271.82</v>
      </c>
      <c r="S337" s="37">
        <f>TABELA2567[[#This Row],[PREÇO]]/TABELA2567[[#This Row],[Coluna1]]-1</f>
        <v>-0.62963210702341144</v>
      </c>
      <c r="T337" s="37">
        <f>TABELA2567[[#This Row],[PREÇO]]/TABELA2567[[#This Row],[Coluna2]]-1</f>
        <v>-0.18519608564491208</v>
      </c>
    </row>
    <row r="338" spans="1:20" x14ac:dyDescent="0.2">
      <c r="A338" s="1" t="str">
        <f>TRIM(TABELA2567[[#This Row],[PRODUTO]])&amp;TRIM(TABELA2567[[#This Row],[COR]])</f>
        <v>79.01.006901019</v>
      </c>
      <c r="B338" s="17" t="s">
        <v>788</v>
      </c>
      <c r="C338" s="18" t="s">
        <v>785</v>
      </c>
      <c r="D338" s="18" t="s">
        <v>711</v>
      </c>
      <c r="E338" s="18" t="s">
        <v>789</v>
      </c>
      <c r="F338" s="19">
        <v>221.48</v>
      </c>
      <c r="G338" s="18" t="s">
        <v>56</v>
      </c>
      <c r="H338" s="18"/>
      <c r="I338" s="18"/>
      <c r="J338" s="18"/>
      <c r="K338" s="18"/>
      <c r="L338" s="18"/>
      <c r="M338" s="18"/>
      <c r="N338" s="18"/>
      <c r="O338" s="18">
        <f>SUM(TABELA2567[[#This Row],[T1]:[T7]])</f>
        <v>0</v>
      </c>
      <c r="P338" s="20">
        <f>TABELA2567[[#This Row],[QTDE]]*TABELA2567[[#This Row],[PREÇO]]</f>
        <v>0</v>
      </c>
      <c r="Q338" s="38">
        <f>VLOOKUP($A:$A,[1]Planilha1!$B:$L,7,0)</f>
        <v>598</v>
      </c>
      <c r="R338" s="38">
        <f>VLOOKUP($A:$A,[1]Planilha1!$B:$L,8,0)</f>
        <v>271.82</v>
      </c>
      <c r="S338" s="37">
        <f>TABELA2567[[#This Row],[PREÇO]]/TABELA2567[[#This Row],[Coluna1]]-1</f>
        <v>-0.62963210702341144</v>
      </c>
      <c r="T338" s="37">
        <f>TABELA2567[[#This Row],[PREÇO]]/TABELA2567[[#This Row],[Coluna2]]-1</f>
        <v>-0.18519608564491208</v>
      </c>
    </row>
    <row r="339" spans="1:20" x14ac:dyDescent="0.2">
      <c r="A339" s="1" t="str">
        <f>TRIM(TABELA2567[[#This Row],[PRODUTO]])&amp;TRIM(TABELA2567[[#This Row],[COR]])</f>
        <v>79.01.006901040</v>
      </c>
      <c r="B339" s="17" t="s">
        <v>788</v>
      </c>
      <c r="C339" s="18" t="s">
        <v>785</v>
      </c>
      <c r="D339" s="18" t="s">
        <v>95</v>
      </c>
      <c r="E339" s="18" t="s">
        <v>96</v>
      </c>
      <c r="F339" s="19">
        <v>221.48</v>
      </c>
      <c r="G339" s="18" t="s">
        <v>56</v>
      </c>
      <c r="H339" s="18"/>
      <c r="I339" s="18"/>
      <c r="J339" s="18"/>
      <c r="K339" s="18"/>
      <c r="L339" s="18"/>
      <c r="M339" s="18"/>
      <c r="N339" s="18"/>
      <c r="O339" s="18">
        <f>SUM(TABELA2567[[#This Row],[T1]:[T7]])</f>
        <v>0</v>
      </c>
      <c r="P339" s="20">
        <f>TABELA2567[[#This Row],[QTDE]]*TABELA2567[[#This Row],[PREÇO]]</f>
        <v>0</v>
      </c>
      <c r="Q339" s="38">
        <f>VLOOKUP($A:$A,[1]Planilha1!$B:$L,7,0)</f>
        <v>598</v>
      </c>
      <c r="R339" s="38">
        <f>VLOOKUP($A:$A,[1]Planilha1!$B:$L,8,0)</f>
        <v>271.82</v>
      </c>
      <c r="S339" s="37">
        <f>TABELA2567[[#This Row],[PREÇO]]/TABELA2567[[#This Row],[Coluna1]]-1</f>
        <v>-0.62963210702341144</v>
      </c>
      <c r="T339" s="37">
        <f>TABELA2567[[#This Row],[PREÇO]]/TABELA2567[[#This Row],[Coluna2]]-1</f>
        <v>-0.18519608564491208</v>
      </c>
    </row>
    <row r="340" spans="1:20" x14ac:dyDescent="0.2">
      <c r="A340" s="1" t="str">
        <f>TRIM(TABELA2567[[#This Row],[PRODUTO]])&amp;TRIM(TABELA2567[[#This Row],[COR]])</f>
        <v>79.12.00930005</v>
      </c>
      <c r="B340" s="17" t="s">
        <v>790</v>
      </c>
      <c r="C340" s="18" t="s">
        <v>791</v>
      </c>
      <c r="D340" s="18" t="s">
        <v>32</v>
      </c>
      <c r="E340" s="18" t="s">
        <v>33</v>
      </c>
      <c r="F340" s="19">
        <v>258.52</v>
      </c>
      <c r="G340" s="18" t="s">
        <v>56</v>
      </c>
      <c r="H340" s="18"/>
      <c r="I340" s="18"/>
      <c r="J340" s="18"/>
      <c r="K340" s="18"/>
      <c r="L340" s="18"/>
      <c r="M340" s="18"/>
      <c r="N340" s="18"/>
      <c r="O340" s="18">
        <f>SUM(TABELA2567[[#This Row],[T1]:[T7]])</f>
        <v>0</v>
      </c>
      <c r="P340" s="20">
        <f>TABELA2567[[#This Row],[QTDE]]*TABELA2567[[#This Row],[PREÇO]]</f>
        <v>0</v>
      </c>
      <c r="Q340" s="38">
        <f>VLOOKUP($A:$A,[1]Planilha1!$B:$L,7,0)</f>
        <v>698</v>
      </c>
      <c r="R340" s="38">
        <f>VLOOKUP($A:$A,[1]Planilha1!$B:$L,8,0)</f>
        <v>317.27</v>
      </c>
      <c r="S340" s="37">
        <f>TABELA2567[[#This Row],[PREÇO]]/TABELA2567[[#This Row],[Coluna1]]-1</f>
        <v>-0.62962750716332383</v>
      </c>
      <c r="T340" s="37">
        <f>TABELA2567[[#This Row],[PREÇO]]/TABELA2567[[#This Row],[Coluna2]]-1</f>
        <v>-0.18517351152015638</v>
      </c>
    </row>
    <row r="341" spans="1:20" x14ac:dyDescent="0.2">
      <c r="A341" s="1" t="str">
        <f>TRIM(TABELA2567[[#This Row],[PRODUTO]])&amp;TRIM(TABELA2567[[#This Row],[COR]])</f>
        <v>79.12.013301035</v>
      </c>
      <c r="B341" s="17" t="s">
        <v>792</v>
      </c>
      <c r="C341" s="18" t="s">
        <v>793</v>
      </c>
      <c r="D341" s="18" t="s">
        <v>89</v>
      </c>
      <c r="E341" s="18" t="s">
        <v>512</v>
      </c>
      <c r="F341" s="19">
        <v>295.56</v>
      </c>
      <c r="G341" s="18" t="s">
        <v>56</v>
      </c>
      <c r="H341" s="18"/>
      <c r="I341" s="18"/>
      <c r="J341" s="18"/>
      <c r="K341" s="18"/>
      <c r="L341" s="18"/>
      <c r="M341" s="18"/>
      <c r="N341" s="18"/>
      <c r="O341" s="18">
        <f>SUM(TABELA2567[[#This Row],[T1]:[T7]])</f>
        <v>0</v>
      </c>
      <c r="P341" s="20">
        <f>TABELA2567[[#This Row],[QTDE]]*TABELA2567[[#This Row],[PREÇO]]</f>
        <v>0</v>
      </c>
      <c r="Q341" s="38">
        <f>VLOOKUP($A:$A,[1]Planilha1!$B:$L,7,0)</f>
        <v>798</v>
      </c>
      <c r="R341" s="38">
        <f>VLOOKUP($A:$A,[1]Planilha1!$B:$L,8,0)</f>
        <v>362.73</v>
      </c>
      <c r="S341" s="37">
        <f>TABELA2567[[#This Row],[PREÇO]]/TABELA2567[[#This Row],[Coluna1]]-1</f>
        <v>-0.62962406015037597</v>
      </c>
      <c r="T341" s="37">
        <f>TABELA2567[[#This Row],[PREÇO]]/TABELA2567[[#This Row],[Coluna2]]-1</f>
        <v>-0.18517905880406915</v>
      </c>
    </row>
    <row r="342" spans="1:20" x14ac:dyDescent="0.2">
      <c r="A342" s="1" t="str">
        <f>TRIM(TABELA2567[[#This Row],[PRODUTO]])&amp;TRIM(TABELA2567[[#This Row],[COR]])</f>
        <v>79.12.013701019</v>
      </c>
      <c r="B342" s="17" t="s">
        <v>794</v>
      </c>
      <c r="C342" s="18" t="s">
        <v>795</v>
      </c>
      <c r="D342" s="18" t="s">
        <v>711</v>
      </c>
      <c r="E342" s="18" t="s">
        <v>712</v>
      </c>
      <c r="F342" s="19">
        <v>258.52</v>
      </c>
      <c r="G342" s="18" t="s">
        <v>56</v>
      </c>
      <c r="H342" s="18"/>
      <c r="I342" s="18"/>
      <c r="J342" s="18"/>
      <c r="K342" s="18"/>
      <c r="L342" s="18"/>
      <c r="M342" s="18"/>
      <c r="N342" s="18"/>
      <c r="O342" s="18">
        <f>SUM(TABELA2567[[#This Row],[T1]:[T7]])</f>
        <v>0</v>
      </c>
      <c r="P342" s="20">
        <f>TABELA2567[[#This Row],[QTDE]]*TABELA2567[[#This Row],[PREÇO]]</f>
        <v>0</v>
      </c>
      <c r="Q342" s="38">
        <f>VLOOKUP($A:$A,[1]Planilha1!$B:$L,7,0)</f>
        <v>698</v>
      </c>
      <c r="R342" s="38">
        <f>VLOOKUP($A:$A,[1]Planilha1!$B:$L,8,0)</f>
        <v>317.27</v>
      </c>
      <c r="S342" s="37">
        <f>TABELA2567[[#This Row],[PREÇO]]/TABELA2567[[#This Row],[Coluna1]]-1</f>
        <v>-0.62962750716332383</v>
      </c>
      <c r="T342" s="37">
        <f>TABELA2567[[#This Row],[PREÇO]]/TABELA2567[[#This Row],[Coluna2]]-1</f>
        <v>-0.18517351152015638</v>
      </c>
    </row>
    <row r="343" spans="1:20" x14ac:dyDescent="0.2">
      <c r="A343" s="1" t="str">
        <f>TRIM(TABELA2567[[#This Row],[PRODUTO]])&amp;TRIM(TABELA2567[[#This Row],[COR]])</f>
        <v>79.12.013701020</v>
      </c>
      <c r="B343" s="17" t="s">
        <v>794</v>
      </c>
      <c r="C343" s="18" t="s">
        <v>795</v>
      </c>
      <c r="D343" s="18" t="s">
        <v>258</v>
      </c>
      <c r="E343" s="18" t="s">
        <v>796</v>
      </c>
      <c r="F343" s="19">
        <v>258.52</v>
      </c>
      <c r="G343" s="18" t="s">
        <v>56</v>
      </c>
      <c r="H343" s="18"/>
      <c r="I343" s="18"/>
      <c r="J343" s="18"/>
      <c r="K343" s="18"/>
      <c r="L343" s="18"/>
      <c r="M343" s="18"/>
      <c r="N343" s="18"/>
      <c r="O343" s="18">
        <f>SUM(TABELA2567[[#This Row],[T1]:[T7]])</f>
        <v>0</v>
      </c>
      <c r="P343" s="20">
        <f>TABELA2567[[#This Row],[QTDE]]*TABELA2567[[#This Row],[PREÇO]]</f>
        <v>0</v>
      </c>
      <c r="Q343" s="38">
        <f>VLOOKUP($A:$A,[1]Planilha1!$B:$L,7,0)</f>
        <v>698</v>
      </c>
      <c r="R343" s="38">
        <f>VLOOKUP($A:$A,[1]Planilha1!$B:$L,8,0)</f>
        <v>317.27</v>
      </c>
      <c r="S343" s="37">
        <f>TABELA2567[[#This Row],[PREÇO]]/TABELA2567[[#This Row],[Coluna1]]-1</f>
        <v>-0.62962750716332383</v>
      </c>
      <c r="T343" s="37">
        <f>TABELA2567[[#This Row],[PREÇO]]/TABELA2567[[#This Row],[Coluna2]]-1</f>
        <v>-0.18517351152015638</v>
      </c>
    </row>
    <row r="344" spans="1:20" x14ac:dyDescent="0.2">
      <c r="A344" s="1" t="str">
        <f>TRIM(TABELA2567[[#This Row],[PRODUTO]])&amp;TRIM(TABELA2567[[#This Row],[COR]])</f>
        <v>79.12.01420002</v>
      </c>
      <c r="B344" s="17" t="s">
        <v>797</v>
      </c>
      <c r="C344" s="18" t="s">
        <v>798</v>
      </c>
      <c r="D344" s="18" t="s">
        <v>44</v>
      </c>
      <c r="E344" s="18" t="s">
        <v>45</v>
      </c>
      <c r="F344" s="19">
        <v>332.59</v>
      </c>
      <c r="G344" s="18" t="s">
        <v>56</v>
      </c>
      <c r="H344" s="18"/>
      <c r="I344" s="18"/>
      <c r="J344" s="18"/>
      <c r="K344" s="18"/>
      <c r="L344" s="18"/>
      <c r="M344" s="18"/>
      <c r="N344" s="18"/>
      <c r="O344" s="18">
        <f>SUM(TABELA2567[[#This Row],[T1]:[T7]])</f>
        <v>0</v>
      </c>
      <c r="P344" s="20">
        <f>TABELA2567[[#This Row],[QTDE]]*TABELA2567[[#This Row],[PREÇO]]</f>
        <v>0</v>
      </c>
      <c r="Q344" s="38">
        <f>VLOOKUP($A:$A,[1]Planilha1!$B:$L,7,0)</f>
        <v>898</v>
      </c>
      <c r="R344" s="38">
        <f>VLOOKUP($A:$A,[1]Planilha1!$B:$L,8,0)</f>
        <v>408.18</v>
      </c>
      <c r="S344" s="37">
        <f>TABELA2567[[#This Row],[PREÇO]]/TABELA2567[[#This Row],[Coluna1]]-1</f>
        <v>-0.62963251670378617</v>
      </c>
      <c r="T344" s="37">
        <f>TABELA2567[[#This Row],[PREÇO]]/TABELA2567[[#This Row],[Coluna2]]-1</f>
        <v>-0.18518790729580092</v>
      </c>
    </row>
    <row r="345" spans="1:20" x14ac:dyDescent="0.2">
      <c r="A345" s="1" t="str">
        <f>TRIM(TABELA2567[[#This Row],[PRODUTO]])&amp;TRIM(TABELA2567[[#This Row],[COR]])</f>
        <v>79.12.01420005</v>
      </c>
      <c r="B345" s="17" t="s">
        <v>797</v>
      </c>
      <c r="C345" s="18" t="s">
        <v>798</v>
      </c>
      <c r="D345" s="18" t="s">
        <v>32</v>
      </c>
      <c r="E345" s="18" t="s">
        <v>33</v>
      </c>
      <c r="F345" s="19">
        <v>332.59</v>
      </c>
      <c r="G345" s="18" t="s">
        <v>56</v>
      </c>
      <c r="H345" s="18"/>
      <c r="I345" s="18"/>
      <c r="J345" s="18"/>
      <c r="K345" s="18"/>
      <c r="L345" s="18"/>
      <c r="M345" s="18"/>
      <c r="N345" s="18"/>
      <c r="O345" s="18">
        <f>SUM(TABELA2567[[#This Row],[T1]:[T7]])</f>
        <v>0</v>
      </c>
      <c r="P345" s="20">
        <f>TABELA2567[[#This Row],[QTDE]]*TABELA2567[[#This Row],[PREÇO]]</f>
        <v>0</v>
      </c>
      <c r="Q345" s="38">
        <f>VLOOKUP($A:$A,[1]Planilha1!$B:$L,7,0)</f>
        <v>898</v>
      </c>
      <c r="R345" s="38">
        <f>VLOOKUP($A:$A,[1]Planilha1!$B:$L,8,0)</f>
        <v>408.18</v>
      </c>
      <c r="S345" s="37">
        <f>TABELA2567[[#This Row],[PREÇO]]/TABELA2567[[#This Row],[Coluna1]]-1</f>
        <v>-0.62963251670378617</v>
      </c>
      <c r="T345" s="37">
        <f>TABELA2567[[#This Row],[PREÇO]]/TABELA2567[[#This Row],[Coluna2]]-1</f>
        <v>-0.18518790729580092</v>
      </c>
    </row>
    <row r="346" spans="1:20" x14ac:dyDescent="0.2">
      <c r="A346" s="1" t="str">
        <f>TRIM(TABELA2567[[#This Row],[PRODUTO]])&amp;TRIM(TABELA2567[[#This Row],[COR]])</f>
        <v>79.12.01470005</v>
      </c>
      <c r="B346" s="17" t="s">
        <v>799</v>
      </c>
      <c r="C346" s="18" t="s">
        <v>800</v>
      </c>
      <c r="D346" s="18" t="s">
        <v>32</v>
      </c>
      <c r="E346" s="18" t="s">
        <v>33</v>
      </c>
      <c r="F346" s="19">
        <v>443.7</v>
      </c>
      <c r="G346" s="18" t="s">
        <v>56</v>
      </c>
      <c r="H346" s="18"/>
      <c r="I346" s="18"/>
      <c r="J346" s="18"/>
      <c r="K346" s="18"/>
      <c r="L346" s="18"/>
      <c r="M346" s="18"/>
      <c r="N346" s="18"/>
      <c r="O346" s="18">
        <f>SUM(TABELA2567[[#This Row],[T1]:[T7]])</f>
        <v>0</v>
      </c>
      <c r="P346" s="20">
        <f>TABELA2567[[#This Row],[QTDE]]*TABELA2567[[#This Row],[PREÇO]]</f>
        <v>0</v>
      </c>
      <c r="Q346" s="38">
        <f>VLOOKUP($A:$A,[1]Planilha1!$B:$L,7,0)</f>
        <v>1198</v>
      </c>
      <c r="R346" s="38">
        <f>VLOOKUP($A:$A,[1]Planilha1!$B:$L,8,0)</f>
        <v>544.54999999999995</v>
      </c>
      <c r="S346" s="37">
        <f>TABELA2567[[#This Row],[PREÇO]]/TABELA2567[[#This Row],[Coluna1]]-1</f>
        <v>-0.62963272120200342</v>
      </c>
      <c r="T346" s="37">
        <f>TABELA2567[[#This Row],[PREÇO]]/TABELA2567[[#This Row],[Coluna2]]-1</f>
        <v>-0.18519878799008349</v>
      </c>
    </row>
    <row r="347" spans="1:20" x14ac:dyDescent="0.2">
      <c r="A347" s="1" t="str">
        <f>TRIM(TABELA2567[[#This Row],[PRODUTO]])&amp;TRIM(TABELA2567[[#This Row],[COR]])</f>
        <v>79.12.01500015</v>
      </c>
      <c r="B347" s="17" t="s">
        <v>801</v>
      </c>
      <c r="C347" s="18" t="s">
        <v>802</v>
      </c>
      <c r="D347" s="18" t="s">
        <v>803</v>
      </c>
      <c r="E347" s="18" t="s">
        <v>804</v>
      </c>
      <c r="F347" s="19">
        <v>258.52</v>
      </c>
      <c r="G347" s="18" t="s">
        <v>56</v>
      </c>
      <c r="H347" s="18"/>
      <c r="I347" s="18"/>
      <c r="J347" s="18"/>
      <c r="K347" s="18"/>
      <c r="L347" s="18"/>
      <c r="M347" s="18"/>
      <c r="N347" s="18"/>
      <c r="O347" s="18">
        <f>SUM(TABELA2567[[#This Row],[T1]:[T7]])</f>
        <v>0</v>
      </c>
      <c r="P347" s="20">
        <f>TABELA2567[[#This Row],[QTDE]]*TABELA2567[[#This Row],[PREÇO]]</f>
        <v>0</v>
      </c>
      <c r="Q347" s="38">
        <f>VLOOKUP($A:$A,[1]Planilha1!$B:$L,7,0)</f>
        <v>698</v>
      </c>
      <c r="R347" s="38">
        <f>VLOOKUP($A:$A,[1]Planilha1!$B:$L,8,0)</f>
        <v>317.27</v>
      </c>
      <c r="S347" s="37">
        <f>TABELA2567[[#This Row],[PREÇO]]/TABELA2567[[#This Row],[Coluna1]]-1</f>
        <v>-0.62962750716332383</v>
      </c>
      <c r="T347" s="37">
        <f>TABELA2567[[#This Row],[PREÇO]]/TABELA2567[[#This Row],[Coluna2]]-1</f>
        <v>-0.18517351152015638</v>
      </c>
    </row>
  </sheetData>
  <mergeCells count="14">
    <mergeCell ref="Q10:Q14"/>
    <mergeCell ref="R10:R14"/>
    <mergeCell ref="S10:S14"/>
    <mergeCell ref="T10:T14"/>
    <mergeCell ref="B2:P2"/>
    <mergeCell ref="B10:B14"/>
    <mergeCell ref="C10:C14"/>
    <mergeCell ref="D10:D14"/>
    <mergeCell ref="E10:E14"/>
    <mergeCell ref="F10:F14"/>
    <mergeCell ref="G10:G14"/>
    <mergeCell ref="O10:O14"/>
    <mergeCell ref="P10:P14"/>
    <mergeCell ref="H14:N14"/>
  </mergeCells>
  <phoneticPr fontId="9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Tabela A (2.2)</vt:lpstr>
      <vt:lpstr>Tabela A3 (2.3)</vt:lpstr>
      <vt:lpstr>Tabela AF (2.4)</vt:lpstr>
      <vt:lpstr>Tabela A5 (2.5)</vt:lpstr>
      <vt:lpstr>Tabela AE (2.7)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2022-11-05T00:16:48Z</dcterms:modified>
</cp:coreProperties>
</file>